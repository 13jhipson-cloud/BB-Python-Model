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.Hipson\Downloads\"/>
    </mc:Choice>
  </mc:AlternateContent>
  <xr:revisionPtr revIDLastSave="0" documentId="8_{DC079BE9-3311-4523-9919-F7E257C3AE95}" xr6:coauthVersionLast="47" xr6:coauthVersionMax="47" xr10:uidLastSave="{00000000-0000-0000-0000-000000000000}"/>
  <bookViews>
    <workbookView xWindow="14205" yWindow="-22110" windowWidth="38640" windowHeight="21120" xr2:uid="{1BB33A90-FFAA-4CA8-ADDD-08360BAA643E}"/>
  </bookViews>
  <sheets>
    <sheet name="Impairment outputs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</calcChain>
</file>

<file path=xl/sharedStrings.xml><?xml version="1.0" encoding="utf-8"?>
<sst xmlns="http://schemas.openxmlformats.org/spreadsheetml/2006/main" count="132" uniqueCount="35">
  <si>
    <t>ForecastMonth</t>
  </si>
  <si>
    <t>Values</t>
  </si>
  <si>
    <t>Segment</t>
  </si>
  <si>
    <t>(blank)</t>
  </si>
  <si>
    <t>Sum of ClosingGBV</t>
  </si>
  <si>
    <t>NON PRIME</t>
  </si>
  <si>
    <t>NRP-L</t>
  </si>
  <si>
    <t>NRP-M</t>
  </si>
  <si>
    <t>NRP-S</t>
  </si>
  <si>
    <t>PRIME</t>
  </si>
  <si>
    <t>Sum of Prior_Provision_Balance</t>
  </si>
  <si>
    <t>closing gbv * total coverage ratio</t>
  </si>
  <si>
    <t>Sum of Total_Provision_Balance</t>
  </si>
  <si>
    <t>total - prior</t>
  </si>
  <si>
    <t>Sum of Total_Provision_Movement</t>
  </si>
  <si>
    <t>OpeningGBV * WO Debt Sale Rate</t>
  </si>
  <si>
    <t>Sum of Debt_Sale_WriteOffs</t>
  </si>
  <si>
    <t>Debt sale coverage ratio (0.785) * debt sale writeoffs</t>
  </si>
  <si>
    <t>Sum of DS_Provision_For_Pool</t>
  </si>
  <si>
    <t>same as ds provision for pool</t>
  </si>
  <si>
    <t>Sum of Debt_Sale_Provision_Release</t>
  </si>
  <si>
    <t>Average of Debt_Sale_Proceeds_Rate</t>
  </si>
  <si>
    <t xml:space="preserve">  Debt_Sale_Proceeds = Debt_Sale_Proceeds_Rate × WO_DebtSold</t>
  </si>
  <si>
    <t>Sum of Debt_Sale_Proceeds</t>
  </si>
  <si>
    <t>OR</t>
  </si>
  <si>
    <t>Debt sale provision release * debt sale price</t>
  </si>
  <si>
    <t>CHECK WHY THIS DOESN’T ADD UP!!!</t>
  </si>
  <si>
    <t>Sum of Core_Provision</t>
  </si>
  <si>
    <t>Sum of Core_GBV</t>
  </si>
  <si>
    <t>Sum of Core_Coverage_Ratio</t>
  </si>
  <si>
    <t>Sum of Non_DS_Provision_Movement</t>
  </si>
  <si>
    <t>Sum of Gross_Impairment_ExcludingDS</t>
  </si>
  <si>
    <t>Sum of Debt_Sale_Impact</t>
  </si>
  <si>
    <t>Sum of Net_Impairment</t>
  </si>
  <si>
    <t>Sum of ClosingNBV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</si>
</sst>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akbrookfinance365-my.sharepoint.com/personal/jack_hipson_oakbrookfinance_com/Documents/Desktop/backbook_forecast.py/Forecast_Transparency_Re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Hipson" refreshedDate="46042.649404861113" createdVersion="8" refreshedVersion="8" minRefreshableVersion="3" recordCount="2376" xr:uid="{81CB7883-8BCB-4BB4-9EEC-98185E2AE50C}">
  <cacheSource type="worksheet">
    <worksheetSource ref="A1:BA1048576" sheet="5_Forecast_Output" r:id="rId2"/>
  </cacheSource>
  <cacheFields count="56">
    <cacheField name="ForecastMonth" numFmtId="0">
      <sharedItems containsNonDate="0" containsDate="1" containsString="0" containsBlank="1" minDate="2025-10-31T00:00:00" maxDate="2027-11-01T00:00:00" count="26"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7-02-28T00:00:00"/>
        <d v="2027-03-31T00:00:00"/>
        <d v="2027-04-30T00:00:00"/>
        <d v="2027-05-31T00:00:00"/>
        <d v="2027-06-30T00:00:00"/>
        <d v="2027-07-31T00:00:00"/>
        <d v="2027-08-31T00:00:00"/>
        <d v="2027-09-30T00:00:00"/>
        <d v="2027-10-31T00:00:00"/>
        <m/>
      </sharedItems>
      <fieldGroup par="55"/>
    </cacheField>
    <cacheField name="Segment" numFmtId="0">
      <sharedItems containsBlank="1" count="6">
        <s v="NON PRIME"/>
        <s v="NRP-L"/>
        <s v="NRP-M"/>
        <s v="NRP-S"/>
        <s v="PRIME"/>
        <m/>
      </sharedItems>
    </cacheField>
    <cacheField name="Cohort" numFmtId="0">
      <sharedItems containsBlank="1"/>
    </cacheField>
    <cacheField name="MOB" numFmtId="0">
      <sharedItems containsString="0" containsBlank="1" containsNumber="1" containsInteger="1" minValue="1" maxValue="94"/>
    </cacheField>
    <cacheField name="OpeningGBV" numFmtId="0">
      <sharedItems containsString="0" containsBlank="1" containsNumber="1" minValue="0" maxValue="13508660.83"/>
    </cacheField>
    <cacheField name="Coll_Principal_Rate" numFmtId="0">
      <sharedItems containsString="0" containsBlank="1" containsNumber="1" minValue="-0.5" maxValue="3.8580230572811049E-2"/>
    </cacheField>
    <cacheField name="Coll_Principal_Approach" numFmtId="0">
      <sharedItems containsBlank="1"/>
    </cacheField>
    <cacheField name="Coll_Interest_Rate" numFmtId="0">
      <sharedItems containsString="0" containsBlank="1" containsNumber="1" minValue="-8.5337847552812776E-2" maxValue="3.5809966980848459E-3"/>
    </cacheField>
    <cacheField name="Coll_Interest_Approach" numFmtId="0">
      <sharedItems containsBlank="1"/>
    </cacheField>
    <cacheField name="InterestRevenue_Rate" numFmtId="0">
      <sharedItems containsString="0" containsBlank="1" containsNumber="1" minValue="0" maxValue="0.5"/>
    </cacheField>
    <cacheField name="InterestRevenue_Approach" numFmtId="0">
      <sharedItems containsBlank="1"/>
    </cacheField>
    <cacheField name="WO_DebtSold_Rate" numFmtId="0">
      <sharedItems containsString="0" containsBlank="1" containsNumber="1" minValue="0" maxValue="0.2"/>
    </cacheField>
    <cacheField name="WO_DebtSold_Approach" numFmtId="0">
      <sharedItems containsBlank="1"/>
    </cacheField>
    <cacheField name="WO_Other_Rate" numFmtId="0">
      <sharedItems containsString="0" containsBlank="1" containsNumber="1" minValue="0" maxValue="4.5515529027397852E-3"/>
    </cacheField>
    <cacheField name="WO_Other_Approach" numFmtId="0">
      <sharedItems containsBlank="1"/>
    </cacheField>
    <cacheField name="NewLoanAmount_Rate" numFmtId="0">
      <sharedItems containsString="0" containsBlank="1" containsNumber="1" containsInteger="1" minValue="0" maxValue="0"/>
    </cacheField>
    <cacheField name="NewLoanAmount_Approach" numFmtId="0">
      <sharedItems containsBlank="1"/>
    </cacheField>
    <cacheField name="ContraSettlements_Principal_Rate" numFmtId="0">
      <sharedItems containsString="0" containsBlank="1" containsNumber="1" minValue="-0.1007398271074445" maxValue="0"/>
    </cacheField>
    <cacheField name="ContraSettlements_Principal_Approach" numFmtId="0">
      <sharedItems containsBlank="1"/>
    </cacheField>
    <cacheField name="ContraSettlements_Interest_Rate" numFmtId="0">
      <sharedItems containsString="0" containsBlank="1" containsNumber="1" minValue="-2.178222683814725E-3" maxValue="9.8813624278385891E-4"/>
    </cacheField>
    <cacheField name="ContraSettlements_Interest_Approach" numFmtId="0">
      <sharedItems containsBlank="1"/>
    </cacheField>
    <cacheField name="NewLoanAmount" numFmtId="0">
      <sharedItems containsString="0" containsBlank="1" containsNumber="1" containsInteger="1" minValue="0" maxValue="0"/>
    </cacheField>
    <cacheField name="Coll_Principal" numFmtId="0">
      <sharedItems containsString="0" containsBlank="1" containsNumber="1" minValue="-2358833.33" maxValue="10638.08"/>
    </cacheField>
    <cacheField name="Coll_Interest" numFmtId="0">
      <sharedItems containsString="0" containsBlank="1" containsNumber="1" minValue="-490279.23" maxValue="1389.22"/>
    </cacheField>
    <cacheField name="InterestRevenue" numFmtId="0">
      <sharedItems containsString="0" containsBlank="1" containsNumber="1" minValue="0" maxValue="478392.98"/>
    </cacheField>
    <cacheField name="WO_DebtSold" numFmtId="0">
      <sharedItems containsString="0" containsBlank="1" containsNumber="1" minValue="0" maxValue="304451.68"/>
    </cacheField>
    <cacheField name="WO_Other" numFmtId="0">
      <sharedItems containsString="0" containsBlank="1" containsNumber="1" minValue="0" maxValue="2845.76"/>
    </cacheField>
    <cacheField name="ContraSettlements_Principal" numFmtId="0">
      <sharedItems containsString="0" containsBlank="1" containsNumber="1" minValue="-359309.07" maxValue="0"/>
    </cacheField>
    <cacheField name="ContraSettlements_Interest" numFmtId="0">
      <sharedItems containsString="0" containsBlank="1" containsNumber="1" minValue="-7769.07" maxValue="1158.46"/>
    </cacheField>
    <cacheField name="ClosingGBV" numFmtId="0">
      <sharedItems containsString="0" containsBlank="1" containsNumber="1" minValue="0" maxValue="13508660.83"/>
    </cacheField>
    <cacheField name="Total_Coverage_Ratio_Base" numFmtId="0">
      <sharedItems containsString="0" containsBlank="1" containsNumber="1" minValue="0" maxValue="1.008653"/>
    </cacheField>
    <cacheField name="Seasonal_Factor" numFmtId="0">
      <sharedItems containsString="0" containsBlank="1" containsNumber="1" minValue="0.55579999999999996" maxValue="1.3635999999999999"/>
    </cacheField>
    <cacheField name="Total_Coverage_Ratio" numFmtId="0">
      <sharedItems containsString="0" containsBlank="1" containsNumber="1" minValue="0" maxValue="1.1862569999999999"/>
    </cacheField>
    <cacheField name="Total_Coverage_Approach" numFmtId="0">
      <sharedItems containsBlank="1"/>
    </cacheField>
    <cacheField name="Total_Provision_Balance" numFmtId="0">
      <sharedItems containsString="0" containsBlank="1" containsNumber="1" minValue="0" maxValue="3368229.71"/>
    </cacheField>
    <cacheField name="Prior_Provision_Balance" numFmtId="0">
      <sharedItems containsString="0" containsBlank="1" containsNumber="1" minValue="0" maxValue="3368229.71"/>
    </cacheField>
    <cacheField name="Total_Provision_Movement" numFmtId="0">
      <sharedItems containsString="0" containsBlank="1" containsNumber="1" minValue="-699243.88" maxValue="409775.95"/>
    </cacheField>
    <cacheField name="Is_Debt_Sale_Month" numFmtId="0">
      <sharedItems containsBlank="1" count="3">
        <b v="0"/>
        <b v="1"/>
        <m/>
      </sharedItems>
    </cacheField>
    <cacheField name="Debt_Sale_WriteOffs" numFmtId="0">
      <sharedItems containsString="0" containsBlank="1" containsNumber="1" minValue="0" maxValue="304451.68"/>
    </cacheField>
    <cacheField name="Debt_Sale_Coverage_Ratio" numFmtId="0">
      <sharedItems containsString="0" containsBlank="1" containsNumber="1" minValue="0.78500000000000003" maxValue="0.78500000000000003"/>
    </cacheField>
    <cacheField name="Debt_Sale_Proceeds_Rate" numFmtId="0">
      <sharedItems containsString="0" containsBlank="1" containsNumber="1" minValue="0.24" maxValue="0.24"/>
    </cacheField>
    <cacheField name="DS_Provision_For_Pool" numFmtId="0">
      <sharedItems containsString="0" containsBlank="1" containsNumber="1" minValue="0" maxValue="238994.57"/>
    </cacheField>
    <cacheField name="Debt_Sale_Provision_Release" numFmtId="0">
      <sharedItems containsString="0" containsBlank="1" containsNumber="1" minValue="0" maxValue="238994.57"/>
    </cacheField>
    <cacheField name="Debt_Sale_Proceeds" numFmtId="0">
      <sharedItems containsString="0" containsBlank="1" containsNumber="1" minValue="0" maxValue="73068.399999999994"/>
    </cacheField>
    <cacheField name="Core_Provision" numFmtId="0">
      <sharedItems containsString="0" containsBlank="1" containsNumber="1" minValue="-5015.2" maxValue="3129235.14"/>
    </cacheField>
    <cacheField name="Core_GBV" numFmtId="0">
      <sharedItems containsString="0" containsBlank="1" containsNumber="1" minValue="0" maxValue="13508660.83"/>
    </cacheField>
    <cacheField name="Core_Coverage_Ratio" numFmtId="0">
      <sharedItems containsString="0" containsBlank="1" containsNumber="1" minValue="-0.119986" maxValue="1.1959420000000001"/>
    </cacheField>
    <cacheField name="Non_DS_Provision_Movement" numFmtId="0">
      <sharedItems containsString="0" containsBlank="1" containsNumber="1" minValue="-460249.32" maxValue="409775.95"/>
    </cacheField>
    <cacheField name="Gross_Impairment_ExcludingDS" numFmtId="0">
      <sharedItems containsString="0" containsBlank="1" containsNumber="1" minValue="-459039.47" maxValue="409847.12"/>
    </cacheField>
    <cacheField name="Debt_Sale_Impact" numFmtId="0">
      <sharedItems containsString="0" containsBlank="1" containsNumber="1" minValue="0" maxValue="616514.65"/>
    </cacheField>
    <cacheField name="Net_Impairment" numFmtId="0">
      <sharedItems containsString="0" containsBlank="1" containsNumber="1" minValue="-420303.92" maxValue="707251.34"/>
    </cacheField>
    <cacheField name="ClosingNBV" numFmtId="0">
      <sharedItems containsString="0" containsBlank="1" containsNumber="1" minValue="0" maxValue="13575789.98"/>
    </cacheField>
    <cacheField name="DataType" numFmtId="0">
      <sharedItems containsBlank="1"/>
    </cacheField>
    <cacheField name="Months (ForecastMonth)" numFmtId="0" databaseField="0">
      <fieldGroup base="0">
        <rangePr groupBy="months" startDate="2025-10-31T00:00:00" endDate="2027-11-01T00:00:00"/>
        <groupItems count="14">
          <s v="&lt;31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7"/>
        </groupItems>
      </fieldGroup>
    </cacheField>
    <cacheField name="Quarters (ForecastMonth)" numFmtId="0" databaseField="0">
      <fieldGroup base="0">
        <rangePr groupBy="quarters" startDate="2025-10-31T00:00:00" endDate="2027-11-01T00:00:00"/>
        <groupItems count="6">
          <s v="&lt;31/10/2025"/>
          <s v="Qtr1"/>
          <s v="Qtr2"/>
          <s v="Qtr3"/>
          <s v="Qtr4"/>
          <s v="&gt;01/11/2027"/>
        </groupItems>
      </fieldGroup>
    </cacheField>
    <cacheField name="Years (ForecastMonth)" numFmtId="0" databaseField="0">
      <fieldGroup base="0">
        <rangePr groupBy="years" startDate="2025-10-31T00:00:00" endDate="2027-11-01T00:00:00"/>
        <groupItems count="5">
          <s v="&lt;31/10/2025"/>
          <s v="2025"/>
          <s v="2026"/>
          <s v="2027"/>
          <s v="&gt;01/1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6">
  <r>
    <x v="0"/>
    <x v="0"/>
    <s v="201912"/>
    <n v="70"/>
    <n v="387941.62"/>
    <n v="1.475466915147818E-2"/>
    <s v="CohortAvg"/>
    <n v="3.5809966980848459E-3"/>
    <s v="CohortAvg"/>
    <n v="0"/>
    <s v="CohortAvg"/>
    <n v="2.8968181270786739E-2"/>
    <s v="CohortAvg_NonZero"/>
    <n v="1.912481586344806E-3"/>
    <s v="CohortAvg"/>
    <n v="0"/>
    <s v="Zero"/>
    <n v="0"/>
    <s v="CohortAvg"/>
    <n v="0"/>
    <s v="CohortAvg"/>
    <n v="0"/>
    <n v="5723.95"/>
    <n v="1389.22"/>
    <n v="0"/>
    <n v="0"/>
    <n v="741.93"/>
    <n v="0"/>
    <n v="0"/>
    <n v="380086.52"/>
    <n v="1.008653"/>
    <n v="1.0468999999999999"/>
    <n v="1.0560080000000001"/>
    <s v="CohortAvg+Seasonal(1.047)"/>
    <n v="401374.32"/>
    <n v="382361.91"/>
    <n v="19012.41"/>
    <x v="0"/>
    <n v="0"/>
    <n v="0.78500000000000003"/>
    <n v="0.24"/>
    <n v="0"/>
    <n v="0"/>
    <n v="0"/>
    <n v="382361.91"/>
    <n v="387941.62"/>
    <n v="0.98561699999999997"/>
    <n v="19012.41"/>
    <n v="19754.34"/>
    <n v="0"/>
    <n v="19754.34"/>
    <n v="360332.18"/>
    <s v="Forecast"/>
  </r>
  <r>
    <x v="0"/>
    <x v="0"/>
    <s v="202001"/>
    <n v="69"/>
    <n v="98748.52"/>
    <n v="2.9670553988716139E-2"/>
    <s v="CohortAvg"/>
    <n v="1.159568569835702E-3"/>
    <s v="CohortAvg"/>
    <n v="0"/>
    <s v="CohortAvg"/>
    <n v="1.583561439068485E-2"/>
    <s v="CohortAvg_NonZero"/>
    <n v="0"/>
    <s v="CohortAvg"/>
    <n v="0"/>
    <s v="Zero"/>
    <n v="0"/>
    <s v="CohortAvg"/>
    <n v="0"/>
    <s v="CohortAvg"/>
    <n v="0"/>
    <n v="2929.92"/>
    <n v="114.51"/>
    <n v="0"/>
    <n v="0"/>
    <n v="0"/>
    <n v="0"/>
    <n v="0"/>
    <n v="95704.09"/>
    <n v="1.000634"/>
    <n v="1.0468999999999999"/>
    <n v="1.0476129999999999"/>
    <s v="CohortAvg+Seasonal(1.047)"/>
    <n v="100260.8"/>
    <n v="98217.87"/>
    <n v="2042.93"/>
    <x v="0"/>
    <n v="0"/>
    <n v="0.78500000000000003"/>
    <n v="0.24"/>
    <n v="0"/>
    <n v="0"/>
    <n v="0"/>
    <n v="98217.87"/>
    <n v="98748.52"/>
    <n v="0.99462600000000001"/>
    <n v="2042.93"/>
    <n v="2042.93"/>
    <n v="0"/>
    <n v="2042.93"/>
    <n v="93661.16"/>
    <s v="Forecast"/>
  </r>
  <r>
    <x v="0"/>
    <x v="0"/>
    <s v="202101"/>
    <n v="57"/>
    <n v="832148.9"/>
    <n v="1.2783868348708771E-2"/>
    <s v="CohortAvg"/>
    <n v="-1.170151790779876E-4"/>
    <s v="CohortAvg"/>
    <n v="0"/>
    <s v="CohortAvg"/>
    <n v="1.311208486875569E-2"/>
    <s v="CohortAvg_NonZero"/>
    <n v="1.3832241010281159E-3"/>
    <s v="CohortAvg"/>
    <n v="0"/>
    <s v="Zero"/>
    <n v="0"/>
    <s v="CohortAvg"/>
    <n v="0"/>
    <s v="CohortAvg"/>
    <n v="0"/>
    <n v="10638.08"/>
    <n v="-97.37"/>
    <n v="0"/>
    <n v="0"/>
    <n v="1151.05"/>
    <n v="0"/>
    <n v="0"/>
    <n v="820262.40000000002"/>
    <n v="0.92008900000000005"/>
    <n v="1.0468999999999999"/>
    <n v="0.96328599999999998"/>
    <s v="CohortAvg+Seasonal(1.047)"/>
    <n v="790147.03"/>
    <n v="815268.22"/>
    <n v="-25121.19"/>
    <x v="0"/>
    <n v="0"/>
    <n v="0.78500000000000003"/>
    <n v="0.24"/>
    <n v="0"/>
    <n v="0"/>
    <n v="0"/>
    <n v="815268.22"/>
    <n v="832148.9"/>
    <n v="0.97971399999999997"/>
    <n v="-25121.19"/>
    <n v="-23970.14"/>
    <n v="0"/>
    <n v="-23970.14"/>
    <n v="844232.54"/>
    <s v="Forecast"/>
  </r>
  <r>
    <x v="0"/>
    <x v="0"/>
    <s v="202201"/>
    <n v="37"/>
    <n v="1301210.18"/>
    <n v="-0.1086729298213673"/>
    <s v="CohortAvg"/>
    <n v="-1.4198032801590651E-2"/>
    <s v="CohortAvg"/>
    <n v="0.1248744941546607"/>
    <s v="CohortAvg"/>
    <n v="2.573781850889461E-2"/>
    <s v="CohortAvg_NonZero"/>
    <n v="1.1989191884492741E-3"/>
    <s v="CohortAvg"/>
    <n v="0"/>
    <s v="Zero"/>
    <n v="-2.3288200987307429E-3"/>
    <s v="CohortAvg"/>
    <n v="-5.6234695324602919E-5"/>
    <s v="CohortAvg"/>
    <n v="0"/>
    <n v="-141406.32"/>
    <n v="-18474.62"/>
    <n v="13540.66"/>
    <n v="0"/>
    <n v="1560.05"/>
    <n v="-3030.28"/>
    <n v="-73.17"/>
    <n v="1153309.8500000001"/>
    <n v="0.56874499999999995"/>
    <n v="1.0468999999999999"/>
    <n v="0.59544699999999995"/>
    <s v="CohortTrend+Seasonal(1.047)"/>
    <n v="686734.67"/>
    <n v="791304.2"/>
    <n v="-104569.53"/>
    <x v="0"/>
    <n v="0"/>
    <n v="0.78500000000000003"/>
    <n v="0.24"/>
    <n v="0"/>
    <n v="0"/>
    <n v="0"/>
    <n v="791304.2"/>
    <n v="1301210.18"/>
    <n v="0.60812900000000003"/>
    <n v="-104569.53"/>
    <n v="-103009.48"/>
    <n v="0"/>
    <n v="-103009.48"/>
    <n v="1256319.33"/>
    <s v="Forecast"/>
  </r>
  <r>
    <x v="0"/>
    <x v="0"/>
    <s v="202301"/>
    <n v="28"/>
    <n v="7243912.0899999999"/>
    <n v="-8.0936859533707203E-2"/>
    <s v="CohortAvg"/>
    <n v="-1.9423766068628719E-2"/>
    <s v="CohortAvg"/>
    <n v="0.2116670770237736"/>
    <s v="CohortAvg"/>
    <n v="3.4841593545073893E-2"/>
    <s v="CohortAvg_NonZero"/>
    <n v="3.2968882222664752E-4"/>
    <s v="CohortAvg"/>
    <n v="0"/>
    <s v="Zero"/>
    <n v="-5.8941897362051734E-3"/>
    <s v="CohortAvg"/>
    <n v="-1.2402411786689729E-4"/>
    <s v="CohortAvg"/>
    <n v="0"/>
    <n v="-586299.5"/>
    <n v="-140704.04999999999"/>
    <n v="127774.81"/>
    <n v="0"/>
    <n v="2388.2399999999998"/>
    <n v="-42696.99"/>
    <n v="-898.42"/>
    <n v="6642295.1100000003"/>
    <n v="0.44470799999999999"/>
    <n v="1.0468999999999999"/>
    <n v="0.46558699999999997"/>
    <s v="CohortTrend+Seasonal(1.047)"/>
    <n v="3092563.78"/>
    <n v="2783580.56"/>
    <n v="308983.21999999997"/>
    <x v="0"/>
    <n v="0"/>
    <n v="0.78500000000000003"/>
    <n v="0.24"/>
    <n v="0"/>
    <n v="0"/>
    <n v="0"/>
    <n v="2783580.56"/>
    <n v="7243912.0899999999"/>
    <n v="0.38426500000000002"/>
    <n v="308983.21999999997"/>
    <n v="311371.46000000002"/>
    <n v="0"/>
    <n v="311371.46000000002"/>
    <n v="6330923.6500000004"/>
    <s v="Forecast"/>
  </r>
  <r>
    <x v="0"/>
    <x v="0"/>
    <s v="202404"/>
    <n v="18"/>
    <n v="1439613.09"/>
    <n v="-6.7281993134479426E-2"/>
    <s v="CohortAvg"/>
    <n v="-2.5204299696777399E-2"/>
    <s v="CohortAvg"/>
    <n v="0.28225977856683943"/>
    <s v="CohortAvg"/>
    <n v="7.1738559025114598E-2"/>
    <s v="CohortAvg_NonZero"/>
    <n v="2.236053626418279E-4"/>
    <s v="CohortAvg"/>
    <n v="0"/>
    <s v="Zero"/>
    <n v="-1.3193568127545911E-2"/>
    <s v="CohortAvg"/>
    <n v="6.4062481132518749E-4"/>
    <s v="CohortAvg"/>
    <n v="0"/>
    <n v="-96860.04"/>
    <n v="-36284.44"/>
    <n v="33862.07"/>
    <n v="0"/>
    <n v="321.91000000000003"/>
    <n v="-18993.63"/>
    <n v="922.25"/>
    <n v="1340008.78"/>
    <n v="0.17676500000000001"/>
    <n v="1.0468999999999999"/>
    <n v="0.18506400000000001"/>
    <s v="DonorCohort:202101+Seasonal(1.047)"/>
    <n v="247986.79"/>
    <n v="422115.46"/>
    <n v="-174128.67"/>
    <x v="0"/>
    <n v="0"/>
    <n v="0.78500000000000003"/>
    <n v="0.24"/>
    <n v="0"/>
    <n v="0"/>
    <n v="0"/>
    <n v="422115.46"/>
    <n v="1439613.09"/>
    <n v="0.293215"/>
    <n v="-174128.67"/>
    <n v="-173806.76"/>
    <n v="0"/>
    <n v="-173806.76"/>
    <n v="1513815.54"/>
    <s v="Forecast"/>
  </r>
  <r>
    <x v="0"/>
    <x v="0"/>
    <s v="202405"/>
    <n v="17"/>
    <n v="1749500.3"/>
    <n v="-6.0446402520438862E-2"/>
    <s v="CohortAvg"/>
    <n v="-2.504395874974805E-2"/>
    <s v="CohortAvg"/>
    <n v="0.28538768078890109"/>
    <s v="CohortAvg"/>
    <n v="6.9554579781710021E-2"/>
    <s v="CohortAvg_NonZero"/>
    <n v="2.0284550544627449E-4"/>
    <s v="CohortAvg"/>
    <n v="0"/>
    <s v="Zero"/>
    <n v="-1.694121962496355E-2"/>
    <s v="CohortAvg"/>
    <n v="-3.2289117631712351E-4"/>
    <s v="CohortAvg"/>
    <n v="0"/>
    <n v="-105751"/>
    <n v="-43814.41"/>
    <n v="41607.15"/>
    <n v="0"/>
    <n v="354.88"/>
    <n v="-29638.67"/>
    <n v="-564.9"/>
    <n v="1641187.16"/>
    <n v="0.17926500000000001"/>
    <n v="1.0468999999999999"/>
    <n v="0.18768099999999999"/>
    <s v="DonorCohort:202101+Seasonal(1.047)"/>
    <n v="308020.40999999997"/>
    <n v="520213.37"/>
    <n v="-212192.96"/>
    <x v="0"/>
    <n v="0"/>
    <n v="0.78500000000000003"/>
    <n v="0.24"/>
    <n v="0"/>
    <n v="0"/>
    <n v="0"/>
    <n v="520213.37"/>
    <n v="1749500.3"/>
    <n v="0.29735"/>
    <n v="-212192.96"/>
    <n v="-211838.07999999999"/>
    <n v="0"/>
    <n v="-211838.07999999999"/>
    <n v="1853025.24"/>
    <s v="Forecast"/>
  </r>
  <r>
    <x v="0"/>
    <x v="0"/>
    <s v="202406"/>
    <n v="16"/>
    <n v="2338555.87"/>
    <n v="-5.9210038495261963E-2"/>
    <s v="CohortAvg"/>
    <n v="-2.6566767840862791E-2"/>
    <s v="CohortAvg"/>
    <n v="0.30563764988904379"/>
    <s v="CohortAvg"/>
    <n v="5.6744775985611701E-2"/>
    <s v="CohortAvg_NonZero"/>
    <n v="1.3122780352974869E-4"/>
    <s v="CohortAvg"/>
    <n v="0"/>
    <s v="Zero"/>
    <n v="-1.9075353324427689E-2"/>
    <s v="CohortAvg"/>
    <n v="-3.5879308756458502E-4"/>
    <s v="CohortAvg"/>
    <n v="0"/>
    <n v="-138465.98000000001"/>
    <n v="-62127.87"/>
    <n v="59562.559999999998"/>
    <n v="0"/>
    <n v="306.88"/>
    <n v="-44608.78"/>
    <n v="-839.06"/>
    <n v="2197217.69"/>
    <n v="0.19098799999999999"/>
    <n v="1.0468999999999999"/>
    <n v="0.19995399999999999"/>
    <s v="DonorCohort:202101+Seasonal(1.047)"/>
    <n v="439343.1"/>
    <n v="668724.27"/>
    <n v="-229381.17"/>
    <x v="0"/>
    <n v="0"/>
    <n v="0.78500000000000003"/>
    <n v="0.24"/>
    <n v="0"/>
    <n v="0"/>
    <n v="0"/>
    <n v="668724.27"/>
    <n v="2338555.87"/>
    <n v="0.28595599999999999"/>
    <n v="-229381.17"/>
    <n v="-229074.29"/>
    <n v="0"/>
    <n v="-229074.29"/>
    <n v="2426291.98"/>
    <s v="Forecast"/>
  </r>
  <r>
    <x v="0"/>
    <x v="0"/>
    <s v="202407"/>
    <n v="15"/>
    <n v="2523024.38"/>
    <n v="-6.3080532279096727E-2"/>
    <s v="CohortAvg"/>
    <n v="-2.7087838340058519E-2"/>
    <s v="CohortAvg"/>
    <n v="0.31200994038191687"/>
    <s v="CohortAvg"/>
    <n v="5.8948374720332729E-2"/>
    <s v="CohortAvg_NonZero"/>
    <n v="1.7939330027280659E-4"/>
    <s v="CohortAvg"/>
    <n v="0"/>
    <s v="Zero"/>
    <n v="-2.1647241746013981E-2"/>
    <s v="CohortAvg"/>
    <n v="-3.8270618233509431E-4"/>
    <s v="CohortAvg"/>
    <n v="0"/>
    <n v="-159153.72"/>
    <n v="-68343.28"/>
    <n v="65600.72"/>
    <n v="0"/>
    <n v="452.61"/>
    <n v="-54616.52"/>
    <n v="-965.58"/>
    <n v="2360675.4900000002"/>
    <n v="0.18836900000000001"/>
    <n v="1.0468999999999999"/>
    <n v="0.197212"/>
    <s v="DonorCohort:202101+Seasonal(1.047)"/>
    <n v="465554.62"/>
    <n v="635222.01"/>
    <n v="-169667.39"/>
    <x v="0"/>
    <n v="0"/>
    <n v="0.78500000000000003"/>
    <n v="0.24"/>
    <n v="0"/>
    <n v="0"/>
    <n v="0"/>
    <n v="635222.01"/>
    <n v="2523024.38"/>
    <n v="0.25176999999999999"/>
    <n v="-169667.39"/>
    <n v="-169214.77"/>
    <n v="0"/>
    <n v="-169214.77"/>
    <n v="2529890.27"/>
    <s v="Forecast"/>
  </r>
  <r>
    <x v="0"/>
    <x v="0"/>
    <s v="202408"/>
    <n v="14"/>
    <n v="2642668.75"/>
    <n v="-6.5155454710105309E-2"/>
    <s v="CohortAvg"/>
    <n v="-2.7658102782707809E-2"/>
    <s v="CohortAvg"/>
    <n v="0.31362277636518149"/>
    <s v="CohortAvg"/>
    <n v="5.5936670490838468E-2"/>
    <s v="CohortAvg_NonZero"/>
    <n v="1.6964219670402079E-4"/>
    <s v="CohortAvg"/>
    <n v="0"/>
    <s v="Zero"/>
    <n v="-2.7904158951583189E-2"/>
    <s v="CohortAvg"/>
    <n v="-5.010706722228419E-4"/>
    <s v="CohortAvg"/>
    <n v="0"/>
    <n v="-172184.28"/>
    <n v="-73091.199999999997"/>
    <n v="69066.759999999995"/>
    <n v="0"/>
    <n v="448.31"/>
    <n v="-73741.45"/>
    <n v="-1324.16"/>
    <n v="2466011.71"/>
    <n v="0.163996"/>
    <n v="1.0468999999999999"/>
    <n v="0.17169499999999999"/>
    <s v="DonorCohort:202101+Seasonal(1.047)"/>
    <n v="423402.48"/>
    <n v="669803.81999999995"/>
    <n v="-246401.34"/>
    <x v="0"/>
    <n v="0"/>
    <n v="0.78500000000000003"/>
    <n v="0.24"/>
    <n v="0"/>
    <n v="0"/>
    <n v="0"/>
    <n v="669803.81999999995"/>
    <n v="2642668.75"/>
    <n v="0.25345699999999999"/>
    <n v="-246401.34"/>
    <n v="-245953.03"/>
    <n v="0"/>
    <n v="-245953.03"/>
    <n v="2711964.75"/>
    <s v="Forecast"/>
  </r>
  <r>
    <x v="0"/>
    <x v="0"/>
    <s v="202409"/>
    <n v="13"/>
    <n v="2580823.2400000002"/>
    <n v="-6.4885917870219564E-2"/>
    <s v="CohortAvg"/>
    <n v="-2.8084461291054769E-2"/>
    <s v="CohortAvg"/>
    <n v="0.32436146133149468"/>
    <s v="CohortAvg"/>
    <n v="6.896155149138454E-2"/>
    <s v="CohortAvg_NonZero"/>
    <n v="2.6493627743024432E-4"/>
    <s v="CohortAvg"/>
    <n v="0"/>
    <s v="Zero"/>
    <n v="-4.7210650721230561E-2"/>
    <s v="CohortAvg"/>
    <n v="-6.6519316689480062E-4"/>
    <s v="CohortAvg"/>
    <n v="0"/>
    <n v="-167459.07999999999"/>
    <n v="-72481.03"/>
    <n v="69759.97"/>
    <n v="0"/>
    <n v="683.75"/>
    <n v="-121842.34"/>
    <n v="-1716.75"/>
    <n v="2409959.34"/>
    <n v="0.184257"/>
    <n v="1.0468999999999999"/>
    <n v="0.192908"/>
    <s v="DonorCohort:202101+Seasonal(1.047)"/>
    <n v="464899.57"/>
    <n v="563499.18999999994"/>
    <n v="-98599.62"/>
    <x v="0"/>
    <n v="0"/>
    <n v="0.78500000000000003"/>
    <n v="0.24"/>
    <n v="0"/>
    <n v="0"/>
    <n v="0"/>
    <n v="563499.18999999994"/>
    <n v="2580823.2400000002"/>
    <n v="0.21834100000000001"/>
    <n v="-98599.62"/>
    <n v="-97915.86"/>
    <n v="0"/>
    <n v="-97915.86"/>
    <n v="2507875.2000000002"/>
    <s v="Forecast"/>
  </r>
  <r>
    <x v="0"/>
    <x v="0"/>
    <s v="202410"/>
    <n v="12"/>
    <n v="3386607.26"/>
    <n v="-6.0989001873678117E-2"/>
    <s v="CohortAvg"/>
    <n v="-2.9508684946030529E-2"/>
    <s v="CohortAvg"/>
    <n v="0.3391361454610527"/>
    <s v="CohortAvg"/>
    <n v="5.5086072575357969E-2"/>
    <s v="CohortAvg_NonZero"/>
    <n v="1.1047209673092239E-4"/>
    <s v="CohortAvg"/>
    <n v="0"/>
    <s v="Zero"/>
    <n v="-4.1465903448434129E-2"/>
    <s v="CohortAvg"/>
    <n v="-7.3318388483070967E-4"/>
    <s v="CohortAvg"/>
    <n v="0"/>
    <n v="-206545.8"/>
    <n v="-99934.33"/>
    <n v="95710.080000000002"/>
    <n v="0"/>
    <n v="374.13"/>
    <n v="-140428.73000000001"/>
    <n v="-2483.0100000000002"/>
    <n v="3175463.09"/>
    <n v="0.178732"/>
    <n v="1.0468999999999999"/>
    <n v="0.18712400000000001"/>
    <s v="DonorCohort:202101+Seasonal(1.047)"/>
    <n v="594204.34"/>
    <n v="779951.58"/>
    <n v="-185747.24"/>
    <x v="0"/>
    <n v="0"/>
    <n v="0.78500000000000003"/>
    <n v="0.24"/>
    <n v="0"/>
    <n v="0"/>
    <n v="0"/>
    <n v="779951.58"/>
    <n v="3386607.26"/>
    <n v="0.23030500000000001"/>
    <n v="-185747.24"/>
    <n v="-185373.11"/>
    <n v="0"/>
    <n v="-185373.11"/>
    <n v="3360836.2"/>
    <s v="Forecast"/>
  </r>
  <r>
    <x v="0"/>
    <x v="0"/>
    <s v="202411"/>
    <n v="11"/>
    <n v="3628698.04"/>
    <n v="-6.2656208411778103E-2"/>
    <s v="CohortAvg"/>
    <n v="-3.0575966374255789E-2"/>
    <s v="CohortAvg"/>
    <n v="0.36267223327080289"/>
    <s v="CohortAvg"/>
    <n v="6.743141905898789E-2"/>
    <s v="CohortAvg_NonZero"/>
    <n v="1.3235362442347461E-4"/>
    <s v="CohortAvg"/>
    <n v="0"/>
    <s v="Zero"/>
    <n v="-3.7431102340847927E-2"/>
    <s v="CohortAvg"/>
    <n v="-7.6164191874248321E-4"/>
    <s v="CohortAvg"/>
    <n v="0"/>
    <n v="-227360.46"/>
    <n v="-110950.95"/>
    <n v="109669"/>
    <n v="0"/>
    <n v="480.27"/>
    <n v="-135826.17000000001"/>
    <n v="-2763.77"/>
    <n v="3399575.36"/>
    <n v="0.15490499999999999"/>
    <n v="1.0468999999999999"/>
    <n v="0.16217799999999999"/>
    <s v="DonorCohort:202101+Seasonal(1.047)"/>
    <n v="551334.68000000005"/>
    <n v="776264.4"/>
    <n v="-224929.72"/>
    <x v="0"/>
    <n v="0"/>
    <n v="0.78500000000000003"/>
    <n v="0.24"/>
    <n v="0"/>
    <n v="0"/>
    <n v="0"/>
    <n v="776264.4"/>
    <n v="3628698.04"/>
    <n v="0.213924"/>
    <n v="-224929.72"/>
    <n v="-224449.45"/>
    <n v="0"/>
    <n v="-224449.45"/>
    <n v="3624024.81"/>
    <s v="Forecast"/>
  </r>
  <r>
    <x v="0"/>
    <x v="0"/>
    <s v="202412"/>
    <n v="10"/>
    <n v="3930024.39"/>
    <n v="-6.1849109437045302E-2"/>
    <s v="CohortAvg"/>
    <n v="-3.2292925888156111E-2"/>
    <s v="CohortAvg"/>
    <n v="0.38148380961968098"/>
    <s v="CohortAvg"/>
    <n v="5.3459820296924698E-2"/>
    <s v="CohortAvg_NonZero"/>
    <n v="7.3884234302927781E-5"/>
    <s v="CohortAvg"/>
    <n v="0"/>
    <s v="Zero"/>
    <n v="-3.6469746567410061E-2"/>
    <s v="CohortAvg"/>
    <n v="-7.0249430051854778E-4"/>
    <s v="CohortAvg"/>
    <n v="0"/>
    <n v="-243068.51"/>
    <n v="-126911.99"/>
    <n v="124936.72"/>
    <n v="0"/>
    <n v="290.37"/>
    <n v="-143326.99"/>
    <n v="-2760.82"/>
    <n v="3684690.25"/>
    <n v="0.136487"/>
    <n v="1.0468999999999999"/>
    <n v="0.14289399999999999"/>
    <s v="DonorCohort:202101+Seasonal(1.047)"/>
    <n v="526521.82999999996"/>
    <n v="692250.43"/>
    <n v="-165728.6"/>
    <x v="0"/>
    <n v="0"/>
    <n v="0.78500000000000003"/>
    <n v="0.24"/>
    <n v="0"/>
    <n v="0"/>
    <n v="0"/>
    <n v="692250.43"/>
    <n v="3930024.39"/>
    <n v="0.176144"/>
    <n v="-165728.6"/>
    <n v="-165438.23000000001"/>
    <n v="0"/>
    <n v="-165438.23000000001"/>
    <n v="3850128.48"/>
    <s v="Forecast"/>
  </r>
  <r>
    <x v="0"/>
    <x v="0"/>
    <s v="202501"/>
    <n v="9"/>
    <n v="4363554.4000000004"/>
    <n v="-5.8860709393736263E-2"/>
    <s v="CohortAvg"/>
    <n v="-3.2163753941678773E-2"/>
    <s v="CohortAvg"/>
    <n v="0.37860651150256769"/>
    <s v="CohortAvg"/>
    <n v="3.8504547365527123E-2"/>
    <s v="CohortAvg_NonZero"/>
    <n v="9.143195733807619E-5"/>
    <s v="CohortAvg"/>
    <n v="0"/>
    <s v="Zero"/>
    <n v="-3.5803579426729397E-2"/>
    <s v="CohortAvg"/>
    <n v="-6.8578804791792831E-4"/>
    <s v="CohortAvg"/>
    <n v="0"/>
    <n v="-256841.91"/>
    <n v="-140348.29"/>
    <n v="137672.51"/>
    <n v="0"/>
    <n v="398.97"/>
    <n v="-156230.87"/>
    <n v="-2992.47"/>
    <n v="4103637.74"/>
    <n v="0.120061"/>
    <n v="1.0468999999999999"/>
    <n v="0.125698"/>
    <s v="DonorCohort:202101+Seasonal(1.047)"/>
    <n v="515819.01"/>
    <n v="641382.76"/>
    <n v="-125563.75"/>
    <x v="0"/>
    <n v="0"/>
    <n v="0.78500000000000003"/>
    <n v="0.24"/>
    <n v="0"/>
    <n v="0"/>
    <n v="0"/>
    <n v="641382.76"/>
    <n v="4363554.4000000004"/>
    <n v="0.14698600000000001"/>
    <n v="-125563.75"/>
    <n v="-125164.78"/>
    <n v="0"/>
    <n v="-125164.78"/>
    <n v="4228802.5199999996"/>
    <s v="Forecast"/>
  </r>
  <r>
    <x v="0"/>
    <x v="0"/>
    <s v="202502"/>
    <n v="8"/>
    <n v="5958651.75"/>
    <n v="-5.785860858327492E-2"/>
    <s v="CohortAvg"/>
    <n v="-3.3908252528401663E-2"/>
    <s v="CohortAvg"/>
    <n v="0.40041202585372759"/>
    <s v="CohortAvg"/>
    <n v="2.0405273342932011E-2"/>
    <s v="CohortAvg_NonZero"/>
    <n v="4.1388635682290177E-5"/>
    <s v="CohortAvg"/>
    <n v="0"/>
    <s v="Zero"/>
    <n v="-2.5192483167850159E-2"/>
    <s v="CohortAvg"/>
    <n v="-5.4471840853275312E-4"/>
    <s v="CohortAvg"/>
    <n v="0"/>
    <n v="-344759.3"/>
    <n v="-202047.47"/>
    <n v="198826.32"/>
    <n v="0"/>
    <n v="246.62"/>
    <n v="-150113.23000000001"/>
    <n v="-3245.79"/>
    <n v="5610424.6799999997"/>
    <n v="0.10377699999999999"/>
    <n v="1.0468999999999999"/>
    <n v="0.108649"/>
    <s v="DonorCohort:202101+Seasonal(1.047)"/>
    <n v="609568.53"/>
    <n v="894762.66"/>
    <n v="-285194.13"/>
    <x v="0"/>
    <n v="0"/>
    <n v="0.78500000000000003"/>
    <n v="0.24"/>
    <n v="0"/>
    <n v="0"/>
    <n v="0"/>
    <n v="894762.66"/>
    <n v="5958651.75"/>
    <n v="0.15016199999999999"/>
    <n v="-285194.13"/>
    <n v="-284947.51"/>
    <n v="0"/>
    <n v="-284947.51"/>
    <n v="5895372.1900000004"/>
    <s v="Forecast"/>
  </r>
  <r>
    <x v="0"/>
    <x v="0"/>
    <s v="202503"/>
    <n v="7"/>
    <n v="7538149.3700000001"/>
    <n v="-5.4285710256581299E-2"/>
    <s v="CohortAvg"/>
    <n v="-3.4734757715086308E-2"/>
    <s v="CohortAvg"/>
    <n v="0.43391265418079278"/>
    <s v="CohortAvg"/>
    <n v="2.337347755521255E-2"/>
    <s v="CohortAvg_NonZero"/>
    <n v="8.9092415200120152E-6"/>
    <s v="CohortAvg"/>
    <n v="0"/>
    <s v="Zero"/>
    <n v="0"/>
    <s v="CohortAvg"/>
    <n v="0"/>
    <s v="CohortAvg"/>
    <n v="0"/>
    <n v="-409213.79"/>
    <n v="-261835.79"/>
    <n v="272574.87"/>
    <n v="0"/>
    <n v="67.16"/>
    <n v="0"/>
    <n v="0"/>
    <n v="7139607.4900000002"/>
    <n v="8.6235000000000006E-2"/>
    <n v="1.0468999999999999"/>
    <n v="9.0283000000000002E-2"/>
    <s v="DonorCohort:202101+Seasonal(1.047)"/>
    <n v="644588.43999999994"/>
    <n v="954618.05"/>
    <n v="-310029.61"/>
    <x v="0"/>
    <n v="0"/>
    <n v="0.78500000000000003"/>
    <n v="0.24"/>
    <n v="0"/>
    <n v="0"/>
    <n v="0"/>
    <n v="954618.05"/>
    <n v="7538149.3700000001"/>
    <n v="0.126638"/>
    <n v="-310029.61"/>
    <n v="-309962.45"/>
    <n v="0"/>
    <n v="-309962.45"/>
    <n v="7449569.9400000004"/>
    <s v="Forecast"/>
  </r>
  <r>
    <x v="0"/>
    <x v="0"/>
    <s v="202504"/>
    <n v="6"/>
    <n v="9246422.1400000006"/>
    <n v="-5.1587639781369703E-2"/>
    <s v="CohortAvg"/>
    <n v="-3.5945368267881458E-2"/>
    <s v="CohortAvg"/>
    <n v="0.44254926087589153"/>
    <s v="CohortAvg"/>
    <n v="1.013329171740706E-2"/>
    <s v="CohortAvg_NonZero"/>
    <n v="3.6101729552695831E-6"/>
    <s v="CohortAvg"/>
    <n v="0"/>
    <s v="Zero"/>
    <n v="0"/>
    <s v="CohortAvg"/>
    <n v="0"/>
    <s v="CohortAvg"/>
    <n v="0"/>
    <n v="-477001.09"/>
    <n v="-332366.05"/>
    <n v="340999.77"/>
    <n v="0"/>
    <n v="33.380000000000003"/>
    <n v="0"/>
    <n v="0"/>
    <n v="8778021.3900000006"/>
    <n v="7.5032000000000001E-2"/>
    <n v="1.0468999999999999"/>
    <n v="7.8555E-2"/>
    <s v="DonorCohort:202101+Seasonal(1.047)"/>
    <n v="689555.24"/>
    <n v="979929.79"/>
    <n v="-290374.55"/>
    <x v="0"/>
    <n v="0"/>
    <n v="0.78500000000000003"/>
    <n v="0.24"/>
    <n v="0"/>
    <n v="0"/>
    <n v="0"/>
    <n v="979929.79"/>
    <n v="9246422.1400000006"/>
    <n v="0.105979"/>
    <n v="-290374.55"/>
    <n v="-290341.15999999997"/>
    <n v="0"/>
    <n v="-290341.15999999997"/>
    <n v="9068362.5500000007"/>
    <s v="Forecast"/>
  </r>
  <r>
    <x v="0"/>
    <x v="0"/>
    <s v="202505"/>
    <n v="5"/>
    <n v="9953254.1899999995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9953254.1899999995"/>
    <n v="5.3585000000000001E-2"/>
    <n v="1.0468999999999999"/>
    <n v="5.6100999999999998E-2"/>
    <s v="DonorCohort:202101+Seasonal(1.047)"/>
    <n v="558382.80000000005"/>
    <n v="880386.71"/>
    <n v="-322003.90999999997"/>
    <x v="0"/>
    <n v="0"/>
    <n v="0.78500000000000003"/>
    <n v="0.24"/>
    <n v="0"/>
    <n v="0"/>
    <n v="0"/>
    <n v="880386.71"/>
    <n v="9953254.1899999995"/>
    <n v="8.8452000000000003E-2"/>
    <n v="-322003.90999999997"/>
    <n v="-322003.90999999997"/>
    <n v="0"/>
    <n v="-322003.90999999997"/>
    <n v="10275258.1"/>
    <s v="Forecast"/>
  </r>
  <r>
    <x v="0"/>
    <x v="0"/>
    <s v="202506"/>
    <n v="4"/>
    <n v="10973736.7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0973736.76"/>
    <n v="3.3633000000000003E-2"/>
    <n v="1.0468999999999999"/>
    <n v="3.5212E-2"/>
    <s v="DonorCohort:202101+Seasonal(1.047)"/>
    <n v="386404.22"/>
    <n v="643275.9"/>
    <n v="-256871.67999999999"/>
    <x v="0"/>
    <n v="0"/>
    <n v="0.78500000000000003"/>
    <n v="0.24"/>
    <n v="0"/>
    <n v="0"/>
    <n v="0"/>
    <n v="643275.9"/>
    <n v="10973736.76"/>
    <n v="5.8619999999999998E-2"/>
    <n v="-256871.67999999999"/>
    <n v="-256871.67999999999"/>
    <n v="0"/>
    <n v="-256871.67999999999"/>
    <n v="11230608.439999999"/>
    <s v="Forecast"/>
  </r>
  <r>
    <x v="0"/>
    <x v="0"/>
    <s v="202507"/>
    <n v="3"/>
    <n v="13508660.83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3508660.83"/>
    <n v="2.2329000000000002E-2"/>
    <n v="1.0468999999999999"/>
    <n v="2.3376999999999998E-2"/>
    <s v="DonorCohort:202101+Seasonal(1.047)"/>
    <n v="315794.21000000002"/>
    <n v="382923.36"/>
    <n v="-67129.149999999994"/>
    <x v="0"/>
    <n v="0"/>
    <n v="0.78500000000000003"/>
    <n v="0.24"/>
    <n v="0"/>
    <n v="0"/>
    <n v="0"/>
    <n v="382923.36"/>
    <n v="13508660.83"/>
    <n v="2.8347000000000001E-2"/>
    <n v="-67129.149999999994"/>
    <n v="-67129.149999999994"/>
    <n v="0"/>
    <n v="-67129.149999999994"/>
    <n v="13575789.98"/>
    <s v="Forecast"/>
  </r>
  <r>
    <x v="0"/>
    <x v="0"/>
    <s v="202508"/>
    <n v="2"/>
    <n v="10582346.6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0582346.66"/>
    <n v="1.1269E-2"/>
    <n v="1.0468999999999999"/>
    <n v="1.1797999999999999E-2"/>
    <s v="DonorCohort:202101+Seasonal(1.047)"/>
    <n v="124854.49"/>
    <n v="84576.65"/>
    <n v="40277.839999999997"/>
    <x v="0"/>
    <n v="0"/>
    <n v="0.78500000000000003"/>
    <n v="0.24"/>
    <n v="0"/>
    <n v="0"/>
    <n v="0"/>
    <n v="84576.65"/>
    <n v="10582346.66"/>
    <n v="7.9920000000000008E-3"/>
    <n v="40277.839999999997"/>
    <n v="40277.839999999997"/>
    <n v="0"/>
    <n v="40277.839999999997"/>
    <n v="10542068.82"/>
    <s v="Forecast"/>
  </r>
  <r>
    <x v="0"/>
    <x v="0"/>
    <s v="202509"/>
    <n v="1"/>
    <n v="11481431.4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1481431.49"/>
    <n v="5.489E-3"/>
    <n v="1.0468999999999999"/>
    <n v="5.7460000000000002E-3"/>
    <s v="DonorCohort:202101+Seasonal(1.047)"/>
    <n v="65974.52"/>
    <n v="5084.16"/>
    <n v="60890.36"/>
    <x v="0"/>
    <n v="0"/>
    <n v="0.78500000000000003"/>
    <n v="0.24"/>
    <n v="0"/>
    <n v="0"/>
    <n v="0"/>
    <n v="5084.16"/>
    <n v="11481431.49"/>
    <n v="4.4299999999999998E-4"/>
    <n v="60890.36"/>
    <n v="60890.36"/>
    <n v="0"/>
    <n v="60890.36"/>
    <n v="11420541.130000001"/>
    <s v="Forecast"/>
  </r>
  <r>
    <x v="0"/>
    <x v="1"/>
    <s v="202301"/>
    <n v="23"/>
    <n v="1160678.27"/>
    <n v="-2.9556367986970849E-2"/>
    <s v="CohortAvg"/>
    <n v="-1.1184016555633201E-2"/>
    <s v="CohortAvg"/>
    <n v="0.13571148803411029"/>
    <s v="CohortAvg"/>
    <n v="2.4227718098014821E-2"/>
    <s v="CohortAvg_NonZero"/>
    <n v="0"/>
    <s v="CohortAvg"/>
    <n v="0"/>
    <s v="Zero"/>
    <n v="0"/>
    <s v="CohortAvg"/>
    <n v="0"/>
    <s v="CohortAvg"/>
    <n v="0"/>
    <n v="-34305.43"/>
    <n v="-12981.04"/>
    <n v="13126.45"/>
    <n v="0"/>
    <n v="0"/>
    <n v="0"/>
    <n v="0"/>
    <n v="1126518.24"/>
    <n v="0.23277100000000001"/>
    <n v="1.0333000000000001"/>
    <n v="0.24052299999999999"/>
    <s v="CohortTrend+Seasonal(1.033)"/>
    <n v="270953"/>
    <n v="235092.52"/>
    <n v="35860.480000000003"/>
    <x v="0"/>
    <n v="0"/>
    <n v="0.78500000000000003"/>
    <n v="0.24"/>
    <n v="0"/>
    <n v="0"/>
    <n v="0"/>
    <n v="235092.52"/>
    <n v="1160678.27"/>
    <n v="0.20254800000000001"/>
    <n v="35860.480000000003"/>
    <n v="35860.480000000003"/>
    <n v="0"/>
    <n v="35860.480000000003"/>
    <n v="1090657.76"/>
    <s v="Forecast"/>
  </r>
  <r>
    <x v="0"/>
    <x v="1"/>
    <s v="202404"/>
    <n v="18"/>
    <n v="312423.2"/>
    <n v="-3.4632132864116767E-2"/>
    <s v="CohortAvg"/>
    <n v="-1.4671478268554351E-2"/>
    <s v="CohortAvg"/>
    <n v="0.16290236200084721"/>
    <s v="CohortAvg"/>
    <n v="5.0851863239572817E-2"/>
    <s v="CohortAvg_NonZero"/>
    <n v="0"/>
    <s v="CohortAvg"/>
    <n v="0"/>
    <s v="Zero"/>
    <n v="0"/>
    <s v="CohortAvg"/>
    <n v="0"/>
    <s v="CohortAvg"/>
    <n v="0"/>
    <n v="-10819.88"/>
    <n v="-4583.71"/>
    <n v="4241.21"/>
    <n v="0"/>
    <n v="0"/>
    <n v="0"/>
    <n v="0"/>
    <n v="301260.81"/>
    <n v="0.16040199999999999"/>
    <n v="1.0333000000000001"/>
    <n v="0.165744"/>
    <s v="DonorCohort:202301+Seasonal(1.033)"/>
    <n v="49932.27"/>
    <n v="39377.06"/>
    <n v="10555.21"/>
    <x v="0"/>
    <n v="0"/>
    <n v="0.78500000000000003"/>
    <n v="0.24"/>
    <n v="0"/>
    <n v="0"/>
    <n v="0"/>
    <n v="39377.06"/>
    <n v="312423.2"/>
    <n v="0.12603800000000001"/>
    <n v="10555.21"/>
    <n v="10555.21"/>
    <n v="0"/>
    <n v="10555.21"/>
    <n v="290705.59999999998"/>
    <s v="Forecast"/>
  </r>
  <r>
    <x v="0"/>
    <x v="1"/>
    <s v="202405"/>
    <n v="17"/>
    <n v="474179.94"/>
    <n v="-3.3088612492144842E-2"/>
    <s v="CohortAvg"/>
    <n v="-1.362670038830169E-2"/>
    <s v="CohortAvg"/>
    <n v="0.1651648383243727"/>
    <s v="CohortAvg"/>
    <n v="5.0384056959942261E-2"/>
    <s v="CohortAvg_NonZero"/>
    <n v="2.0265954090204401E-5"/>
    <s v="CohortAvg"/>
    <n v="0"/>
    <s v="Zero"/>
    <n v="0"/>
    <s v="CohortAvg"/>
    <n v="0"/>
    <s v="CohortAvg"/>
    <n v="0"/>
    <n v="-15689.96"/>
    <n v="-6461.51"/>
    <n v="6526.49"/>
    <n v="0"/>
    <n v="9.61"/>
    <n v="0"/>
    <n v="0"/>
    <n v="458545.35"/>
    <n v="0.21996199999999999"/>
    <n v="1.0333000000000001"/>
    <n v="0.22728799999999999"/>
    <s v="DonorCohort:202301+Seasonal(1.033)"/>
    <n v="104221.7"/>
    <n v="76573.36"/>
    <n v="27648.34"/>
    <x v="0"/>
    <n v="0"/>
    <n v="0.78500000000000003"/>
    <n v="0.24"/>
    <n v="0"/>
    <n v="0"/>
    <n v="0"/>
    <n v="76573.36"/>
    <n v="474179.94"/>
    <n v="0.16148599999999999"/>
    <n v="27648.34"/>
    <n v="27657.95"/>
    <n v="0"/>
    <n v="27657.95"/>
    <n v="430887.4"/>
    <s v="Forecast"/>
  </r>
  <r>
    <x v="0"/>
    <x v="1"/>
    <s v="202406"/>
    <n v="16"/>
    <n v="263352.53999999998"/>
    <n v="-2.9706279490969881E-2"/>
    <s v="CohortAvg"/>
    <n v="-1.558874366991516E-2"/>
    <s v="CohortAvg"/>
    <n v="0.18183012159408349"/>
    <s v="CohortAvg"/>
    <n v="5.620844502272148E-2"/>
    <s v="CohortAvg_NonZero"/>
    <n v="0"/>
    <s v="CohortAvg"/>
    <n v="0"/>
    <s v="Zero"/>
    <n v="0"/>
    <s v="CohortAvg"/>
    <n v="0"/>
    <s v="CohortAvg"/>
    <n v="0"/>
    <n v="-7823.22"/>
    <n v="-4105.34"/>
    <n v="3990.45"/>
    <n v="0"/>
    <n v="0"/>
    <n v="0"/>
    <n v="0"/>
    <n v="255414.43"/>
    <n v="0.18634100000000001"/>
    <n v="1.0333000000000001"/>
    <n v="0.19254599999999999"/>
    <s v="DonorCohort:202301+Seasonal(1.033)"/>
    <n v="49179.12"/>
    <n v="15924.72"/>
    <n v="33254.400000000001"/>
    <x v="0"/>
    <n v="0"/>
    <n v="0.78500000000000003"/>
    <n v="0.24"/>
    <n v="0"/>
    <n v="0"/>
    <n v="0"/>
    <n v="15924.72"/>
    <n v="263352.53999999998"/>
    <n v="6.0469000000000002E-2"/>
    <n v="33254.400000000001"/>
    <n v="33254.400000000001"/>
    <n v="0"/>
    <n v="33254.400000000001"/>
    <n v="222160.03"/>
    <s v="Forecast"/>
  </r>
  <r>
    <x v="0"/>
    <x v="1"/>
    <s v="202407"/>
    <n v="15"/>
    <n v="471704.42"/>
    <n v="-3.3934187202582809E-2"/>
    <s v="CohortAvg"/>
    <n v="-1.5117804956733819E-2"/>
    <s v="CohortAvg"/>
    <n v="0.17666526790421119"/>
    <s v="CohortAvg"/>
    <n v="8.2761551975630093E-2"/>
    <s v="CohortAvg_NonZero"/>
    <n v="0"/>
    <s v="CohortAvg"/>
    <n v="0"/>
    <s v="Zero"/>
    <n v="0"/>
    <s v="CohortAvg"/>
    <n v="0"/>
    <s v="CohortAvg"/>
    <n v="0"/>
    <n v="-16006.91"/>
    <n v="-7131.14"/>
    <n v="6944.48"/>
    <n v="0"/>
    <n v="0"/>
    <n v="0"/>
    <n v="0"/>
    <n v="455510.86"/>
    <n v="0.140157"/>
    <n v="1.0333000000000001"/>
    <n v="0.14482500000000001"/>
    <s v="DonorCohort:202301+Seasonal(1.033)"/>
    <n v="65969.33"/>
    <n v="32215.41"/>
    <n v="33753.919999999998"/>
    <x v="0"/>
    <n v="0"/>
    <n v="0.78500000000000003"/>
    <n v="0.24"/>
    <n v="0"/>
    <n v="0"/>
    <n v="0"/>
    <n v="32215.41"/>
    <n v="471704.42"/>
    <n v="6.8295999999999996E-2"/>
    <n v="33753.919999999998"/>
    <n v="33753.919999999998"/>
    <n v="0"/>
    <n v="33753.919999999998"/>
    <n v="421756.94"/>
    <s v="Forecast"/>
  </r>
  <r>
    <x v="0"/>
    <x v="1"/>
    <s v="202408"/>
    <n v="14"/>
    <n v="570319.56000000006"/>
    <n v="-2.5985548276543979E-2"/>
    <s v="CohortAvg"/>
    <n v="-1.552864089887649E-2"/>
    <s v="CohortAvg"/>
    <n v="0.1854940803177266"/>
    <s v="CohortAvg"/>
    <n v="0.1104761026857974"/>
    <s v="CohortAvg_NonZero"/>
    <n v="6.4779322113494954E-8"/>
    <s v="CohortAvg"/>
    <n v="0"/>
    <s v="Zero"/>
    <n v="0"/>
    <s v="CohortAvg"/>
    <n v="0"/>
    <s v="CohortAvg"/>
    <n v="0"/>
    <n v="-14820.07"/>
    <n v="-8856.2900000000009"/>
    <n v="8815.91"/>
    <n v="0"/>
    <n v="0.04"/>
    <n v="0"/>
    <n v="0"/>
    <n v="555459.07999999996"/>
    <n v="0.12357700000000001"/>
    <n v="1.0333000000000001"/>
    <n v="0.127693"/>
    <s v="DonorCohort:202301+Seasonal(1.033)"/>
    <n v="70928.25"/>
    <n v="56038.13"/>
    <n v="14890.12"/>
    <x v="0"/>
    <n v="0"/>
    <n v="0.78500000000000003"/>
    <n v="0.24"/>
    <n v="0"/>
    <n v="0"/>
    <n v="0"/>
    <n v="56038.13"/>
    <n v="570319.56000000006"/>
    <n v="9.8256999999999997E-2"/>
    <n v="14890.12"/>
    <n v="14890.16"/>
    <n v="0"/>
    <n v="14890.16"/>
    <n v="540568.92000000004"/>
    <s v="Forecast"/>
  </r>
  <r>
    <x v="0"/>
    <x v="1"/>
    <s v="202409"/>
    <n v="13"/>
    <n v="604094.49"/>
    <n v="-2.252972432332179E-2"/>
    <s v="CohortAvg"/>
    <n v="-1.562131881216209E-2"/>
    <s v="CohortAvg"/>
    <n v="0.1871555520029311"/>
    <s v="CohortAvg"/>
    <n v="2.9981893307018521E-2"/>
    <s v="CohortAvg_NonZero"/>
    <n v="0"/>
    <s v="CohortAvg"/>
    <n v="0"/>
    <s v="Zero"/>
    <n v="0"/>
    <s v="CohortAvg"/>
    <n v="0"/>
    <s v="CohortAvg"/>
    <n v="0"/>
    <n v="-13610.08"/>
    <n v="-9436.75"/>
    <n v="9421.64"/>
    <n v="0"/>
    <n v="0"/>
    <n v="0"/>
    <n v="0"/>
    <n v="590469.29"/>
    <n v="0.12820899999999999"/>
    <n v="1.0333000000000001"/>
    <n v="0.13247900000000001"/>
    <s v="DonorCohort:202301+Seasonal(1.033)"/>
    <n v="78224.83"/>
    <n v="23415.05"/>
    <n v="54809.78"/>
    <x v="0"/>
    <n v="0"/>
    <n v="0.78500000000000003"/>
    <n v="0.24"/>
    <n v="0"/>
    <n v="0"/>
    <n v="0"/>
    <n v="23415.05"/>
    <n v="604094.49"/>
    <n v="3.8760999999999997E-2"/>
    <n v="54809.78"/>
    <n v="54809.78"/>
    <n v="0"/>
    <n v="54809.78"/>
    <n v="535659.51"/>
    <s v="Forecast"/>
  </r>
  <r>
    <x v="0"/>
    <x v="1"/>
    <s v="202410"/>
    <n v="12"/>
    <n v="463335.09"/>
    <n v="-2.798768849857981E-2"/>
    <s v="CohortAvg"/>
    <n v="-1.6232971507638909E-2"/>
    <s v="CohortAvg"/>
    <n v="0.19135390280436751"/>
    <s v="CohortAvg"/>
    <n v="3.536536966726643E-2"/>
    <s v="CohortAvg_NonZero"/>
    <n v="2.842110273634009E-5"/>
    <s v="CohortAvg"/>
    <n v="0"/>
    <s v="Zero"/>
    <n v="0"/>
    <s v="CohortAvg"/>
    <n v="0"/>
    <s v="CohortAvg"/>
    <n v="0"/>
    <n v="-12967.68"/>
    <n v="-7521.31"/>
    <n v="7388.41"/>
    <n v="0"/>
    <n v="13.17"/>
    <n v="0"/>
    <n v="0"/>
    <n v="450221.35"/>
    <n v="0.10606699999999999"/>
    <n v="1.0333000000000001"/>
    <n v="0.109599"/>
    <s v="DonorCohort:202301+Seasonal(1.033)"/>
    <n v="49343.82"/>
    <n v="15621.07"/>
    <n v="33722.75"/>
    <x v="0"/>
    <n v="0"/>
    <n v="0.78500000000000003"/>
    <n v="0.24"/>
    <n v="0"/>
    <n v="0"/>
    <n v="0"/>
    <n v="15621.07"/>
    <n v="463335.09"/>
    <n v="3.3714000000000001E-2"/>
    <n v="33722.75"/>
    <n v="33735.910000000003"/>
    <n v="0"/>
    <n v="33735.910000000003"/>
    <n v="416485.44"/>
    <s v="Forecast"/>
  </r>
  <r>
    <x v="0"/>
    <x v="1"/>
    <s v="202411"/>
    <n v="11"/>
    <n v="587145.59"/>
    <n v="-2.3732731041271729E-2"/>
    <s v="CohortAvg"/>
    <n v="-1.486691625975462E-2"/>
    <s v="CohortAvg"/>
    <n v="0.17876209540765409"/>
    <s v="CohortAvg"/>
    <n v="4.581849051913725E-2"/>
    <s v="CohortAvg_NonZero"/>
    <n v="0"/>
    <s v="CohortAvg"/>
    <n v="0"/>
    <s v="Zero"/>
    <n v="0"/>
    <s v="CohortAvg"/>
    <n v="0"/>
    <s v="CohortAvg"/>
    <n v="0"/>
    <n v="-13934.57"/>
    <n v="-8729.0400000000009"/>
    <n v="8746.61"/>
    <n v="0"/>
    <n v="0"/>
    <n v="0"/>
    <n v="0"/>
    <n v="573228.59"/>
    <n v="0.109781"/>
    <n v="1.0333000000000001"/>
    <n v="0.113437"/>
    <s v="DonorCohort:202301+Seasonal(1.033)"/>
    <n v="65025.16"/>
    <n v="62360.7"/>
    <n v="2664.46"/>
    <x v="0"/>
    <n v="0"/>
    <n v="0.78500000000000003"/>
    <n v="0.24"/>
    <n v="0"/>
    <n v="0"/>
    <n v="0"/>
    <n v="62360.7"/>
    <n v="587145.59"/>
    <n v="0.10621"/>
    <n v="2664.46"/>
    <n v="2664.46"/>
    <n v="0"/>
    <n v="2664.46"/>
    <n v="570564.14"/>
    <s v="Forecast"/>
  </r>
  <r>
    <x v="0"/>
    <x v="1"/>
    <s v="202412"/>
    <n v="10"/>
    <n v="52967.3"/>
    <n v="-9.1569674197538465E-3"/>
    <s v="CohortAvg"/>
    <n v="-1.325277596258023E-2"/>
    <s v="CohortAvg"/>
    <n v="0.18549609210748899"/>
    <s v="CohortAvg"/>
    <n v="0.2"/>
    <s v="CohortAvg_NonZero"/>
    <n v="0"/>
    <s v="CohortAvg"/>
    <n v="0"/>
    <s v="Zero"/>
    <n v="0"/>
    <s v="CohortAvg"/>
    <n v="0"/>
    <s v="CohortAvg"/>
    <n v="0"/>
    <n v="-485.02"/>
    <n v="-701.96"/>
    <n v="818.77"/>
    <n v="0"/>
    <n v="0"/>
    <n v="0"/>
    <n v="0"/>
    <n v="52599.09"/>
    <n v="8.3028000000000005E-2"/>
    <n v="1.0333000000000001"/>
    <n v="8.5792999999999994E-2"/>
    <s v="DonorCohort:202301+Seasonal(1.033)"/>
    <n v="4512.63"/>
    <n v="0"/>
    <n v="4512.63"/>
    <x v="0"/>
    <n v="0"/>
    <n v="0.78500000000000003"/>
    <n v="0.24"/>
    <n v="0"/>
    <n v="0"/>
    <n v="0"/>
    <n v="0"/>
    <n v="52967.3"/>
    <n v="0"/>
    <n v="4512.63"/>
    <n v="4512.63"/>
    <n v="0"/>
    <n v="4512.63"/>
    <n v="48086.45"/>
    <s v="Forecast"/>
  </r>
  <r>
    <x v="0"/>
    <x v="1"/>
    <s v="202501"/>
    <n v="9"/>
    <n v="60436.42"/>
    <n v="-1.4582462747107691E-2"/>
    <s v="CohortAvg"/>
    <n v="-1.729356716878229E-2"/>
    <s v="CohortAvg"/>
    <n v="0.20441381755513971"/>
    <s v="CohortAvg"/>
    <n v="0"/>
    <s v="CohortAvg_NoData_ERROR"/>
    <n v="0"/>
    <s v="CohortAvg"/>
    <n v="0"/>
    <s v="Zero"/>
    <n v="0"/>
    <s v="CohortAvg"/>
    <n v="0"/>
    <s v="CohortAvg"/>
    <n v="0"/>
    <n v="-881.31"/>
    <n v="-1045.1600000000001"/>
    <n v="1029.5"/>
    <n v="0"/>
    <n v="0"/>
    <n v="0"/>
    <n v="0"/>
    <n v="59539.45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60436.42"/>
    <n v="0"/>
    <n v="0"/>
    <n v="0"/>
    <n v="0"/>
    <n v="0"/>
    <n v="59539.45"/>
    <s v="Forecast"/>
  </r>
  <r>
    <x v="0"/>
    <x v="1"/>
    <s v="202502"/>
    <n v="8"/>
    <n v="127420.87"/>
    <n v="-1.2372124734179179E-2"/>
    <s v="CohortAvg"/>
    <n v="-1.688873690366631E-2"/>
    <s v="CohortAvg"/>
    <n v="0.197272724640398"/>
    <s v="CohortAvg"/>
    <n v="0"/>
    <s v="CohortAvg_NoData_ERROR"/>
    <n v="0"/>
    <s v="CohortAvg"/>
    <n v="0"/>
    <s v="Zero"/>
    <n v="0"/>
    <s v="CohortAvg"/>
    <n v="0"/>
    <s v="CohortAvg"/>
    <n v="0"/>
    <n v="-1576.47"/>
    <n v="-2151.98"/>
    <n v="2094.7199999999998"/>
    <n v="0"/>
    <n v="0"/>
    <n v="0"/>
    <n v="0"/>
    <n v="125787.15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27420.87"/>
    <n v="0"/>
    <n v="0"/>
    <n v="0"/>
    <n v="0"/>
    <n v="0"/>
    <n v="125787.15"/>
    <s v="Forecast"/>
  </r>
  <r>
    <x v="0"/>
    <x v="1"/>
    <s v="202503"/>
    <n v="7"/>
    <n v="83860.81"/>
    <n v="-9.8329582639761111E-3"/>
    <s v="CohortAvg"/>
    <n v="-1.717352777798397E-2"/>
    <s v="CohortAvg"/>
    <n v="0.20582464899109509"/>
    <s v="CohortAvg"/>
    <n v="0"/>
    <s v="CohortAvg_NoData_ERROR"/>
    <n v="0"/>
    <s v="CohortAvg"/>
    <n v="0"/>
    <s v="Zero"/>
    <n v="0"/>
    <s v="CohortAvg"/>
    <n v="0"/>
    <s v="CohortAvg"/>
    <n v="0"/>
    <n v="-824.6"/>
    <n v="-1440.19"/>
    <n v="1438.39"/>
    <n v="0"/>
    <n v="0"/>
    <n v="0"/>
    <n v="0"/>
    <n v="83034.41"/>
    <n v="4.0827000000000002E-2"/>
    <n v="1.0333000000000001"/>
    <n v="4.2187000000000002E-2"/>
    <s v="DonorCohort:202301+Seasonal(1.033)"/>
    <n v="3502.97"/>
    <n v="7102.18"/>
    <n v="-3599.21"/>
    <x v="0"/>
    <n v="0"/>
    <n v="0.78500000000000003"/>
    <n v="0.24"/>
    <n v="0"/>
    <n v="0"/>
    <n v="0"/>
    <n v="7102.18"/>
    <n v="83860.81"/>
    <n v="8.4690000000000001E-2"/>
    <n v="-3599.21"/>
    <n v="-3599.21"/>
    <n v="0"/>
    <n v="-3599.21"/>
    <n v="86633.62"/>
    <s v="Forecast"/>
  </r>
  <r>
    <x v="0"/>
    <x v="1"/>
    <s v="202504"/>
    <n v="6"/>
    <n v="62697.2"/>
    <n v="-2.033860356394547E-2"/>
    <s v="CohortAvg"/>
    <n v="-1.6759829650389149E-2"/>
    <s v="CohortAvg"/>
    <n v="0.20351096305288291"/>
    <s v="CohortAvg"/>
    <n v="0"/>
    <s v="CohortAvg_NoData_ERROR"/>
    <n v="0"/>
    <s v="CohortAvg"/>
    <n v="0"/>
    <s v="Zero"/>
    <n v="0"/>
    <s v="CohortAvg"/>
    <n v="0"/>
    <s v="CohortAvg"/>
    <n v="0"/>
    <n v="-1275.17"/>
    <n v="-1050.79"/>
    <n v="1063.3"/>
    <n v="0"/>
    <n v="0"/>
    <n v="0"/>
    <n v="0"/>
    <n v="61434.5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62697.2"/>
    <n v="0"/>
    <n v="0"/>
    <n v="0"/>
    <n v="0"/>
    <n v="0"/>
    <n v="61434.53"/>
    <s v="Forecast"/>
  </r>
  <r>
    <x v="0"/>
    <x v="1"/>
    <s v="202505"/>
    <n v="5"/>
    <n v="16425.98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6425.98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6425.98"/>
    <n v="0"/>
    <n v="0"/>
    <n v="0"/>
    <n v="0"/>
    <n v="0"/>
    <n v="16425.98"/>
    <s v="Forecast"/>
  </r>
  <r>
    <x v="0"/>
    <x v="1"/>
    <s v="202506"/>
    <n v="4"/>
    <n v="29971.3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9971.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29971.3"/>
    <n v="0"/>
    <n v="0"/>
    <n v="0"/>
    <n v="0"/>
    <n v="0"/>
    <n v="29971.3"/>
    <s v="Forecast"/>
  </r>
  <r>
    <x v="0"/>
    <x v="1"/>
    <s v="202507"/>
    <n v="3"/>
    <n v="114199.5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14199.52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14199.52"/>
    <n v="0"/>
    <n v="0"/>
    <n v="0"/>
    <n v="0"/>
    <n v="0"/>
    <n v="114199.52"/>
    <s v="Forecast"/>
  </r>
  <r>
    <x v="0"/>
    <x v="1"/>
    <s v="202508"/>
    <n v="2"/>
    <n v="46868.7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46868.77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46868.77"/>
    <n v="0"/>
    <n v="0"/>
    <n v="0"/>
    <n v="0"/>
    <n v="0"/>
    <n v="46868.77"/>
    <s v="Forecast"/>
  </r>
  <r>
    <x v="0"/>
    <x v="1"/>
    <s v="202509"/>
    <n v="1"/>
    <n v="15353.3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5353.37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0"/>
    <x v="2"/>
    <s v="202101"/>
    <n v="57"/>
    <n v="3035583.9"/>
    <n v="-0.123204814728176"/>
    <s v="CohortAvg"/>
    <n v="-1.079552046446553E-2"/>
    <s v="CohortAvg"/>
    <n v="0.1146683469140647"/>
    <s v="CohortAvg"/>
    <n v="2.098788817591463E-2"/>
    <s v="CohortAvg_NonZero"/>
    <n v="0"/>
    <s v="CohortAvg"/>
    <n v="0"/>
    <s v="Zero"/>
    <n v="0"/>
    <s v="CohortAvg"/>
    <n v="0"/>
    <s v="CohortAvg"/>
    <n v="0"/>
    <n v="-373998.55"/>
    <n v="-32770.71"/>
    <n v="29007.119999999999"/>
    <n v="0"/>
    <n v="0"/>
    <n v="0"/>
    <n v="0"/>
    <n v="2657821.7599999998"/>
    <n v="0.25797199999999998"/>
    <n v="1.0760000000000001"/>
    <n v="0.277582"/>
    <s v="CohortAvg+Seasonal(1.076)"/>
    <n v="737763.79"/>
    <n v="806975.54"/>
    <n v="-69211.75"/>
    <x v="0"/>
    <n v="0"/>
    <n v="0.78500000000000003"/>
    <n v="0.24"/>
    <n v="0"/>
    <n v="0"/>
    <n v="0"/>
    <n v="806975.54"/>
    <n v="3035583.9"/>
    <n v="0.26583899999999999"/>
    <n v="-69211.75"/>
    <n v="-69211.75"/>
    <n v="0"/>
    <n v="-69211.75"/>
    <n v="2727033.51"/>
    <s v="Forecast"/>
  </r>
  <r>
    <x v="0"/>
    <x v="2"/>
    <s v="202201"/>
    <n v="37"/>
    <n v="194456.57"/>
    <n v="-7.2202478924839289E-2"/>
    <s v="CohortAvg"/>
    <n v="-1.2774379513322359E-2"/>
    <s v="CohortAvg"/>
    <n v="0.1445987645474108"/>
    <s v="CohortAvg"/>
    <n v="2.7059887967934779E-2"/>
    <s v="CohortAvg_NonZero"/>
    <n v="6.7162656166188354E-8"/>
    <s v="CohortAvg"/>
    <n v="0"/>
    <s v="Zero"/>
    <n v="-8.5174952766686361E-4"/>
    <s v="CohortAvg"/>
    <n v="-3.8454964659379476E-6"/>
    <s v="CohortAvg"/>
    <n v="0"/>
    <n v="-14040.25"/>
    <n v="-2484.06"/>
    <n v="2343.1799999999998"/>
    <n v="0"/>
    <n v="0.01"/>
    <n v="-165.63"/>
    <n v="-0.75"/>
    <n v="180275.43"/>
    <n v="0.19583900000000001"/>
    <n v="1.0760000000000001"/>
    <n v="0.210726"/>
    <s v="CohortTrend+Seasonal(1.076)"/>
    <n v="37988.769999999997"/>
    <n v="30390.69"/>
    <n v="7598.08"/>
    <x v="0"/>
    <n v="0"/>
    <n v="0.78500000000000003"/>
    <n v="0.24"/>
    <n v="0"/>
    <n v="0"/>
    <n v="0"/>
    <n v="30390.69"/>
    <n v="194456.57"/>
    <n v="0.15628500000000001"/>
    <n v="7598.08"/>
    <n v="7598.1"/>
    <n v="0"/>
    <n v="7598.1"/>
    <n v="172677.33"/>
    <s v="Forecast"/>
  </r>
  <r>
    <x v="0"/>
    <x v="2"/>
    <s v="202301"/>
    <n v="28"/>
    <n v="11951897.25"/>
    <n v="-4.5680677640053291E-2"/>
    <s v="CohortAvg"/>
    <n v="-1.5199125091590609E-2"/>
    <s v="CohortAvg"/>
    <n v="0.17113728551950241"/>
    <s v="CohortAvg"/>
    <n v="1.8252441939867001E-2"/>
    <s v="CohortAvg_NonZero"/>
    <n v="5.9554654625133039E-6"/>
    <s v="CohortAvg"/>
    <n v="0"/>
    <s v="Zero"/>
    <n v="-5.6733140984311691E-3"/>
    <s v="CohortAvg"/>
    <n v="-2.3724220432817888E-5"/>
    <s v="CohortAvg"/>
    <n v="0"/>
    <n v="-545970.77"/>
    <n v="-181658.38"/>
    <n v="170451.27"/>
    <n v="0"/>
    <n v="71.180000000000007"/>
    <n v="-67806.87"/>
    <n v="-283.55"/>
    <n v="11394648.199999999"/>
    <n v="0.154831"/>
    <n v="1.0760000000000001"/>
    <n v="0.166601"/>
    <s v="CohortTrend+Seasonal(1.076)"/>
    <n v="1898360.21"/>
    <n v="1488584.26"/>
    <n v="409775.95"/>
    <x v="0"/>
    <n v="0"/>
    <n v="0.78500000000000003"/>
    <n v="0.24"/>
    <n v="0"/>
    <n v="0"/>
    <n v="0"/>
    <n v="1488584.26"/>
    <n v="11951897.25"/>
    <n v="0.12454800000000001"/>
    <n v="409775.95"/>
    <n v="409847.12"/>
    <n v="0"/>
    <n v="409847.12"/>
    <n v="10984801.07"/>
    <s v="Forecast"/>
  </r>
  <r>
    <x v="0"/>
    <x v="2"/>
    <s v="202404"/>
    <n v="18"/>
    <n v="2980564.9"/>
    <n v="-3.3744141308791963E-2"/>
    <s v="CohortAvg"/>
    <n v="-1.506359201564665E-2"/>
    <s v="CohortAvg"/>
    <n v="0.17966130349198131"/>
    <s v="CohortAvg"/>
    <n v="2.0766041621865669E-2"/>
    <s v="CohortAvg_NonZero"/>
    <n v="2.0891804467281121E-5"/>
    <s v="CohortAvg"/>
    <n v="0"/>
    <s v="Zero"/>
    <n v="-5.7943406271666192E-3"/>
    <s v="CohortAvg"/>
    <n v="-5.5556667709506922E-5"/>
    <s v="CohortAvg"/>
    <n v="0"/>
    <n v="-100576.6"/>
    <n v="-44898.01"/>
    <n v="44624.35"/>
    <n v="0"/>
    <n v="62.27"/>
    <n v="-17270.41"/>
    <n v="-165.59"/>
    <n v="2879652.36"/>
    <n v="8.2997000000000001E-2"/>
    <n v="1.0760000000000001"/>
    <n v="8.9305999999999996E-2"/>
    <s v="DonorCohort:202101+Seasonal(1.076)"/>
    <n v="257169.18"/>
    <n v="322453.87"/>
    <n v="-65284.69"/>
    <x v="0"/>
    <n v="0"/>
    <n v="0.78500000000000003"/>
    <n v="0.24"/>
    <n v="0"/>
    <n v="0"/>
    <n v="0"/>
    <n v="322453.87"/>
    <n v="2980564.9"/>
    <n v="0.108185"/>
    <n v="-65284.69"/>
    <n v="-65222.43"/>
    <n v="0"/>
    <n v="-65222.43"/>
    <n v="2944874.79"/>
    <s v="Forecast"/>
  </r>
  <r>
    <x v="0"/>
    <x v="2"/>
    <s v="202405"/>
    <n v="17"/>
    <n v="2724042.47"/>
    <n v="-2.8081751123935701E-2"/>
    <s v="CohortAvg"/>
    <n v="-1.5395643230119129E-2"/>
    <s v="CohortAvg"/>
    <n v="0.18161154437267019"/>
    <s v="CohortAvg"/>
    <n v="2.1608920707852829E-2"/>
    <s v="CohortAvg_NonZero"/>
    <n v="2.7244495658647131E-5"/>
    <s v="CohortAvg"/>
    <n v="0"/>
    <s v="Zero"/>
    <n v="-6.9648818843091979E-3"/>
    <s v="CohortAvg"/>
    <n v="-5.9860954030860022E-5"/>
    <s v="CohortAvg"/>
    <n v="0"/>
    <n v="-76495.88"/>
    <n v="-41938.39"/>
    <n v="41226.46"/>
    <n v="0"/>
    <n v="74.22"/>
    <n v="-18972.63"/>
    <n v="-163.06"/>
    <n v="2646760.4500000002"/>
    <n v="7.7456999999999998E-2"/>
    <n v="1.0760000000000001"/>
    <n v="8.3346000000000003E-2"/>
    <s v="DonorCohort:202101+Seasonal(1.076)"/>
    <n v="220595.66"/>
    <n v="252714.25"/>
    <n v="-32118.59"/>
    <x v="0"/>
    <n v="0"/>
    <n v="0.78500000000000003"/>
    <n v="0.24"/>
    <n v="0"/>
    <n v="0"/>
    <n v="0"/>
    <n v="252714.25"/>
    <n v="2724042.47"/>
    <n v="9.2771999999999993E-2"/>
    <n v="-32118.59"/>
    <n v="-32044.38"/>
    <n v="0"/>
    <n v="-32044.38"/>
    <n v="2678804.83"/>
    <s v="Forecast"/>
  </r>
  <r>
    <x v="0"/>
    <x v="2"/>
    <s v="202406"/>
    <n v="16"/>
    <n v="2559981.85"/>
    <n v="-3.3110490297086827E-2"/>
    <s v="CohortAvg"/>
    <n v="-1.475335579924893E-2"/>
    <s v="CohortAvg"/>
    <n v="0.180397870910666"/>
    <s v="CohortAvg"/>
    <n v="2.7250419923611279E-2"/>
    <s v="CohortAvg_NonZero"/>
    <n v="2.098261688136848E-5"/>
    <s v="CohortAvg"/>
    <n v="0"/>
    <s v="Zero"/>
    <n v="-8.2790551828958621E-3"/>
    <s v="CohortAvg"/>
    <n v="-7.2112044321661958E-5"/>
    <s v="CohortAvg"/>
    <n v="0"/>
    <n v="-84762.25"/>
    <n v="-37768.32"/>
    <n v="38484.61"/>
    <n v="0"/>
    <n v="53.72"/>
    <n v="-21194.23"/>
    <n v="-184.61"/>
    <n v="2475882.16"/>
    <n v="7.5951000000000005E-2"/>
    <n v="1.0760000000000001"/>
    <n v="8.1725000000000006E-2"/>
    <s v="DonorCohort:202101+Seasonal(1.076)"/>
    <n v="202340.92"/>
    <n v="285910.3"/>
    <n v="-83569.38"/>
    <x v="0"/>
    <n v="0"/>
    <n v="0.78500000000000003"/>
    <n v="0.24"/>
    <n v="0"/>
    <n v="0"/>
    <n v="0"/>
    <n v="285910.3"/>
    <n v="2559981.85"/>
    <n v="0.11168500000000001"/>
    <n v="-83569.38"/>
    <n v="-83515.66"/>
    <n v="0"/>
    <n v="-83515.66"/>
    <n v="2559397.83"/>
    <s v="Forecast"/>
  </r>
  <r>
    <x v="0"/>
    <x v="2"/>
    <s v="202407"/>
    <n v="15"/>
    <n v="4349482.1100000003"/>
    <n v="-2.7549928285178091E-2"/>
    <s v="CohortAvg"/>
    <n v="-1.544806698651789E-2"/>
    <s v="CohortAvg"/>
    <n v="0.1820521880513751"/>
    <s v="CohortAvg"/>
    <n v="1.85583335733252E-2"/>
    <s v="CohortAvg_NonZero"/>
    <n v="1.5791128540945712E-5"/>
    <s v="CohortAvg"/>
    <n v="0"/>
    <s v="Zero"/>
    <n v="-8.4162459670689676E-3"/>
    <s v="CohortAvg"/>
    <n v="-8.6088265125107056E-5"/>
    <s v="CohortAvg"/>
    <n v="0"/>
    <n v="-119827.92"/>
    <n v="-67191.09"/>
    <n v="65986.06"/>
    <n v="0"/>
    <n v="68.680000000000007"/>
    <n v="-36606.31"/>
    <n v="-374.44"/>
    <n v="4228380.4800000004"/>
    <n v="6.8154000000000006E-2"/>
    <n v="1.0760000000000001"/>
    <n v="7.3334999999999997E-2"/>
    <s v="DonorCohort:202101+Seasonal(1.076)"/>
    <n v="310086.84999999998"/>
    <n v="374036.07"/>
    <n v="-63949.22"/>
    <x v="0"/>
    <n v="0"/>
    <n v="0.78500000000000003"/>
    <n v="0.24"/>
    <n v="0"/>
    <n v="0"/>
    <n v="0"/>
    <n v="374036.07"/>
    <n v="4349482.1100000003"/>
    <n v="8.5996000000000003E-2"/>
    <n v="-63949.22"/>
    <n v="-63880.54"/>
    <n v="0"/>
    <n v="-63880.54"/>
    <n v="4292261.01"/>
    <s v="Forecast"/>
  </r>
  <r>
    <x v="0"/>
    <x v="2"/>
    <s v="202408"/>
    <n v="14"/>
    <n v="2983355.65"/>
    <n v="-2.880943818679833E-2"/>
    <s v="CohortAvg"/>
    <n v="-1.633703975070282E-2"/>
    <s v="CohortAvg"/>
    <n v="0.19359168882198291"/>
    <s v="CohortAvg"/>
    <n v="1.1787644971249371E-2"/>
    <s v="CohortAvg_NonZero"/>
    <n v="8.4027682544301823E-6"/>
    <s v="CohortAvg"/>
    <n v="0"/>
    <s v="Zero"/>
    <n v="-1.4417481146479351E-2"/>
    <s v="CohortAvg"/>
    <n v="-1.3950460180503729E-4"/>
    <s v="CohortAvg"/>
    <n v="0"/>
    <n v="-85948.800000000003"/>
    <n v="-48739.199999999997"/>
    <n v="48129.4"/>
    <n v="0"/>
    <n v="25.07"/>
    <n v="-43012.47"/>
    <n v="-416.19"/>
    <n v="2896771.99"/>
    <n v="5.6022000000000002E-2"/>
    <n v="1.0760000000000001"/>
    <n v="6.0281000000000001E-2"/>
    <s v="DonorCohort:202101+Seasonal(1.076)"/>
    <n v="174619.28"/>
    <n v="254870.66"/>
    <n v="-80251.38"/>
    <x v="0"/>
    <n v="0"/>
    <n v="0.78500000000000003"/>
    <n v="0.24"/>
    <n v="0"/>
    <n v="0"/>
    <n v="0"/>
    <n v="254870.66"/>
    <n v="2983355.65"/>
    <n v="8.5431000000000007E-2"/>
    <n v="-80251.38"/>
    <n v="-80226.320000000007"/>
    <n v="0"/>
    <n v="-80226.320000000007"/>
    <n v="2976998.3"/>
    <s v="Forecast"/>
  </r>
  <r>
    <x v="0"/>
    <x v="2"/>
    <s v="202409"/>
    <n v="13"/>
    <n v="3038266.8"/>
    <n v="-3.3467480230112853E-2"/>
    <s v="CohortAvg"/>
    <n v="-1.632997347093821E-2"/>
    <s v="CohortAvg"/>
    <n v="0.19327263543777029"/>
    <s v="CohortAvg"/>
    <n v="1.8008064467509629E-2"/>
    <s v="CohortAvg_NonZero"/>
    <n v="3.201243473988157E-5"/>
    <s v="CohortAvg"/>
    <n v="0"/>
    <s v="Zero"/>
    <n v="-1.9608256900932059E-2"/>
    <s v="CohortAvg"/>
    <n v="-1.807433398365305E-4"/>
    <s v="CohortAvg"/>
    <n v="0"/>
    <n v="-101683.13"/>
    <n v="-49614.82"/>
    <n v="48934.49"/>
    <n v="0"/>
    <n v="97.26"/>
    <n v="-59575.12"/>
    <n v="-549.15"/>
    <n v="2935806.07"/>
    <n v="5.0972999999999997E-2"/>
    <n v="1.0760000000000001"/>
    <n v="5.4848000000000001E-2"/>
    <s v="DonorCohort:202101+Seasonal(1.076)"/>
    <n v="161023.28"/>
    <n v="204316.71"/>
    <n v="-43293.43"/>
    <x v="0"/>
    <n v="0"/>
    <n v="0.78500000000000003"/>
    <n v="0.24"/>
    <n v="0"/>
    <n v="0"/>
    <n v="0"/>
    <n v="204316.71"/>
    <n v="3038266.8"/>
    <n v="6.7248000000000002E-2"/>
    <n v="-43293.43"/>
    <n v="-43196.17"/>
    <n v="0"/>
    <n v="-43196.17"/>
    <n v="2979002.24"/>
    <s v="Forecast"/>
  </r>
  <r>
    <x v="0"/>
    <x v="2"/>
    <s v="202410"/>
    <n v="12"/>
    <n v="2948745.81"/>
    <n v="-3.0286584670930119E-2"/>
    <s v="CohortAvg"/>
    <n v="-1.6261199813031289E-2"/>
    <s v="CohortAvg"/>
    <n v="0.1911678853163771"/>
    <s v="CohortAvg"/>
    <n v="1.1213206195935939E-2"/>
    <s v="CohortAvg_NonZero"/>
    <n v="4.4596322471347583E-5"/>
    <s v="CohortAvg"/>
    <n v="0"/>
    <s v="Zero"/>
    <n v="-1.957533280822896E-2"/>
    <s v="CohortAvg"/>
    <n v="-1.8477489046451879E-4"/>
    <s v="CohortAvg"/>
    <n v="0"/>
    <n v="-89307.44"/>
    <n v="-47950.14"/>
    <n v="46975.46"/>
    <n v="0"/>
    <n v="131.5"/>
    <n v="-57722.68"/>
    <n v="-544.85"/>
    <n v="2858332.18"/>
    <n v="4.6005999999999998E-2"/>
    <n v="1.0760000000000001"/>
    <n v="4.9502999999999998E-2"/>
    <s v="DonorCohort:202101+Seasonal(1.076)"/>
    <n v="141496.09"/>
    <n v="270249.31"/>
    <n v="-128753.22"/>
    <x v="0"/>
    <n v="0"/>
    <n v="0.78500000000000003"/>
    <n v="0.24"/>
    <n v="0"/>
    <n v="0"/>
    <n v="0"/>
    <n v="270249.31"/>
    <n v="2948745.81"/>
    <n v="9.1648999999999994E-2"/>
    <n v="-128753.22"/>
    <n v="-128621.71"/>
    <n v="0"/>
    <n v="-128621.71"/>
    <n v="2986953.89"/>
    <s v="Forecast"/>
  </r>
  <r>
    <x v="0"/>
    <x v="2"/>
    <s v="202411"/>
    <n v="11"/>
    <n v="3285945.9"/>
    <n v="-3.3252964034102592E-2"/>
    <s v="CohortAvg"/>
    <n v="-1.691078635631665E-2"/>
    <s v="CohortAvg"/>
    <n v="0.19952087453592629"/>
    <s v="CohortAvg"/>
    <n v="1.543075042098891E-2"/>
    <s v="CohortAvg_NonZero"/>
    <n v="2.1970018932327641E-5"/>
    <s v="CohortAvg"/>
    <n v="0"/>
    <s v="Zero"/>
    <n v="-1.379107654544702E-2"/>
    <s v="CohortAvg"/>
    <n v="-1.289045796206764E-4"/>
    <s v="CohortAvg"/>
    <n v="0"/>
    <n v="-109267.44"/>
    <n v="-55567.93"/>
    <n v="54634.57"/>
    <n v="0"/>
    <n v="72.19"/>
    <n v="-45316.73"/>
    <n v="-423.57"/>
    <n v="3175672.9"/>
    <n v="3.9648000000000003E-2"/>
    <n v="1.0760000000000001"/>
    <n v="4.2661999999999999E-2"/>
    <s v="DonorCohort:202101+Seasonal(1.076)"/>
    <n v="135480.98000000001"/>
    <n v="168466.25"/>
    <n v="-32985.269999999997"/>
    <x v="0"/>
    <n v="0"/>
    <n v="0.78500000000000003"/>
    <n v="0.24"/>
    <n v="0"/>
    <n v="0"/>
    <n v="0"/>
    <n v="168466.25"/>
    <n v="3285945.9"/>
    <n v="5.1269000000000002E-2"/>
    <n v="-32985.269999999997"/>
    <n v="-32913.07"/>
    <n v="0"/>
    <n v="-32913.07"/>
    <n v="3208585.98"/>
    <s v="Forecast"/>
  </r>
  <r>
    <x v="0"/>
    <x v="2"/>
    <s v="202412"/>
    <n v="10"/>
    <n v="2716445.11"/>
    <n v="-2.7709787181559909E-2"/>
    <s v="CohortAvg"/>
    <n v="-1.6692305856911512E-2"/>
    <s v="CohortAvg"/>
    <n v="0.20072428746113721"/>
    <s v="CohortAvg"/>
    <n v="2.1322571808025811E-2"/>
    <s v="CohortAvg_NonZero"/>
    <n v="2.666101527762018E-5"/>
    <s v="CohortAvg"/>
    <n v="0"/>
    <s v="Zero"/>
    <n v="-1.772037660812429E-2"/>
    <s v="CohortAvg"/>
    <n v="-1.6990498994526949E-4"/>
    <s v="CohortAvg"/>
    <n v="0"/>
    <n v="-75272.12"/>
    <n v="-45343.73"/>
    <n v="45438.04"/>
    <n v="0"/>
    <n v="72.42"/>
    <n v="-48136.43"/>
    <n v="-461.54"/>
    <n v="2641194.88"/>
    <n v="3.2902000000000001E-2"/>
    <n v="1.0760000000000001"/>
    <n v="3.5402999999999997E-2"/>
    <s v="DonorCohort:202101+Seasonal(1.076)"/>
    <n v="93507.199999999997"/>
    <n v="187378.53"/>
    <n v="-93871.33"/>
    <x v="0"/>
    <n v="0"/>
    <n v="0.78500000000000003"/>
    <n v="0.24"/>
    <n v="0"/>
    <n v="0"/>
    <n v="0"/>
    <n v="187378.53"/>
    <n v="2716445.11"/>
    <n v="6.8978999999999999E-2"/>
    <n v="-93871.33"/>
    <n v="-93798.9"/>
    <n v="0"/>
    <n v="-93798.9"/>
    <n v="2734993.79"/>
    <s v="Forecast"/>
  </r>
  <r>
    <x v="0"/>
    <x v="2"/>
    <s v="202501"/>
    <n v="9"/>
    <n v="4943312.74"/>
    <n v="-2.792595576279551E-2"/>
    <s v="CohortAvg"/>
    <n v="-1.6899329753794341E-2"/>
    <s v="CohortAvg"/>
    <n v="0.2012457620933637"/>
    <s v="CohortAvg"/>
    <n v="9.8046267630525919E-3"/>
    <s v="CohortAvg_NonZero"/>
    <n v="3.4521190377902178E-4"/>
    <s v="CohortAvg"/>
    <n v="0"/>
    <s v="Zero"/>
    <n v="-9.8753279984018141E-3"/>
    <s v="CohortAvg"/>
    <n v="-9.2064325199117978E-5"/>
    <s v="CohortAvg"/>
    <n v="0"/>
    <n v="-138046.73000000001"/>
    <n v="-83538.67"/>
    <n v="82901.73"/>
    <n v="0"/>
    <n v="1706.49"/>
    <n v="-48816.83"/>
    <n v="-455.1"/>
    <n v="4802922.57"/>
    <n v="2.1177000000000001E-2"/>
    <n v="1.0760000000000001"/>
    <n v="2.2787000000000002E-2"/>
    <s v="DonorCohort:202101+Seasonal(1.076)"/>
    <n v="109444.25"/>
    <n v="288192.21000000002"/>
    <n v="-178747.96"/>
    <x v="0"/>
    <n v="0"/>
    <n v="0.78500000000000003"/>
    <n v="0.24"/>
    <n v="0"/>
    <n v="0"/>
    <n v="0"/>
    <n v="288192.21000000002"/>
    <n v="4943312.74"/>
    <n v="5.8298999999999997E-2"/>
    <n v="-178747.96"/>
    <n v="-177041.47"/>
    <n v="0"/>
    <n v="-177041.47"/>
    <n v="4979964.04"/>
    <s v="Forecast"/>
  </r>
  <r>
    <x v="0"/>
    <x v="2"/>
    <s v="202502"/>
    <n v="8"/>
    <n v="5151310.04"/>
    <n v="-3.2366992303336353E-2"/>
    <s v="CohortAvg"/>
    <n v="-1.7533586127936939E-2"/>
    <s v="CohortAvg"/>
    <n v="0.2072308694184026"/>
    <s v="CohortAvg"/>
    <n v="7.9645373695133598E-3"/>
    <s v="CohortAvg_NonZero"/>
    <n v="0"/>
    <s v="CohortAvg"/>
    <n v="0"/>
    <s v="Zero"/>
    <n v="-8.7127287847166852E-3"/>
    <s v="CohortAvg"/>
    <n v="-7.965288596691248E-5"/>
    <s v="CohortAvg"/>
    <n v="0"/>
    <n v="-166732.41"/>
    <n v="-90320.94"/>
    <n v="88959.2"/>
    <n v="0"/>
    <n v="0"/>
    <n v="-44881.97"/>
    <n v="-410.32"/>
    <n v="4983215.8899999997"/>
    <n v="1.5480000000000001E-2"/>
    <n v="1.0760000000000001"/>
    <n v="1.6657000000000002E-2"/>
    <s v="DonorCohort:202101+Seasonal(1.076)"/>
    <n v="83005.77"/>
    <n v="217080.79"/>
    <n v="-134075.01999999999"/>
    <x v="0"/>
    <n v="0"/>
    <n v="0.78500000000000003"/>
    <n v="0.24"/>
    <n v="0"/>
    <n v="0"/>
    <n v="0"/>
    <n v="217080.79"/>
    <n v="5151310.04"/>
    <n v="4.2140999999999998E-2"/>
    <n v="-134075.01999999999"/>
    <n v="-134075.01999999999"/>
    <n v="0"/>
    <n v="-134075.01999999999"/>
    <n v="5117290.91"/>
    <s v="Forecast"/>
  </r>
  <r>
    <x v="0"/>
    <x v="2"/>
    <s v="202503"/>
    <n v="7"/>
    <n v="6162266.5199999996"/>
    <n v="-2.3485498037072009E-2"/>
    <s v="CohortAvg"/>
    <n v="-1.6714184839180829E-2"/>
    <s v="CohortAvg"/>
    <n v="0.2000492410711493"/>
    <s v="CohortAvg"/>
    <n v="7.1848262480383486E-3"/>
    <s v="CohortAvg_NonZero"/>
    <n v="9.0957820067060229E-7"/>
    <s v="CohortAvg"/>
    <n v="0"/>
    <s v="Zero"/>
    <n v="0"/>
    <s v="CohortAvg"/>
    <n v="0"/>
    <s v="CohortAvg"/>
    <n v="0"/>
    <n v="-144723.9"/>
    <n v="-102997.26"/>
    <n v="102729.73"/>
    <n v="0"/>
    <n v="5.61"/>
    <n v="0"/>
    <n v="0"/>
    <n v="6017269.4800000004"/>
    <n v="1.3179E-2"/>
    <n v="1.0760000000000001"/>
    <n v="1.4180999999999999E-2"/>
    <s v="DonorCohort:202101+Seasonal(1.076)"/>
    <n v="85329.79"/>
    <n v="187919.85"/>
    <n v="-102590.06"/>
    <x v="0"/>
    <n v="0"/>
    <n v="0.78500000000000003"/>
    <n v="0.24"/>
    <n v="0"/>
    <n v="0"/>
    <n v="0"/>
    <n v="187919.85"/>
    <n v="6162266.5199999996"/>
    <n v="3.0495000000000001E-2"/>
    <n v="-102590.06"/>
    <n v="-102584.46"/>
    <n v="0"/>
    <n v="-102584.46"/>
    <n v="6119853.9400000004"/>
    <s v="Forecast"/>
  </r>
  <r>
    <x v="0"/>
    <x v="2"/>
    <s v="202504"/>
    <n v="6"/>
    <n v="7795952.7999999998"/>
    <n v="-2.3731289489177899E-2"/>
    <s v="CohortAvg"/>
    <n v="-1.6519246458932709E-2"/>
    <s v="CohortAvg"/>
    <n v="0.19606893557298771"/>
    <s v="CohortAvg"/>
    <n v="3.260907177009143E-3"/>
    <s v="CohortAvg_NonZero"/>
    <n v="0"/>
    <s v="CohortAvg"/>
    <n v="0"/>
    <s v="Zero"/>
    <n v="0"/>
    <s v="CohortAvg"/>
    <n v="0"/>
    <s v="CohortAvg"/>
    <n v="0"/>
    <n v="-185008.01"/>
    <n v="-128783.27"/>
    <n v="127378.68"/>
    <n v="0"/>
    <n v="0"/>
    <n v="0"/>
    <n v="0"/>
    <n v="7609540.2000000002"/>
    <n v="9.2390000000000007E-3"/>
    <n v="1.0760000000000001"/>
    <n v="9.9419999999999994E-3"/>
    <s v="DonorCohort:202101+Seasonal(1.076)"/>
    <n v="75650.789999999994"/>
    <n v="213529"/>
    <n v="-137878.21"/>
    <x v="0"/>
    <n v="0"/>
    <n v="0.78500000000000003"/>
    <n v="0.24"/>
    <n v="0"/>
    <n v="0"/>
    <n v="0"/>
    <n v="213529"/>
    <n v="7795952.7999999998"/>
    <n v="2.7390000000000001E-2"/>
    <n v="-137878.21"/>
    <n v="-137878.21"/>
    <n v="0"/>
    <n v="-137878.21"/>
    <n v="7747418.4100000001"/>
    <s v="Forecast"/>
  </r>
  <r>
    <x v="0"/>
    <x v="2"/>
    <s v="202505"/>
    <n v="5"/>
    <n v="7268939.2999999998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7268939.2999999998"/>
    <n v="6.4140000000000004E-3"/>
    <n v="1.0760000000000001"/>
    <n v="6.901E-3"/>
    <s v="DonorCohort:202101+Seasonal(1.076)"/>
    <n v="50166.55"/>
    <n v="183805.59"/>
    <n v="-133639.04000000001"/>
    <x v="0"/>
    <n v="0"/>
    <n v="0.78500000000000003"/>
    <n v="0.24"/>
    <n v="0"/>
    <n v="0"/>
    <n v="0"/>
    <n v="183805.59"/>
    <n v="7268939.2999999998"/>
    <n v="2.5285999999999999E-2"/>
    <n v="-133639.04000000001"/>
    <n v="-133639.04000000001"/>
    <n v="0"/>
    <n v="-133639.04000000001"/>
    <n v="7402578.3399999999"/>
    <s v="Forecast"/>
  </r>
  <r>
    <x v="0"/>
    <x v="2"/>
    <s v="202506"/>
    <n v="4"/>
    <n v="7085059.3200000003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7085059.3200000003"/>
    <n v="3.4640000000000001E-3"/>
    <n v="1.0760000000000001"/>
    <n v="3.7269999999999998E-3"/>
    <s v="DonorCohort:202101+Seasonal(1.076)"/>
    <n v="26407.439999999999"/>
    <n v="169781.39"/>
    <n v="-143373.95000000001"/>
    <x v="0"/>
    <n v="0"/>
    <n v="0.78500000000000003"/>
    <n v="0.24"/>
    <n v="0"/>
    <n v="0"/>
    <n v="0"/>
    <n v="169781.39"/>
    <n v="7085059.3200000003"/>
    <n v="2.3963000000000002E-2"/>
    <n v="-143373.95000000001"/>
    <n v="-143373.95000000001"/>
    <n v="0"/>
    <n v="-143373.95000000001"/>
    <n v="7228433.2699999996"/>
    <s v="Forecast"/>
  </r>
  <r>
    <x v="0"/>
    <x v="2"/>
    <s v="202507"/>
    <n v="3"/>
    <n v="8680064.720000000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8680064.7200000007"/>
    <n v="2.3609999999999998E-3"/>
    <n v="1.0760000000000001"/>
    <n v="2.5400000000000002E-3"/>
    <s v="DonorCohort:202101+Seasonal(1.076)"/>
    <n v="22047.61"/>
    <n v="52999.99"/>
    <n v="-30952.38"/>
    <x v="0"/>
    <n v="0"/>
    <n v="0.78500000000000003"/>
    <n v="0.24"/>
    <n v="0"/>
    <n v="0"/>
    <n v="0"/>
    <n v="52999.99"/>
    <n v="8680064.7200000007"/>
    <n v="6.1060000000000003E-3"/>
    <n v="-30952.38"/>
    <n v="-30952.38"/>
    <n v="0"/>
    <n v="-30952.38"/>
    <n v="8711017.0999999996"/>
    <s v="Forecast"/>
  </r>
  <r>
    <x v="0"/>
    <x v="2"/>
    <s v="202508"/>
    <n v="2"/>
    <n v="7533596.419999999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7533596.4199999999"/>
    <n v="1.3190000000000001E-3"/>
    <n v="1.0760000000000001"/>
    <n v="1.4189999999999999E-3"/>
    <s v="DonorCohort:202101+Seasonal(1.076)"/>
    <n v="10689.69"/>
    <n v="18268.86"/>
    <n v="-7579.17"/>
    <x v="0"/>
    <n v="0"/>
    <n v="0.78500000000000003"/>
    <n v="0.24"/>
    <n v="0"/>
    <n v="0"/>
    <n v="0"/>
    <n v="18268.86"/>
    <n v="7533596.4199999999"/>
    <n v="2.4250000000000001E-3"/>
    <n v="-7579.17"/>
    <n v="-7579.17"/>
    <n v="0"/>
    <n v="-7579.17"/>
    <n v="7541175.5899999999"/>
    <s v="Forecast"/>
  </r>
  <r>
    <x v="0"/>
    <x v="2"/>
    <s v="202509"/>
    <n v="1"/>
    <n v="8727304.429999999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8727304.4299999997"/>
    <n v="0"/>
    <n v="1.0760000000000001"/>
    <n v="0"/>
    <s v="DonorCohort:202101+Seasonal(1.076)"/>
    <n v="0"/>
    <n v="0"/>
    <n v="0"/>
    <x v="0"/>
    <n v="0"/>
    <n v="0.78500000000000003"/>
    <n v="0.24"/>
    <n v="0"/>
    <n v="0"/>
    <n v="0"/>
    <n v="0"/>
    <n v="8727304.4299999997"/>
    <n v="0"/>
    <n v="0"/>
    <n v="0"/>
    <n v="0"/>
    <n v="0"/>
    <n v="8727304.4299999997"/>
    <s v="Forecast"/>
  </r>
  <r>
    <x v="0"/>
    <x v="3"/>
    <s v="201912"/>
    <n v="70"/>
    <n v="60918.42"/>
    <n v="-1.3001206525113111E-2"/>
    <s v="CohortAvg"/>
    <n v="-7.2889226454341503E-4"/>
    <s v="CohortAvg"/>
    <n v="0"/>
    <s v="CohortAvg"/>
    <n v="3.4075604431020673E-2"/>
    <s v="CohortAvg_NonZero"/>
    <n v="3.0345540695742809E-5"/>
    <s v="CohortAvg"/>
    <n v="0"/>
    <s v="Zero"/>
    <n v="0"/>
    <s v="CohortAvg"/>
    <n v="0"/>
    <s v="CohortAvg"/>
    <n v="0"/>
    <n v="-792.01"/>
    <n v="-44.4"/>
    <n v="0"/>
    <n v="0"/>
    <n v="1.85"/>
    <n v="0"/>
    <n v="0"/>
    <n v="60080.160000000003"/>
    <n v="0.99379300000000004"/>
    <n v="0.99670000000000003"/>
    <n v="0.99046999999999996"/>
    <s v="CohortAvg+Seasonal(0.997)"/>
    <n v="59507.57"/>
    <n v="59654"/>
    <n v="-146.43"/>
    <x v="0"/>
    <n v="0"/>
    <n v="0.78500000000000003"/>
    <n v="0.24"/>
    <n v="0"/>
    <n v="0"/>
    <n v="0"/>
    <n v="59654"/>
    <n v="60918.42"/>
    <n v="0.979244"/>
    <n v="-146.43"/>
    <n v="-144.58000000000001"/>
    <n v="0"/>
    <n v="-144.58000000000001"/>
    <n v="60224.74"/>
    <s v="Forecast"/>
  </r>
  <r>
    <x v="0"/>
    <x v="3"/>
    <s v="202001"/>
    <n v="69"/>
    <n v="4571.87"/>
    <n v="-0.26789605438150998"/>
    <s v="CohortAvg"/>
    <n v="-8.7059578571315637E-4"/>
    <s v="CohortAvg"/>
    <n v="0"/>
    <s v="CohortAvg"/>
    <n v="1.6188637680939019E-2"/>
    <s v="CohortAvg_NonZero"/>
    <n v="0"/>
    <s v="CohortAvg"/>
    <n v="0"/>
    <s v="Zero"/>
    <n v="0"/>
    <s v="CohortAvg"/>
    <n v="0"/>
    <s v="CohortAvg"/>
    <n v="0"/>
    <n v="-1224.79"/>
    <n v="-3.98"/>
    <n v="0"/>
    <n v="0"/>
    <n v="0"/>
    <n v="0"/>
    <n v="0"/>
    <n v="3343.1"/>
    <n v="0.74814400000000003"/>
    <n v="0.99670000000000003"/>
    <n v="0.74564200000000003"/>
    <s v="CohortAvg+Seasonal(0.997)"/>
    <n v="2492.7600000000002"/>
    <n v="4391.09"/>
    <n v="-1898.33"/>
    <x v="0"/>
    <n v="0"/>
    <n v="0.78500000000000003"/>
    <n v="0.24"/>
    <n v="0"/>
    <n v="0"/>
    <n v="0"/>
    <n v="4391.09"/>
    <n v="4571.87"/>
    <n v="0.96045800000000003"/>
    <n v="-1898.33"/>
    <n v="-1898.33"/>
    <n v="0"/>
    <n v="-1898.33"/>
    <n v="5241.4399999999996"/>
    <s v="Forecast"/>
  </r>
  <r>
    <x v="0"/>
    <x v="3"/>
    <s v="202101"/>
    <n v="57"/>
    <n v="2237190.62"/>
    <n v="-0.10374435904991421"/>
    <s v="CohortAvg"/>
    <n v="-1.110108110376372E-2"/>
    <s v="CohortAvg"/>
    <n v="0.123749468812777"/>
    <s v="CohortAvg"/>
    <n v="7.850128654456532E-3"/>
    <s v="CohortAvg_NonZero"/>
    <n v="0"/>
    <s v="CohortAvg"/>
    <n v="0"/>
    <s v="Zero"/>
    <n v="-4.5197006121916712E-3"/>
    <s v="CohortAvg"/>
    <n v="-5.0677167897517127E-5"/>
    <s v="CohortAvg"/>
    <n v="0"/>
    <n v="-232095.91"/>
    <n v="-24835.23"/>
    <n v="23070.93"/>
    <n v="0"/>
    <n v="0"/>
    <n v="-10111.43"/>
    <n v="-113.37"/>
    <n v="2003330.41"/>
    <n v="0.269453"/>
    <n v="0.99670000000000003"/>
    <n v="0.26855200000000001"/>
    <s v="CohortAvg+Seasonal(0.997)"/>
    <n v="537997.84"/>
    <n v="638572.79"/>
    <n v="-100574.95"/>
    <x v="0"/>
    <n v="0"/>
    <n v="0.78500000000000003"/>
    <n v="0.24"/>
    <n v="0"/>
    <n v="0"/>
    <n v="0"/>
    <n v="638572.79"/>
    <n v="2237190.62"/>
    <n v="0.28543499999999999"/>
    <n v="-100574.95"/>
    <n v="-100574.95"/>
    <n v="0"/>
    <n v="-100574.95"/>
    <n v="2103905.35"/>
    <s v="Forecast"/>
  </r>
  <r>
    <x v="0"/>
    <x v="3"/>
    <s v="202201"/>
    <n v="37"/>
    <n v="469898.68"/>
    <n v="-8.9782417006244744E-2"/>
    <s v="CohortAvg"/>
    <n v="-1.139626068705365E-2"/>
    <s v="CohortAvg"/>
    <n v="0.1232898360559318"/>
    <s v="CohortAvg"/>
    <n v="1.616083667377223E-2"/>
    <s v="CohortAvg_NonZero"/>
    <n v="2.9440222517989429E-4"/>
    <s v="CohortAvg"/>
    <n v="0"/>
    <s v="Zero"/>
    <n v="-3.0952089322945939E-3"/>
    <s v="CohortAvg"/>
    <n v="-1.95183472023546E-5"/>
    <s v="CohortAvg"/>
    <n v="0"/>
    <n v="-42188.639999999999"/>
    <n v="-5355.09"/>
    <n v="4827.8100000000004"/>
    <n v="0"/>
    <n v="138.34"/>
    <n v="-1454.43"/>
    <n v="-9.17"/>
    <n v="427044.42"/>
    <n v="0.29642200000000002"/>
    <n v="0.99670000000000003"/>
    <n v="0.295431"/>
    <s v="CohortTrend+Seasonal(0.997)"/>
    <n v="126161.96"/>
    <n v="145833.53"/>
    <n v="-19671.57"/>
    <x v="0"/>
    <n v="0"/>
    <n v="0.78500000000000003"/>
    <n v="0.24"/>
    <n v="0"/>
    <n v="0"/>
    <n v="0"/>
    <n v="145833.53"/>
    <n v="469898.68"/>
    <n v="0.31035099999999999"/>
    <n v="-19671.57"/>
    <n v="-19533.23"/>
    <n v="0"/>
    <n v="-19533.23"/>
    <n v="446577.66"/>
    <s v="Forecast"/>
  </r>
  <r>
    <x v="0"/>
    <x v="3"/>
    <s v="202301"/>
    <n v="28"/>
    <n v="4875102.47"/>
    <n v="-7.6681745394037923E-2"/>
    <s v="CohortAvg"/>
    <n v="-1.6295004346394242E-2"/>
    <s v="CohortAvg"/>
    <n v="0.19108590244394771"/>
    <s v="CohortAvg"/>
    <n v="1.7841963637751309E-2"/>
    <s v="CohortAvg_NonZero"/>
    <n v="9.7059014345503728E-5"/>
    <s v="CohortAvg"/>
    <n v="0"/>
    <s v="Zero"/>
    <n v="-4.9034345724788646E-3"/>
    <s v="CohortAvg"/>
    <n v="-5.7650463753258531E-5"/>
    <s v="CohortAvg"/>
    <n v="0"/>
    <n v="-373831.37"/>
    <n v="-79439.820000000007"/>
    <n v="77630.28"/>
    <n v="0"/>
    <n v="473.17"/>
    <n v="-23904.75"/>
    <n v="-281.05"/>
    <n v="4498988.3899999997"/>
    <n v="0.20114699999999999"/>
    <n v="0.99670000000000003"/>
    <n v="0.20047400000000001"/>
    <s v="CohortTrend+Seasonal(0.997)"/>
    <n v="901929.56"/>
    <n v="855691.88"/>
    <n v="46237.68"/>
    <x v="0"/>
    <n v="0"/>
    <n v="0.78500000000000003"/>
    <n v="0.24"/>
    <n v="0"/>
    <n v="0"/>
    <n v="0"/>
    <n v="855691.88"/>
    <n v="4875102.47"/>
    <n v="0.17552300000000001"/>
    <n v="46237.68"/>
    <n v="46710.85"/>
    <n v="0"/>
    <n v="46710.85"/>
    <n v="4452277.54"/>
    <s v="Forecast"/>
  </r>
  <r>
    <x v="0"/>
    <x v="3"/>
    <s v="202404"/>
    <n v="18"/>
    <n v="1135465.04"/>
    <n v="-4.7277273271160679E-2"/>
    <s v="CohortAvg"/>
    <n v="-1.737599787039738E-2"/>
    <s v="CohortAvg"/>
    <n v="0.20090276252054071"/>
    <s v="CohortAvg"/>
    <n v="3.4720855373512258E-2"/>
    <s v="CohortAvg_NonZero"/>
    <n v="3.9471928718070372E-5"/>
    <s v="CohortAvg"/>
    <n v="0"/>
    <s v="Zero"/>
    <n v="-1.5054367828433529E-2"/>
    <s v="CohortAvg"/>
    <n v="-1.533059929295783E-4"/>
    <s v="CohortAvg"/>
    <n v="0"/>
    <n v="-53681.69"/>
    <n v="-19729.84"/>
    <n v="19009.84"/>
    <n v="0"/>
    <n v="44.82"/>
    <n v="-17093.71"/>
    <n v="-174.07"/>
    <n v="1081018.53"/>
    <n v="6.1674E-2"/>
    <n v="0.99670000000000003"/>
    <n v="6.1468000000000002E-2"/>
    <s v="DonorCohort:202101+Seasonal(0.997)"/>
    <n v="66448.210000000006"/>
    <n v="142130.71"/>
    <n v="-75682.5"/>
    <x v="0"/>
    <n v="0"/>
    <n v="0.78500000000000003"/>
    <n v="0.24"/>
    <n v="0"/>
    <n v="0"/>
    <n v="0"/>
    <n v="142130.71"/>
    <n v="1135465.04"/>
    <n v="0.12517400000000001"/>
    <n v="-75682.5"/>
    <n v="-75637.679999999993"/>
    <n v="0"/>
    <n v="-75637.679999999993"/>
    <n v="1156656.21"/>
    <s v="Forecast"/>
  </r>
  <r>
    <x v="0"/>
    <x v="3"/>
    <s v="202405"/>
    <n v="17"/>
    <n v="1006382.04"/>
    <n v="-5.1532186545650359E-2"/>
    <s v="CohortAvg"/>
    <n v="-1.7987462467042421E-2"/>
    <s v="CohortAvg"/>
    <n v="0.20871143857546839"/>
    <s v="CohortAvg"/>
    <n v="3.2819672288004802E-2"/>
    <s v="CohortAvg_NonZero"/>
    <n v="7.4489596525994885E-5"/>
    <s v="CohortAvg"/>
    <n v="0"/>
    <s v="Zero"/>
    <n v="-1.533677813997766E-2"/>
    <s v="CohortAvg"/>
    <n v="-1.4506569185027739E-4"/>
    <s v="CohortAvg"/>
    <n v="0"/>
    <n v="-51861.07"/>
    <n v="-18102.259999999998"/>
    <n v="17503.62"/>
    <n v="0"/>
    <n v="74.959999999999994"/>
    <n v="-15434.66"/>
    <n v="-145.99"/>
    <n v="953847.37"/>
    <n v="5.8741000000000002E-2"/>
    <n v="0.99670000000000003"/>
    <n v="5.8543999999999999E-2"/>
    <s v="DonorCohort:202101+Seasonal(0.997)"/>
    <n v="55842.27"/>
    <n v="133438.69"/>
    <n v="-77596.42"/>
    <x v="0"/>
    <n v="0"/>
    <n v="0.78500000000000003"/>
    <n v="0.24"/>
    <n v="0"/>
    <n v="0"/>
    <n v="0"/>
    <n v="133438.69"/>
    <n v="1006382.04"/>
    <n v="0.13259199999999999"/>
    <n v="-77596.42"/>
    <n v="-77521.45"/>
    <n v="0"/>
    <n v="-77521.45"/>
    <n v="1031368.82"/>
    <s v="Forecast"/>
  </r>
  <r>
    <x v="0"/>
    <x v="3"/>
    <s v="202406"/>
    <n v="16"/>
    <n v="1206635.83"/>
    <n v="-5.067045986081669E-2"/>
    <s v="CohortAvg"/>
    <n v="-1.846770218030392E-2"/>
    <s v="CohortAvg"/>
    <n v="0.21348881003121681"/>
    <s v="CohortAvg"/>
    <n v="2.712457020894601E-2"/>
    <s v="CohortAvg_NonZero"/>
    <n v="4.460608629641929E-5"/>
    <s v="CohortAvg"/>
    <n v="0"/>
    <s v="Zero"/>
    <n v="-2.0554163597231188E-2"/>
    <s v="CohortAvg"/>
    <n v="-2.149395344730732E-4"/>
    <s v="CohortAvg"/>
    <n v="0"/>
    <n v="-61140.79"/>
    <n v="-22283.79"/>
    <n v="21466.94"/>
    <n v="0"/>
    <n v="53.82"/>
    <n v="-24801.39"/>
    <n v="-259.35000000000002"/>
    <n v="1144624.3600000001"/>
    <n v="5.4886999999999998E-2"/>
    <n v="0.99670000000000003"/>
    <n v="5.4704000000000003E-2"/>
    <s v="DonorCohort:202101+Seasonal(0.997)"/>
    <n v="62615.34"/>
    <n v="144572.95000000001"/>
    <n v="-81957.61"/>
    <x v="0"/>
    <n v="0"/>
    <n v="0.78500000000000003"/>
    <n v="0.24"/>
    <n v="0"/>
    <n v="0"/>
    <n v="0"/>
    <n v="144572.95000000001"/>
    <n v="1206635.83"/>
    <n v="0.119815"/>
    <n v="-81957.61"/>
    <n v="-81903.789999999994"/>
    <n v="0"/>
    <n v="-81903.789999999994"/>
    <n v="1226528.1499999999"/>
    <s v="Forecast"/>
  </r>
  <r>
    <x v="0"/>
    <x v="3"/>
    <s v="202407"/>
    <n v="15"/>
    <n v="1186959.49"/>
    <n v="-5.5093041692309747E-2"/>
    <s v="CohortAvg"/>
    <n v="-1.8525511046021851E-2"/>
    <s v="CohortAvg"/>
    <n v="0.21642780056100891"/>
    <s v="CohortAvg"/>
    <n v="1.9923260728127619E-2"/>
    <s v="CohortAvg_NonZero"/>
    <n v="4.4261046982144963E-5"/>
    <s v="CohortAvg"/>
    <n v="0"/>
    <s v="Zero"/>
    <n v="-2.2599139466154251E-2"/>
    <s v="CohortAvg"/>
    <n v="-2.4854345496844952E-4"/>
    <s v="CohortAvg"/>
    <n v="0"/>
    <n v="-65393.21"/>
    <n v="-21989.03"/>
    <n v="21407.59"/>
    <n v="0"/>
    <n v="52.54"/>
    <n v="-26824.26"/>
    <n v="-295.01"/>
    <n v="1120932.3"/>
    <n v="5.1081000000000001E-2"/>
    <n v="0.99670000000000003"/>
    <n v="5.0910999999999998E-2"/>
    <s v="DonorCohort:202101+Seasonal(0.997)"/>
    <n v="57067.35"/>
    <n v="130202.58"/>
    <n v="-73135.23"/>
    <x v="0"/>
    <n v="0"/>
    <n v="0.78500000000000003"/>
    <n v="0.24"/>
    <n v="0"/>
    <n v="0"/>
    <n v="0"/>
    <n v="130202.58"/>
    <n v="1186959.49"/>
    <n v="0.109694"/>
    <n v="-73135.23"/>
    <n v="-73082.69"/>
    <n v="0"/>
    <n v="-73082.69"/>
    <n v="1194014.99"/>
    <s v="Forecast"/>
  </r>
  <r>
    <x v="0"/>
    <x v="3"/>
    <s v="202408"/>
    <n v="14"/>
    <n v="1318156.92"/>
    <n v="-4.7294748276612418E-2"/>
    <s v="CohortAvg"/>
    <n v="-1.9045680702396008E-2"/>
    <s v="CohortAvg"/>
    <n v="0.22124448436082289"/>
    <s v="CohortAvg"/>
    <n v="2.250547133564533E-2"/>
    <s v="CohortAvg_NonZero"/>
    <n v="5.7846590217485882E-5"/>
    <s v="CohortAvg"/>
    <n v="0"/>
    <s v="Zero"/>
    <n v="-2.4068478905618852E-2"/>
    <s v="CohortAvg"/>
    <n v="-2.5386965958247608E-4"/>
    <s v="CohortAvg"/>
    <n v="0"/>
    <n v="-62341.9"/>
    <n v="-25105.200000000001"/>
    <n v="24302.91"/>
    <n v="0"/>
    <n v="76.25"/>
    <n v="-31726.03"/>
    <n v="-334.64"/>
    <n v="1254936.49"/>
    <n v="4.3057999999999999E-2"/>
    <n v="0.99670000000000003"/>
    <n v="4.2914000000000001E-2"/>
    <s v="DonorCohort:202101+Seasonal(0.997)"/>
    <n v="53854.84"/>
    <n v="145870.88"/>
    <n v="-92016.04"/>
    <x v="0"/>
    <n v="0"/>
    <n v="0.78500000000000003"/>
    <n v="0.24"/>
    <n v="0"/>
    <n v="0"/>
    <n v="0"/>
    <n v="145870.88"/>
    <n v="1318156.92"/>
    <n v="0.110663"/>
    <n v="-92016.04"/>
    <n v="-91939.79"/>
    <n v="0"/>
    <n v="-91939.79"/>
    <n v="1346876.27"/>
    <s v="Forecast"/>
  </r>
  <r>
    <x v="0"/>
    <x v="3"/>
    <s v="202409"/>
    <n v="13"/>
    <n v="1203094.8799999999"/>
    <n v="-5.312217645079962E-2"/>
    <s v="CohortAvg"/>
    <n v="-1.9072504733434661E-2"/>
    <s v="CohortAvg"/>
    <n v="0.21785851165848599"/>
    <s v="CohortAvg"/>
    <n v="2.1375778760171899E-2"/>
    <s v="CohortAvg_NonZero"/>
    <n v="5.9492600229087318E-5"/>
    <s v="CohortAvg"/>
    <n v="0"/>
    <s v="Zero"/>
    <n v="-3.9686367376917768E-2"/>
    <s v="CohortAvg"/>
    <n v="-4.2980125677652729E-4"/>
    <s v="CohortAvg"/>
    <n v="0"/>
    <n v="-63911.02"/>
    <n v="-22946.03"/>
    <n v="21842.04"/>
    <n v="0"/>
    <n v="71.58"/>
    <n v="-47746.47"/>
    <n v="-517.09"/>
    <n v="1138008.29"/>
    <n v="3.8026999999999998E-2"/>
    <n v="0.99670000000000003"/>
    <n v="3.7900000000000003E-2"/>
    <s v="DonorCohort:202101+Seasonal(0.997)"/>
    <n v="43130.3"/>
    <n v="101234.87"/>
    <n v="-58104.57"/>
    <x v="0"/>
    <n v="0"/>
    <n v="0.78500000000000003"/>
    <n v="0.24"/>
    <n v="0"/>
    <n v="0"/>
    <n v="0"/>
    <n v="101234.87"/>
    <n v="1203094.8799999999"/>
    <n v="8.4144999999999998E-2"/>
    <n v="-58104.57"/>
    <n v="-58033"/>
    <n v="0"/>
    <n v="-58033"/>
    <n v="1196041.29"/>
    <s v="Forecast"/>
  </r>
  <r>
    <x v="0"/>
    <x v="3"/>
    <s v="202410"/>
    <n v="12"/>
    <n v="1148959.1200000001"/>
    <n v="-5.0988011941723477E-2"/>
    <s v="CohortAvg"/>
    <n v="-1.9187145629616251E-2"/>
    <s v="CohortAvg"/>
    <n v="0.2233867291410544"/>
    <s v="CohortAvg"/>
    <n v="2.065094785394149E-2"/>
    <s v="CohortAvg_NonZero"/>
    <n v="3.1690385538913277E-5"/>
    <s v="CohortAvg"/>
    <n v="0"/>
    <s v="Zero"/>
    <n v="-4.561991431435064E-2"/>
    <s v="CohortAvg"/>
    <n v="-5.1593679346533948E-4"/>
    <s v="CohortAvg"/>
    <n v="0"/>
    <n v="-58583.14"/>
    <n v="-22045.25"/>
    <n v="21388.52"/>
    <n v="0"/>
    <n v="36.409999999999997"/>
    <n v="-52415.42"/>
    <n v="-592.79"/>
    <n v="1089682.8400000001"/>
    <n v="3.3834999999999997E-2"/>
    <n v="0.99670000000000003"/>
    <n v="3.3722000000000002E-2"/>
    <s v="DonorCohort:202101+Seasonal(0.997)"/>
    <n v="36746.6"/>
    <n v="100415.83"/>
    <n v="-63669.23"/>
    <x v="0"/>
    <n v="0"/>
    <n v="0.78500000000000003"/>
    <n v="0.24"/>
    <n v="0"/>
    <n v="0"/>
    <n v="0"/>
    <n v="100415.83"/>
    <n v="1148959.1200000001"/>
    <n v="8.7397000000000002E-2"/>
    <n v="-63669.23"/>
    <n v="-63632.82"/>
    <n v="0"/>
    <n v="-63632.82"/>
    <n v="1153315.6599999999"/>
    <s v="Forecast"/>
  </r>
  <r>
    <x v="0"/>
    <x v="3"/>
    <s v="202411"/>
    <n v="11"/>
    <n v="1289490.97"/>
    <n v="-5.0152237615422E-2"/>
    <s v="CohortAvg"/>
    <n v="-1.977274077220004E-2"/>
    <s v="CohortAvg"/>
    <n v="0.23231915735782571"/>
    <s v="CohortAvg"/>
    <n v="2.2740782443777311E-2"/>
    <s v="CohortAvg_NonZero"/>
    <n v="1.7685610093623669E-5"/>
    <s v="CohortAvg"/>
    <n v="0"/>
    <s v="Zero"/>
    <n v="-3.5602462046298987E-2"/>
    <s v="CohortAvg"/>
    <n v="-3.8853695175131657E-4"/>
    <s v="CohortAvg"/>
    <n v="0"/>
    <n v="-64670.86"/>
    <n v="-25496.77"/>
    <n v="24964.45"/>
    <n v="0"/>
    <n v="22.81"/>
    <n v="-45909.05"/>
    <n v="-501.01"/>
    <n v="1224264.99"/>
    <n v="2.8438999999999999E-2"/>
    <n v="0.99670000000000003"/>
    <n v="2.8344000000000001E-2"/>
    <s v="DonorCohort:202101+Seasonal(0.997)"/>
    <n v="34700.089999999997"/>
    <n v="98141.09"/>
    <n v="-63441"/>
    <x v="0"/>
    <n v="0"/>
    <n v="0.78500000000000003"/>
    <n v="0.24"/>
    <n v="0"/>
    <n v="0"/>
    <n v="0"/>
    <n v="98141.09"/>
    <n v="1289490.97"/>
    <n v="7.6107999999999995E-2"/>
    <n v="-63441"/>
    <n v="-63418.19"/>
    <n v="0"/>
    <n v="-63418.19"/>
    <n v="1287683.19"/>
    <s v="Forecast"/>
  </r>
  <r>
    <x v="0"/>
    <x v="3"/>
    <s v="202412"/>
    <n v="10"/>
    <n v="1376252.91"/>
    <n v="-5.1421063151979432E-2"/>
    <s v="CohortAvg"/>
    <n v="-2.042401026448195E-2"/>
    <s v="CohortAvg"/>
    <n v="0.2390342368292328"/>
    <s v="CohortAvg"/>
    <n v="1.9724665779454011E-2"/>
    <s v="CohortAvg_NonZero"/>
    <n v="3.7228161823347823E-5"/>
    <s v="CohortAvg"/>
    <n v="0"/>
    <s v="Zero"/>
    <n v="-3.5163291160680739E-2"/>
    <s v="CohortAvg"/>
    <n v="-4.1765689038695511E-4"/>
    <s v="CohortAvg"/>
    <n v="0"/>
    <n v="-70768.39"/>
    <n v="-28108.6"/>
    <n v="27414.3"/>
    <n v="0"/>
    <n v="51.24"/>
    <n v="-48393.58"/>
    <n v="-574.79999999999995"/>
    <n v="1304738.98"/>
    <n v="2.1368999999999999E-2"/>
    <n v="0.99670000000000003"/>
    <n v="2.1297E-2"/>
    <s v="DonorCohort:202101+Seasonal(0.997)"/>
    <n v="27787.24"/>
    <n v="100300.4"/>
    <n v="-72513.16"/>
    <x v="0"/>
    <n v="0"/>
    <n v="0.78500000000000003"/>
    <n v="0.24"/>
    <n v="0"/>
    <n v="0"/>
    <n v="0"/>
    <n v="100300.4"/>
    <n v="1376252.91"/>
    <n v="7.2878999999999999E-2"/>
    <n v="-72513.16"/>
    <n v="-72461.929999999993"/>
    <n v="0"/>
    <n v="-72461.929999999993"/>
    <n v="1377200.91"/>
    <s v="Forecast"/>
  </r>
  <r>
    <x v="0"/>
    <x v="3"/>
    <s v="202501"/>
    <n v="9"/>
    <n v="2185314.64"/>
    <n v="-4.8101580618564628E-2"/>
    <s v="CohortAvg"/>
    <n v="-2.0391163388235149E-2"/>
    <s v="CohortAvg"/>
    <n v="0.23826470504896849"/>
    <s v="CohortAvg"/>
    <n v="9.2906589669741885E-3"/>
    <s v="CohortAvg_NonZero"/>
    <n v="3.8815683646205388E-5"/>
    <s v="CohortAvg"/>
    <n v="0"/>
    <s v="Zero"/>
    <n v="-3.066872381022618E-2"/>
    <s v="CohortAvg"/>
    <n v="-3.638927762240187E-4"/>
    <s v="CohortAvg"/>
    <n v="0"/>
    <n v="-105117.09"/>
    <n v="-44561.11"/>
    <n v="43390.28"/>
    <n v="0"/>
    <n v="84.82"/>
    <n v="-67020.81"/>
    <n v="-795.22"/>
    <n v="2078941.9"/>
    <n v="1.8606999999999999E-2"/>
    <n v="0.99670000000000003"/>
    <n v="1.8544000000000001E-2"/>
    <s v="DonorCohort:202101+Seasonal(0.997)"/>
    <n v="38552.78"/>
    <n v="158543.20000000001"/>
    <n v="-119990.42"/>
    <x v="0"/>
    <n v="0"/>
    <n v="0.78500000000000003"/>
    <n v="0.24"/>
    <n v="0"/>
    <n v="0"/>
    <n v="0"/>
    <n v="158543.20000000001"/>
    <n v="2185314.64"/>
    <n v="7.2549000000000002E-2"/>
    <n v="-119990.42"/>
    <n v="-119905.59"/>
    <n v="0"/>
    <n v="-119905.59"/>
    <n v="2198847.4900000002"/>
    <s v="Forecast"/>
  </r>
  <r>
    <x v="0"/>
    <x v="3"/>
    <s v="202502"/>
    <n v="8"/>
    <n v="2387772.21"/>
    <n v="-5.0169094460618388E-2"/>
    <s v="CohortAvg"/>
    <n v="-2.0886568822410679E-2"/>
    <s v="CohortAvg"/>
    <n v="0.2488587252693242"/>
    <s v="CohortAvg"/>
    <n v="1.00722209131014E-2"/>
    <s v="CohortAvg_NonZero"/>
    <n v="1.0382678773008431E-4"/>
    <s v="CohortAvg"/>
    <n v="0"/>
    <s v="Zero"/>
    <n v="-2.3088178558110729E-2"/>
    <s v="CohortAvg"/>
    <n v="-3.0021986845103798E-4"/>
    <s v="CohortAvg"/>
    <n v="0"/>
    <n v="-119792.37"/>
    <n v="-49872.37"/>
    <n v="49518.16"/>
    <n v="0"/>
    <n v="247.91"/>
    <n v="-55129.31"/>
    <n v="-716.86"/>
    <n v="2267377.7200000002"/>
    <n v="1.6244999999999999E-2"/>
    <n v="0.99670000000000003"/>
    <n v="1.6191000000000001E-2"/>
    <s v="DonorCohort:202101+Seasonal(0.997)"/>
    <n v="36711.42"/>
    <n v="137615.65"/>
    <n v="-100904.23"/>
    <x v="0"/>
    <n v="0"/>
    <n v="0.78500000000000003"/>
    <n v="0.24"/>
    <n v="0"/>
    <n v="0"/>
    <n v="0"/>
    <n v="137615.65"/>
    <n v="2387772.21"/>
    <n v="5.7632999999999997E-2"/>
    <n v="-100904.23"/>
    <n v="-100656.31"/>
    <n v="0"/>
    <n v="-100656.31"/>
    <n v="2368034.0299999998"/>
    <s v="Forecast"/>
  </r>
  <r>
    <x v="0"/>
    <x v="3"/>
    <s v="202503"/>
    <n v="7"/>
    <n v="2647482.42"/>
    <n v="-4.9269124156957028E-2"/>
    <s v="CohortAvg"/>
    <n v="-2.1635483994581411E-2"/>
    <s v="CohortAvg"/>
    <n v="0.25344445815630962"/>
    <s v="CohortAvg"/>
    <n v="4.6176837495393924E-3"/>
    <s v="CohortAvg_NonZero"/>
    <n v="4.0532302100276028E-6"/>
    <s v="CohortAvg"/>
    <n v="0"/>
    <s v="Zero"/>
    <n v="0"/>
    <s v="CohortAvg"/>
    <n v="0"/>
    <s v="CohortAvg"/>
    <n v="0"/>
    <n v="-130439.14"/>
    <n v="-57279.56"/>
    <n v="55915.81"/>
    <n v="0"/>
    <n v="10.73"/>
    <n v="0"/>
    <n v="0"/>
    <n v="2515668.7999999998"/>
    <n v="1.2418999999999999E-2"/>
    <n v="0.99670000000000003"/>
    <n v="1.2378E-2"/>
    <s v="DonorCohort:202101+Seasonal(0.997)"/>
    <n v="31138.07"/>
    <n v="106625.83"/>
    <n v="-75487.759999999995"/>
    <x v="0"/>
    <n v="0"/>
    <n v="0.78500000000000003"/>
    <n v="0.24"/>
    <n v="0"/>
    <n v="0"/>
    <n v="0"/>
    <n v="106625.83"/>
    <n v="2647482.42"/>
    <n v="4.0273999999999997E-2"/>
    <n v="-75487.759999999995"/>
    <n v="-75477.03"/>
    <n v="0"/>
    <n v="-75477.03"/>
    <n v="2591145.83"/>
    <s v="Forecast"/>
  </r>
  <r>
    <x v="0"/>
    <x v="3"/>
    <s v="202504"/>
    <n v="6"/>
    <n v="2373847.23"/>
    <n v="-5.2686876692677242E-2"/>
    <s v="CohortAvg"/>
    <n v="-2.1480777427744339E-2"/>
    <s v="CohortAvg"/>
    <n v="0.25310240333490258"/>
    <s v="CohortAvg"/>
    <n v="2.1791689037598898E-3"/>
    <s v="CohortAvg_NonZero"/>
    <n v="2.4494234965959011E-6"/>
    <s v="CohortAvg"/>
    <n v="0"/>
    <s v="Zero"/>
    <n v="0"/>
    <s v="CohortAvg"/>
    <n v="0"/>
    <s v="CohortAvg"/>
    <n v="0"/>
    <n v="-125070.6"/>
    <n v="-50992.08"/>
    <n v="50068.87"/>
    <n v="0"/>
    <n v="5.81"/>
    <n v="0"/>
    <n v="0"/>
    <n v="2247847.61"/>
    <n v="1.0621E-2"/>
    <n v="0.99670000000000003"/>
    <n v="1.0585000000000001E-2"/>
    <s v="DonorCohort:202101+Seasonal(0.997)"/>
    <n v="23793.56"/>
    <n v="95063.93"/>
    <n v="-71270.37"/>
    <x v="0"/>
    <n v="0"/>
    <n v="0.78500000000000003"/>
    <n v="0.24"/>
    <n v="0"/>
    <n v="0"/>
    <n v="0"/>
    <n v="95063.93"/>
    <n v="2373847.23"/>
    <n v="4.0045999999999998E-2"/>
    <n v="-71270.37"/>
    <n v="-71264.56"/>
    <n v="0"/>
    <n v="-71264.56"/>
    <n v="2319112.16"/>
    <s v="Forecast"/>
  </r>
  <r>
    <x v="0"/>
    <x v="3"/>
    <s v="202505"/>
    <n v="5"/>
    <n v="2437021.0699999998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437021.0699999998"/>
    <n v="6.8510000000000003E-3"/>
    <n v="0.99670000000000003"/>
    <n v="6.8279999999999999E-3"/>
    <s v="DonorCohort:202101+Seasonal(0.997)"/>
    <n v="16640.77"/>
    <n v="50283.96"/>
    <n v="-33643.19"/>
    <x v="0"/>
    <n v="0"/>
    <n v="0.78500000000000003"/>
    <n v="0.24"/>
    <n v="0"/>
    <n v="0"/>
    <n v="0"/>
    <n v="50283.96"/>
    <n v="2437021.0699999998"/>
    <n v="2.0632999999999999E-2"/>
    <n v="-33643.19"/>
    <n v="-33643.19"/>
    <n v="0"/>
    <n v="-33643.19"/>
    <n v="2470664.2599999998"/>
    <s v="Forecast"/>
  </r>
  <r>
    <x v="0"/>
    <x v="3"/>
    <s v="202506"/>
    <n v="4"/>
    <n v="2767480.41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767480.41"/>
    <n v="4.2849999999999997E-3"/>
    <n v="0.99670000000000003"/>
    <n v="4.2700000000000004E-3"/>
    <s v="DonorCohort:202101+Seasonal(0.997)"/>
    <n v="11817.64"/>
    <n v="51587.89"/>
    <n v="-39770.25"/>
    <x v="0"/>
    <n v="0"/>
    <n v="0.78500000000000003"/>
    <n v="0.24"/>
    <n v="0"/>
    <n v="0"/>
    <n v="0"/>
    <n v="51587.89"/>
    <n v="2767480.41"/>
    <n v="1.8641000000000001E-2"/>
    <n v="-39770.25"/>
    <n v="-39770.25"/>
    <n v="0"/>
    <n v="-39770.25"/>
    <n v="2807250.66"/>
    <s v="Forecast"/>
  </r>
  <r>
    <x v="0"/>
    <x v="3"/>
    <s v="202507"/>
    <n v="3"/>
    <n v="3125154.64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125154.64"/>
    <n v="2.8990000000000001E-3"/>
    <n v="0.99670000000000003"/>
    <n v="2.8900000000000002E-3"/>
    <s v="DonorCohort:202101+Seasonal(0.997)"/>
    <n v="9030.8700000000008"/>
    <n v="25885.78"/>
    <n v="-16854.91"/>
    <x v="0"/>
    <n v="0"/>
    <n v="0.78500000000000003"/>
    <n v="0.24"/>
    <n v="0"/>
    <n v="0"/>
    <n v="0"/>
    <n v="25885.78"/>
    <n v="3125154.64"/>
    <n v="8.2830000000000004E-3"/>
    <n v="-16854.91"/>
    <n v="-16854.91"/>
    <n v="0"/>
    <n v="-16854.91"/>
    <n v="3142009.55"/>
    <s v="Forecast"/>
  </r>
  <r>
    <x v="0"/>
    <x v="3"/>
    <s v="202508"/>
    <n v="2"/>
    <n v="3257214.8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257214.86"/>
    <n v="1.573E-3"/>
    <n v="0.99670000000000003"/>
    <n v="1.5679999999999999E-3"/>
    <s v="DonorCohort:202101+Seasonal(0.997)"/>
    <n v="5107.87"/>
    <n v="3036.57"/>
    <n v="2071.3000000000002"/>
    <x v="0"/>
    <n v="0"/>
    <n v="0.78500000000000003"/>
    <n v="0.24"/>
    <n v="0"/>
    <n v="0"/>
    <n v="0"/>
    <n v="3036.57"/>
    <n v="3257214.86"/>
    <n v="9.3199999999999999E-4"/>
    <n v="2071.3000000000002"/>
    <n v="2071.3000000000002"/>
    <n v="0"/>
    <n v="2071.3000000000002"/>
    <n v="3255143.56"/>
    <s v="Forecast"/>
  </r>
  <r>
    <x v="0"/>
    <x v="3"/>
    <s v="202509"/>
    <n v="1"/>
    <n v="3314123.2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314123.22"/>
    <n v="0"/>
    <n v="0.99670000000000003"/>
    <n v="0"/>
    <s v="DonorCohort:202101+Seasonal(0.997)"/>
    <n v="0"/>
    <n v="0"/>
    <n v="0"/>
    <x v="0"/>
    <n v="0"/>
    <n v="0.78500000000000003"/>
    <n v="0.24"/>
    <n v="0"/>
    <n v="0"/>
    <n v="0"/>
    <n v="0"/>
    <n v="3314123.22"/>
    <n v="0"/>
    <n v="0"/>
    <n v="0"/>
    <n v="0"/>
    <n v="0"/>
    <n v="3314123.22"/>
    <s v="Forecast"/>
  </r>
  <r>
    <x v="0"/>
    <x v="4"/>
    <s v="202101"/>
    <n v="55"/>
    <n v="3441726.03"/>
    <n v="-0.1022005563232781"/>
    <s v="CohortAvg"/>
    <n v="-7.642696047638297E-3"/>
    <s v="CohortAvg"/>
    <n v="8.2700909104442735E-2"/>
    <s v="CohortAvg"/>
    <n v="3.0746040870665299E-2"/>
    <s v="CohortAvg_NonZero"/>
    <n v="0"/>
    <s v="CohortAvg"/>
    <n v="0"/>
    <s v="Zero"/>
    <n v="0"/>
    <s v="CohortAvg"/>
    <n v="0"/>
    <s v="CohortAvg"/>
    <n v="0"/>
    <n v="-351746.31"/>
    <n v="-26304.07"/>
    <n v="23719.49"/>
    <n v="0"/>
    <n v="0"/>
    <n v="0"/>
    <n v="0"/>
    <n v="3087395.14"/>
    <n v="0.165691"/>
    <n v="0.93420000000000003"/>
    <n v="0.15479200000000001"/>
    <s v="CohortAvg+Seasonal(0.934)"/>
    <n v="477904.65"/>
    <n v="598445.82999999996"/>
    <n v="-120541.18"/>
    <x v="0"/>
    <n v="0"/>
    <n v="0.78500000000000003"/>
    <n v="0.24"/>
    <n v="0"/>
    <n v="0"/>
    <n v="0"/>
    <n v="598445.82999999996"/>
    <n v="3441726.03"/>
    <n v="0.17388000000000001"/>
    <n v="-120541.18"/>
    <n v="-120541.18"/>
    <n v="0"/>
    <n v="-120541.18"/>
    <n v="3207936.32"/>
    <s v="Forecast"/>
  </r>
  <r>
    <x v="0"/>
    <x v="4"/>
    <s v="202201"/>
    <n v="37"/>
    <n v="114921.47"/>
    <n v="-6.9786851611143466E-2"/>
    <s v="CohortAvg"/>
    <n v="-9.3592889363781941E-3"/>
    <s v="CohortAvg"/>
    <n v="0.1059411958931067"/>
    <s v="CohortAvg"/>
    <n v="3.738694892140948E-2"/>
    <s v="CohortAvg_NonZero"/>
    <n v="1.9063354225498669E-7"/>
    <s v="CohortAvg"/>
    <n v="0"/>
    <s v="Zero"/>
    <n v="0"/>
    <s v="CohortAvg"/>
    <n v="0"/>
    <s v="CohortAvg"/>
    <n v="0"/>
    <n v="-8020.01"/>
    <n v="-1075.58"/>
    <n v="1014.58"/>
    <n v="0"/>
    <n v="0.02"/>
    <n v="0"/>
    <n v="0"/>
    <n v="106840.43"/>
    <n v="4.2307999999999998E-2"/>
    <n v="0.93420000000000003"/>
    <n v="3.9524999999999998E-2"/>
    <s v="CohortTrend+Seasonal(0.934)"/>
    <n v="4222.8599999999997"/>
    <n v="3109.5"/>
    <n v="1113.3599999999999"/>
    <x v="0"/>
    <n v="0"/>
    <n v="0.78500000000000003"/>
    <n v="0.24"/>
    <n v="0"/>
    <n v="0"/>
    <n v="0"/>
    <n v="3109.5"/>
    <n v="114921.47"/>
    <n v="2.7057999999999999E-2"/>
    <n v="1113.3599999999999"/>
    <n v="1113.3800000000001"/>
    <n v="0"/>
    <n v="1113.3800000000001"/>
    <n v="105727.05"/>
    <s v="Forecast"/>
  </r>
  <r>
    <x v="0"/>
    <x v="4"/>
    <s v="202405"/>
    <n v="17"/>
    <n v="4824.29"/>
    <n v="-1.5801031748658899E-2"/>
    <s v="CohortAvg"/>
    <n v="-1.034959802424657E-2"/>
    <s v="CohortAvg"/>
    <n v="0.1216755496057608"/>
    <s v="CohortAvg"/>
    <n v="0"/>
    <s v="CohortAvg_NoData_ERROR"/>
    <n v="0"/>
    <s v="CohortAvg"/>
    <n v="0"/>
    <s v="Zero"/>
    <n v="0"/>
    <s v="CohortAvg"/>
    <n v="0"/>
    <s v="CohortAvg"/>
    <n v="0"/>
    <n v="-76.23"/>
    <n v="-49.93"/>
    <n v="48.92"/>
    <n v="0"/>
    <n v="0"/>
    <n v="0"/>
    <n v="0"/>
    <n v="4747.05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4824.29"/>
    <n v="0"/>
    <n v="0"/>
    <n v="0"/>
    <n v="0"/>
    <n v="0"/>
    <n v="4747.05"/>
    <s v="Forecast"/>
  </r>
  <r>
    <x v="0"/>
    <x v="4"/>
    <s v="202407"/>
    <n v="15"/>
    <n v="3074.04"/>
    <n v="-4.6638792399377023E-2"/>
    <s v="CohortAvg"/>
    <n v="-1.038519110550019E-2"/>
    <s v="CohortAvg"/>
    <n v="0.1208498250961742"/>
    <s v="CohortAvg"/>
    <n v="0"/>
    <s v="CohortAvg_NoData_ERROR"/>
    <n v="0"/>
    <s v="CohortAvg"/>
    <n v="0"/>
    <s v="Zero"/>
    <n v="0"/>
    <s v="CohortAvg"/>
    <n v="0"/>
    <s v="CohortAvg"/>
    <n v="0"/>
    <n v="-143.37"/>
    <n v="-31.92"/>
    <n v="30.96"/>
    <n v="0"/>
    <n v="0"/>
    <n v="0"/>
    <n v="0"/>
    <n v="2929.7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074.04"/>
    <n v="0"/>
    <n v="0"/>
    <n v="0"/>
    <n v="0"/>
    <n v="0"/>
    <n v="2929.7"/>
    <s v="Forecast"/>
  </r>
  <r>
    <x v="0"/>
    <x v="4"/>
    <s v="202409"/>
    <n v="13"/>
    <n v="10148.719999999999"/>
    <n v="-3.8602844832926232E-2"/>
    <s v="CohortAvg"/>
    <n v="-1.0355440332516751E-2"/>
    <s v="CohortAvg"/>
    <n v="0.12105792833692949"/>
    <s v="CohortAvg"/>
    <n v="0"/>
    <s v="CohortAvg_NoData_ERROR"/>
    <n v="0"/>
    <s v="CohortAvg"/>
    <n v="0"/>
    <s v="Zero"/>
    <n v="0"/>
    <s v="CohortAvg"/>
    <n v="0"/>
    <s v="CohortAvg"/>
    <n v="0"/>
    <n v="-391.77"/>
    <n v="-105.09"/>
    <n v="102.38"/>
    <n v="0"/>
    <n v="0"/>
    <n v="0"/>
    <n v="0"/>
    <n v="9754.24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10148.719999999999"/>
    <n v="0"/>
    <n v="0"/>
    <n v="0"/>
    <n v="0"/>
    <n v="0"/>
    <n v="9754.24"/>
    <s v="Forecast"/>
  </r>
  <r>
    <x v="0"/>
    <x v="4"/>
    <s v="202504"/>
    <n v="6"/>
    <n v="4661.92"/>
    <n v="-1.283131690355402E-2"/>
    <s v="CohortAvg"/>
    <n v="-1.042871435462484E-2"/>
    <s v="CohortAvg"/>
    <n v="0.12160974517280471"/>
    <s v="CohortAvg"/>
    <n v="0"/>
    <s v="CohortAvg_NoData_ERROR"/>
    <n v="0"/>
    <s v="CohortAvg"/>
    <n v="0"/>
    <s v="Zero"/>
    <n v="0"/>
    <s v="CohortAvg"/>
    <n v="0"/>
    <s v="CohortAvg"/>
    <n v="0"/>
    <n v="-59.82"/>
    <n v="-48.62"/>
    <n v="47.24"/>
    <n v="0"/>
    <n v="0"/>
    <n v="0"/>
    <n v="0"/>
    <n v="4600.7299999999996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4661.92"/>
    <n v="0"/>
    <n v="0"/>
    <n v="0"/>
    <n v="0"/>
    <n v="0"/>
    <n v="4600.7299999999996"/>
    <s v="Forecast"/>
  </r>
  <r>
    <x v="0"/>
    <x v="4"/>
    <s v="202507"/>
    <n v="3"/>
    <n v="9843.2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9843.27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9843.27"/>
    <n v="0"/>
    <n v="0"/>
    <n v="0"/>
    <n v="0"/>
    <n v="0"/>
    <n v="9843.27"/>
    <s v="Forecast"/>
  </r>
  <r>
    <x v="0"/>
    <x v="4"/>
    <s v="202508"/>
    <n v="2"/>
    <n v="30052.6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0052.62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0052.62"/>
    <n v="0"/>
    <n v="0"/>
    <n v="0"/>
    <n v="0"/>
    <n v="0"/>
    <n v="30052.62"/>
    <s v="Forecast"/>
  </r>
  <r>
    <x v="0"/>
    <x v="4"/>
    <s v="202509"/>
    <n v="1"/>
    <n v="24414.84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4414.84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"/>
    <x v="0"/>
    <s v="201912"/>
    <n v="71"/>
    <n v="380086.52"/>
    <n v="9.8092416583183493E-3"/>
    <s v="CohortAvg"/>
    <n v="2.0412853487184121E-3"/>
    <s v="CohortAvg"/>
    <n v="0"/>
    <s v="CohortAvg"/>
    <n v="2.69363605505623E-2"/>
    <s v="CohortAvg_NonZero"/>
    <n v="1.073583787729392E-3"/>
    <s v="CohortAvg"/>
    <n v="0"/>
    <s v="Zero"/>
    <n v="0"/>
    <s v="CohortAvg"/>
    <n v="0"/>
    <s v="CohortAvg"/>
    <n v="0"/>
    <n v="3728.36"/>
    <n v="775.87"/>
    <n v="0"/>
    <n v="0"/>
    <n v="408.05"/>
    <n v="0"/>
    <n v="0"/>
    <n v="375174.24"/>
    <n v="0.99577800000000005"/>
    <n v="1.1879999999999999"/>
    <n v="1.183022"/>
    <s v="CohortAvg+Seasonal(1.188)"/>
    <n v="443839.32"/>
    <n v="401374.32"/>
    <n v="42465.01"/>
    <x v="0"/>
    <n v="0"/>
    <n v="0.78500000000000003"/>
    <n v="0.24"/>
    <n v="0"/>
    <n v="0"/>
    <n v="0"/>
    <n v="401374.32"/>
    <n v="380086.52"/>
    <n v="1.0560080000000001"/>
    <n v="42465.01"/>
    <n v="42873.06"/>
    <n v="0"/>
    <n v="42873.06"/>
    <n v="332301.18"/>
    <s v="Forecast"/>
  </r>
  <r>
    <x v="1"/>
    <x v="0"/>
    <s v="202001"/>
    <n v="70"/>
    <n v="95704.09"/>
    <n v="3.1653707560730389E-2"/>
    <s v="CohortAvg"/>
    <n v="1.345554341876437E-3"/>
    <s v="CohortAvg"/>
    <n v="0"/>
    <s v="CohortAvg"/>
    <n v="1.6619658819668291E-2"/>
    <s v="CohortAvg_NonZero"/>
    <n v="0"/>
    <s v="CohortAvg"/>
    <n v="0"/>
    <s v="Zero"/>
    <n v="0"/>
    <s v="CohortAvg"/>
    <n v="0"/>
    <s v="CohortAvg"/>
    <n v="0"/>
    <n v="3029.39"/>
    <n v="128.78"/>
    <n v="0"/>
    <n v="0"/>
    <n v="0"/>
    <n v="0"/>
    <n v="0"/>
    <n v="92545.93"/>
    <n v="0.99850099999999997"/>
    <n v="1.1879999999999999"/>
    <n v="1.1862569999999999"/>
    <s v="CohortAvg+Seasonal(1.188)"/>
    <n v="109783.3"/>
    <n v="100260.8"/>
    <n v="9522.49"/>
    <x v="0"/>
    <n v="0"/>
    <n v="0.78500000000000003"/>
    <n v="0.24"/>
    <n v="0"/>
    <n v="0"/>
    <n v="0"/>
    <n v="100260.8"/>
    <n v="95704.09"/>
    <n v="1.0476129999999999"/>
    <n v="9522.49"/>
    <n v="9522.49"/>
    <n v="0"/>
    <n v="9522.49"/>
    <n v="83023.429999999993"/>
    <s v="Forecast"/>
  </r>
  <r>
    <x v="1"/>
    <x v="0"/>
    <s v="202101"/>
    <n v="58"/>
    <n v="820262.40000000002"/>
    <n v="1.27936857044608E-2"/>
    <s v="CohortAvg"/>
    <n v="-4.3284363121421557E-5"/>
    <s v="CohortAvg"/>
    <n v="0"/>
    <s v="CohortAvg"/>
    <n v="1.264605854402282E-2"/>
    <s v="CohortAvg_NonZero"/>
    <n v="1.6137614511994691E-3"/>
    <s v="CohortAvg"/>
    <n v="0"/>
    <s v="Zero"/>
    <n v="0"/>
    <s v="CohortAvg"/>
    <n v="0"/>
    <s v="CohortAvg"/>
    <n v="0"/>
    <n v="10494.18"/>
    <n v="-35.5"/>
    <n v="0"/>
    <n v="0"/>
    <n v="1323.71"/>
    <n v="0"/>
    <n v="0"/>
    <n v="808409"/>
    <n v="0.931006"/>
    <n v="1.1879999999999999"/>
    <n v="1.106071"/>
    <s v="CohortAvg+Seasonal(1.188)"/>
    <n v="894157.99"/>
    <n v="790147.03"/>
    <n v="104010.96"/>
    <x v="0"/>
    <n v="0"/>
    <n v="0.78500000000000003"/>
    <n v="0.24"/>
    <n v="0"/>
    <n v="0"/>
    <n v="0"/>
    <n v="790147.03"/>
    <n v="820262.40000000002"/>
    <n v="0.96328599999999998"/>
    <n v="104010.96"/>
    <n v="105334.67"/>
    <n v="0"/>
    <n v="105334.67"/>
    <n v="703074.33"/>
    <s v="Forecast"/>
  </r>
  <r>
    <x v="1"/>
    <x v="0"/>
    <s v="202201"/>
    <n v="38"/>
    <n v="1153309.8500000001"/>
    <n v="-0.1142266948238672"/>
    <s v="CohortAvg"/>
    <n v="-1.1816527823431171E-2"/>
    <s v="CohortAvg"/>
    <n v="8.875627597314302E-2"/>
    <s v="CohortAvg"/>
    <n v="2.857608165918309E-2"/>
    <s v="CohortAvg_NonZero"/>
    <n v="1.948511992519297E-3"/>
    <s v="CohortAvg"/>
    <n v="0"/>
    <s v="Zero"/>
    <n v="-1.7225943257290479E-3"/>
    <s v="CohortAvg"/>
    <n v="-3.4880117574862028E-5"/>
    <s v="CohortAvg"/>
    <n v="0"/>
    <n v="-131738.76999999999"/>
    <n v="-13628.12"/>
    <n v="8530.2900000000009"/>
    <n v="0"/>
    <n v="2247.2399999999998"/>
    <n v="-1986.69"/>
    <n v="-40.229999999999997"/>
    <n v="1014226.01"/>
    <n v="0.58471600000000001"/>
    <n v="1.1879999999999999"/>
    <n v="0.69466399999999995"/>
    <s v="CohortTrend+Seasonal(1.188)"/>
    <n v="704546.72"/>
    <n v="686734.67"/>
    <n v="17812.05"/>
    <x v="0"/>
    <n v="0"/>
    <n v="0.78500000000000003"/>
    <n v="0.24"/>
    <n v="0"/>
    <n v="0"/>
    <n v="0"/>
    <n v="686734.67"/>
    <n v="1153309.8500000001"/>
    <n v="0.59544699999999995"/>
    <n v="17812.05"/>
    <n v="20059.29"/>
    <n v="0"/>
    <n v="20059.29"/>
    <n v="994166.73"/>
    <s v="Forecast"/>
  </r>
  <r>
    <x v="1"/>
    <x v="0"/>
    <s v="202301"/>
    <n v="29"/>
    <n v="6642295.1100000003"/>
    <n v="-7.4820966156300794E-2"/>
    <s v="CohortAvg"/>
    <n v="-1.8450056810129449E-2"/>
    <s v="CohortAvg"/>
    <n v="0.2061728689996038"/>
    <s v="CohortAvg"/>
    <n v="4.2071907256779617E-2"/>
    <s v="CohortAvg_NonZero"/>
    <n v="3.0587028534410628E-4"/>
    <s v="CohortAvg"/>
    <n v="0"/>
    <s v="Zero"/>
    <n v="-5.9163467911894268E-3"/>
    <s v="CohortAvg"/>
    <n v="-1.201417490180124E-4"/>
    <s v="CohortAvg"/>
    <n v="0"/>
    <n v="-496982.94"/>
    <n v="-122550.72"/>
    <n v="114121.75"/>
    <n v="0"/>
    <n v="2031.68"/>
    <n v="-39298.120000000003"/>
    <n v="-798.02"/>
    <n v="6134851.5199999996"/>
    <n v="0.46213300000000002"/>
    <n v="1.1879999999999999"/>
    <n v="0.54903199999999996"/>
    <s v="CohortTrend+Seasonal(1.188)"/>
    <n v="3368229.71"/>
    <n v="3092563.78"/>
    <n v="275665.93"/>
    <x v="0"/>
    <n v="0"/>
    <n v="0.78500000000000003"/>
    <n v="0.24"/>
    <n v="0"/>
    <n v="0"/>
    <n v="0"/>
    <n v="3092563.78"/>
    <n v="6642295.1100000003"/>
    <n v="0.46558699999999997"/>
    <n v="275665.93"/>
    <n v="277697.61"/>
    <n v="0"/>
    <n v="277697.61"/>
    <n v="5857153.9199999999"/>
    <s v="Forecast"/>
  </r>
  <r>
    <x v="1"/>
    <x v="0"/>
    <s v="202404"/>
    <n v="19"/>
    <n v="1340008.78"/>
    <n v="-6.8167771629830246E-2"/>
    <s v="CohortAvg"/>
    <n v="-2.4560664052902911E-2"/>
    <s v="CohortAvg"/>
    <n v="0.26905141723590431"/>
    <s v="CohortAvg"/>
    <n v="8.9002899202049165E-2"/>
    <s v="CohortAvg_NonZero"/>
    <n v="1.2517403293622721E-4"/>
    <s v="CohortAvg"/>
    <n v="0"/>
    <s v="Zero"/>
    <n v="-1.076757338706601E-2"/>
    <s v="CohortAvg"/>
    <n v="8.2965389667188265E-4"/>
    <s v="CohortAvg"/>
    <n v="0"/>
    <n v="-91345.41"/>
    <n v="-32911.51"/>
    <n v="30044.27"/>
    <n v="0"/>
    <n v="167.73"/>
    <n v="-14428.64"/>
    <n v="1111.74"/>
    <n v="1245628.3999999999"/>
    <n v="0.190751"/>
    <n v="1.1879999999999999"/>
    <n v="0.22661899999999999"/>
    <s v="DonorCohort:202101+Seasonal(1.188)"/>
    <n v="282283.58"/>
    <n v="247986.79"/>
    <n v="34296.79"/>
    <x v="0"/>
    <n v="0"/>
    <n v="0.78500000000000003"/>
    <n v="0.24"/>
    <n v="0"/>
    <n v="0"/>
    <n v="0"/>
    <n v="247986.79"/>
    <n v="1340008.78"/>
    <n v="0.18506400000000001"/>
    <n v="34296.79"/>
    <n v="34464.519999999997"/>
    <n v="0"/>
    <n v="34464.519999999997"/>
    <n v="1211163.8799999999"/>
    <s v="Forecast"/>
  </r>
  <r>
    <x v="1"/>
    <x v="0"/>
    <s v="202405"/>
    <n v="18"/>
    <n v="1641187.16"/>
    <n v="-5.8141689925482853E-2"/>
    <s v="CohortAvg"/>
    <n v="-2.4545171225176941E-2"/>
    <s v="CohortAvg"/>
    <n v="0.27622973792175792"/>
    <s v="CohortAvg"/>
    <n v="8.7161406995470023E-2"/>
    <s v="CohortAvg_NonZero"/>
    <n v="1.5548017584129901E-4"/>
    <s v="CohortAvg"/>
    <n v="0"/>
    <s v="Zero"/>
    <n v="-1.5155526494817721E-2"/>
    <s v="CohortAvg"/>
    <n v="-2.9613395622892213E-4"/>
    <s v="CohortAvg"/>
    <n v="0"/>
    <n v="-95421.4"/>
    <n v="-40283.22"/>
    <n v="37778.720000000001"/>
    <n v="0"/>
    <n v="255.17"/>
    <n v="-24873.06"/>
    <n v="-486.01"/>
    <n v="1543006.1"/>
    <n v="0.17676500000000001"/>
    <n v="1.1879999999999999"/>
    <n v="0.210003"/>
    <s v="DonorCohort:202101+Seasonal(1.188)"/>
    <n v="324036.34999999998"/>
    <n v="308020.40999999997"/>
    <n v="16015.94"/>
    <x v="0"/>
    <n v="0"/>
    <n v="0.78500000000000003"/>
    <n v="0.24"/>
    <n v="0"/>
    <n v="0"/>
    <n v="0"/>
    <n v="308020.40999999997"/>
    <n v="1641187.16"/>
    <n v="0.18768099999999999"/>
    <n v="16015.94"/>
    <n v="16271.11"/>
    <n v="0"/>
    <n v="16271.11"/>
    <n v="1526734.99"/>
    <s v="Forecast"/>
  </r>
  <r>
    <x v="1"/>
    <x v="0"/>
    <s v="202406"/>
    <n v="17"/>
    <n v="2197217.69"/>
    <n v="-5.7154552312041411E-2"/>
    <s v="CohortAvg"/>
    <n v="-2.6045938432506289E-2"/>
    <s v="CohortAvg"/>
    <n v="0.29401146287814711"/>
    <s v="CohortAvg"/>
    <n v="5.8329579071471967E-2"/>
    <s v="CohortAvg_NonZero"/>
    <n v="6.9370150965586909E-5"/>
    <s v="CohortAvg"/>
    <n v="0"/>
    <s v="Zero"/>
    <n v="-1.5823867190044898E-2"/>
    <s v="CohortAvg"/>
    <n v="-2.986656034479299E-4"/>
    <s v="CohortAvg"/>
    <n v="0"/>
    <n v="-125580.99"/>
    <n v="-57228.6"/>
    <n v="53833.93"/>
    <n v="0"/>
    <n v="152.41999999999999"/>
    <n v="-34768.480000000003"/>
    <n v="-656.23"/>
    <n v="2068089.61"/>
    <n v="0.17926500000000001"/>
    <n v="1.1879999999999999"/>
    <n v="0.212974"/>
    <s v="DonorCohort:202101+Seasonal(1.188)"/>
    <n v="440449.3"/>
    <n v="439343.1"/>
    <n v="1106.2"/>
    <x v="0"/>
    <n v="0"/>
    <n v="0.78500000000000003"/>
    <n v="0.24"/>
    <n v="0"/>
    <n v="0"/>
    <n v="0"/>
    <n v="439343.1"/>
    <n v="2197217.69"/>
    <n v="0.19995399999999999"/>
    <n v="1106.2"/>
    <n v="1258.6199999999999"/>
    <n v="0"/>
    <n v="1258.6199999999999"/>
    <n v="2066830.99"/>
    <s v="Forecast"/>
  </r>
  <r>
    <x v="1"/>
    <x v="0"/>
    <s v="202407"/>
    <n v="16"/>
    <n v="2360675.4900000002"/>
    <n v="-6.0164198816256398E-2"/>
    <s v="CohortAvg"/>
    <n v="-2.685945529307222E-2"/>
    <s v="CohortAvg"/>
    <n v="0.30210948701805612"/>
    <s v="CohortAvg"/>
    <n v="6.1451876209075627E-2"/>
    <s v="CohortAvg_NonZero"/>
    <n v="9.9331246436653068E-5"/>
    <s v="CohortAvg"/>
    <n v="0"/>
    <s v="Zero"/>
    <n v="-1.9012823582112391E-2"/>
    <s v="CohortAvg"/>
    <n v="-2.8855885946423281E-4"/>
    <s v="CohortAvg"/>
    <n v="0"/>
    <n v="-142028.15"/>
    <n v="-63406.46"/>
    <n v="59431.87"/>
    <n v="0"/>
    <n v="234.49"/>
    <n v="-44883.11"/>
    <n v="-681.19"/>
    <n v="2214438.27"/>
    <n v="0.19098799999999999"/>
    <n v="1.1879999999999999"/>
    <n v="0.22690099999999999"/>
    <s v="DonorCohort:202101+Seasonal(1.188)"/>
    <n v="502457.67"/>
    <n v="465554.62"/>
    <n v="36903.050000000003"/>
    <x v="0"/>
    <n v="0"/>
    <n v="0.78500000000000003"/>
    <n v="0.24"/>
    <n v="0"/>
    <n v="0"/>
    <n v="0"/>
    <n v="465554.62"/>
    <n v="2360675.4900000002"/>
    <n v="0.197212"/>
    <n v="36903.050000000003"/>
    <n v="37137.53"/>
    <n v="0"/>
    <n v="37137.53"/>
    <n v="2177300.73"/>
    <s v="Forecast"/>
  </r>
  <r>
    <x v="1"/>
    <x v="0"/>
    <s v="202408"/>
    <n v="15"/>
    <n v="2466011.71"/>
    <n v="-6.5923829766795908E-2"/>
    <s v="CohortAvg"/>
    <n v="-2.7158903845813959E-2"/>
    <s v="CohortAvg"/>
    <n v="0.29912994340151311"/>
    <s v="CohortAvg"/>
    <n v="6.2865220535705688E-2"/>
    <s v="CohortAvg_NonZero"/>
    <n v="1.37634972503449E-4"/>
    <s v="CohortAvg"/>
    <n v="0"/>
    <s v="Zero"/>
    <n v="-2.3631055611832069E-2"/>
    <s v="CohortAvg"/>
    <n v="-4.3144214632601921E-4"/>
    <s v="CohortAvg"/>
    <n v="0"/>
    <n v="-162568.94"/>
    <n v="-66974.17"/>
    <n v="61471.5"/>
    <n v="0"/>
    <n v="339.41"/>
    <n v="-58274.46"/>
    <n v="-1063.94"/>
    <n v="2297600.69"/>
    <n v="0.18836900000000001"/>
    <n v="1.1879999999999999"/>
    <n v="0.22378899999999999"/>
    <s v="DonorCohort:202101+Seasonal(1.188)"/>
    <n v="514178.7"/>
    <n v="423402.48"/>
    <n v="90776.22"/>
    <x v="0"/>
    <n v="0"/>
    <n v="0.78500000000000003"/>
    <n v="0.24"/>
    <n v="0"/>
    <n v="0"/>
    <n v="0"/>
    <n v="423402.48"/>
    <n v="2466011.71"/>
    <n v="0.17169499999999999"/>
    <n v="90776.22"/>
    <n v="91115.63"/>
    <n v="0"/>
    <n v="91115.63"/>
    <n v="2206485.06"/>
    <s v="Forecast"/>
  </r>
  <r>
    <x v="1"/>
    <x v="0"/>
    <s v="202409"/>
    <n v="14"/>
    <n v="2409959.34"/>
    <n v="-6.734006171700932E-2"/>
    <s v="CohortAvg"/>
    <n v="-2.8252227298317001E-2"/>
    <s v="CohortAvg"/>
    <n v="0.31226927712573233"/>
    <s v="CohortAvg"/>
    <n v="7.5501596374966576E-2"/>
    <s v="CohortAvg_NonZero"/>
    <n v="2.9224680158919879E-4"/>
    <s v="CohortAvg"/>
    <n v="0"/>
    <s v="Zero"/>
    <n v="-2.8966906100778109E-2"/>
    <s v="CohortAvg"/>
    <n v="-5.4159887820589657E-5"/>
    <s v="CohortAvg"/>
    <n v="0"/>
    <n v="-162286.81"/>
    <n v="-68086.720000000001"/>
    <n v="62713.02"/>
    <n v="0"/>
    <n v="704.3"/>
    <n v="-69809.070000000007"/>
    <n v="-130.52000000000001"/>
    <n v="2241594.5299999998"/>
    <n v="0.163996"/>
    <n v="1.1879999999999999"/>
    <n v="0.19483300000000001"/>
    <s v="DonorCohort:202101+Seasonal(1.188)"/>
    <n v="436737.51"/>
    <n v="464899.57"/>
    <n v="-28162.06"/>
    <x v="0"/>
    <n v="0"/>
    <n v="0.78500000000000003"/>
    <n v="0.24"/>
    <n v="0"/>
    <n v="0"/>
    <n v="0"/>
    <n v="464899.57"/>
    <n v="2409959.34"/>
    <n v="0.192908"/>
    <n v="-28162.06"/>
    <n v="-27457.759999999998"/>
    <n v="0"/>
    <n v="-27457.759999999998"/>
    <n v="2269052.2799999998"/>
    <s v="Forecast"/>
  </r>
  <r>
    <x v="1"/>
    <x v="0"/>
    <s v="202410"/>
    <n v="13"/>
    <n v="3175463.09"/>
    <n v="-6.2776700821166972E-2"/>
    <s v="CohortAvg"/>
    <n v="-2.9385260036692201E-2"/>
    <s v="CohortAvg"/>
    <n v="0.3222788463445197"/>
    <s v="CohortAvg"/>
    <n v="6.2338344037503372E-2"/>
    <s v="CohortAvg_NonZero"/>
    <n v="7.8397114712961273E-5"/>
    <s v="CohortAvg"/>
    <n v="0"/>
    <s v="Zero"/>
    <n v="-3.3593628109963303E-2"/>
    <s v="CohortAvg"/>
    <n v="-5.9291780846643105E-4"/>
    <s v="CohortAvg"/>
    <n v="0"/>
    <n v="-199345.1"/>
    <n v="-93311.81"/>
    <n v="85282.05"/>
    <n v="0"/>
    <n v="248.95"/>
    <n v="-106675.33"/>
    <n v="-1882.79"/>
    <n v="2967839.29"/>
    <n v="0.184257"/>
    <n v="1.1879999999999999"/>
    <n v="0.21890399999999999"/>
    <s v="DonorCohort:202101+Seasonal(1.188)"/>
    <n v="649673.26"/>
    <n v="594204.34"/>
    <n v="55468.92"/>
    <x v="0"/>
    <n v="0"/>
    <n v="0.78500000000000003"/>
    <n v="0.24"/>
    <n v="0"/>
    <n v="0"/>
    <n v="0"/>
    <n v="594204.34"/>
    <n v="3175463.09"/>
    <n v="0.18712400000000001"/>
    <n v="55468.92"/>
    <n v="55717.86"/>
    <n v="0"/>
    <n v="55717.86"/>
    <n v="2912121.42"/>
    <s v="Forecast"/>
  </r>
  <r>
    <x v="1"/>
    <x v="0"/>
    <s v="202411"/>
    <n v="12"/>
    <n v="3399575.36"/>
    <n v="-6.4977909549444754E-2"/>
    <s v="CohortAvg"/>
    <n v="-2.994386175774974E-2"/>
    <s v="CohortAvg"/>
    <n v="0.34022357253917218"/>
    <s v="CohortAvg"/>
    <n v="7.0869338966674994E-2"/>
    <s v="CohortAvg_NonZero"/>
    <n v="6.8583645252611681E-5"/>
    <s v="CohortAvg"/>
    <n v="0"/>
    <s v="Zero"/>
    <n v="-4.6715395068911592E-2"/>
    <s v="CohortAvg"/>
    <n v="-9.4952590401429246E-4"/>
    <s v="CohortAvg"/>
    <n v="0"/>
    <n v="-220897.3"/>
    <n v="-101796.41"/>
    <n v="96384.639999999999"/>
    <n v="0"/>
    <n v="233.16"/>
    <n v="-158812.51"/>
    <n v="-3227.98"/>
    <n v="3173033.13"/>
    <n v="0.178732"/>
    <n v="1.1879999999999999"/>
    <n v="0.212341"/>
    <s v="DonorCohort:202101+Seasonal(1.188)"/>
    <n v="673765.14"/>
    <n v="551334.68000000005"/>
    <n v="122430.46"/>
    <x v="0"/>
    <n v="0"/>
    <n v="0.78500000000000003"/>
    <n v="0.24"/>
    <n v="0"/>
    <n v="0"/>
    <n v="0"/>
    <n v="551334.68000000005"/>
    <n v="3399575.36"/>
    <n v="0.16217799999999999"/>
    <n v="122430.46"/>
    <n v="122663.61"/>
    <n v="0"/>
    <n v="122663.61"/>
    <n v="3050369.52"/>
    <s v="Forecast"/>
  </r>
  <r>
    <x v="1"/>
    <x v="0"/>
    <s v="202412"/>
    <n v="11"/>
    <n v="3684690.25"/>
    <n v="-6.3646774546132504E-2"/>
    <s v="CohortAvg"/>
    <n v="-3.1775985531982187E-2"/>
    <s v="CohortAvg"/>
    <n v="0.35721315461643932"/>
    <s v="CohortAvg"/>
    <n v="5.9529919921429579E-2"/>
    <s v="CohortAvg_NonZero"/>
    <n v="3.8269206327140271E-5"/>
    <s v="CohortAvg"/>
    <n v="0"/>
    <s v="Zero"/>
    <n v="-4.8055373790191702E-2"/>
    <s v="CohortAvg"/>
    <n v="-8.9280344148037988E-4"/>
    <s v="CohortAvg"/>
    <n v="0"/>
    <n v="-234518.65"/>
    <n v="-117084.66"/>
    <n v="109684.99"/>
    <n v="0"/>
    <n v="141.01"/>
    <n v="-177069.17"/>
    <n v="-3289.7"/>
    <n v="3442630.91"/>
    <n v="0.15490499999999999"/>
    <n v="1.1879999999999999"/>
    <n v="0.184033"/>
    <s v="DonorCohort:202101+Seasonal(1.188)"/>
    <n v="633557.86"/>
    <n v="526521.82999999996"/>
    <n v="107036.02"/>
    <x v="0"/>
    <n v="0"/>
    <n v="0.78500000000000003"/>
    <n v="0.24"/>
    <n v="0"/>
    <n v="0"/>
    <n v="0"/>
    <n v="526521.82999999996"/>
    <n v="3684690.25"/>
    <n v="0.14289399999999999"/>
    <n v="107036.02"/>
    <n v="107177.04"/>
    <n v="0"/>
    <n v="107177.04"/>
    <n v="3335453.88"/>
    <s v="Forecast"/>
  </r>
  <r>
    <x v="1"/>
    <x v="0"/>
    <s v="202501"/>
    <n v="10"/>
    <n v="4103637.74"/>
    <n v="-6.0287846209141481E-2"/>
    <s v="CohortAvg"/>
    <n v="-3.2097510998792912E-2"/>
    <s v="CohortAvg"/>
    <n v="0.36572664328934312"/>
    <s v="CohortAvg"/>
    <n v="4.5918330989816528E-2"/>
    <s v="CohortAvg_NonZero"/>
    <n v="5.4872412932545639E-5"/>
    <s v="CohortAvg"/>
    <n v="0"/>
    <s v="Zero"/>
    <n v="-4.3477449779790053E-2"/>
    <s v="CohortAvg"/>
    <n v="-8.369018654898145E-4"/>
    <s v="CohortAvg"/>
    <n v="0"/>
    <n v="-247399.48"/>
    <n v="-131716.56"/>
    <n v="125067.47"/>
    <n v="0"/>
    <n v="225.18"/>
    <n v="-178415.7"/>
    <n v="-3434.34"/>
    <n v="3849364"/>
    <n v="0.136487"/>
    <n v="1.1879999999999999"/>
    <n v="0.16215099999999999"/>
    <s v="DonorCohort:202101+Seasonal(1.188)"/>
    <n v="624179.57999999996"/>
    <n v="515819.01"/>
    <n v="108360.57"/>
    <x v="0"/>
    <n v="0"/>
    <n v="0.78500000000000003"/>
    <n v="0.24"/>
    <n v="0"/>
    <n v="0"/>
    <n v="0"/>
    <n v="515819.01"/>
    <n v="4103637.74"/>
    <n v="0.125698"/>
    <n v="108360.57"/>
    <n v="108585.74"/>
    <n v="0"/>
    <n v="108585.74"/>
    <n v="3740778.26"/>
    <s v="Forecast"/>
  </r>
  <r>
    <x v="1"/>
    <x v="0"/>
    <s v="202502"/>
    <n v="9"/>
    <n v="5610424.6799999997"/>
    <n v="-5.9007538860209069E-2"/>
    <s v="CohortAvg"/>
    <n v="-3.3556451079611777E-2"/>
    <s v="CohortAvg"/>
    <n v="0.39232506973116199"/>
    <s v="CohortAvg"/>
    <n v="2.5329037419398511E-2"/>
    <s v="CohortAvg_NonZero"/>
    <n v="5.4237037303144273E-5"/>
    <s v="CohortAvg"/>
    <n v="0"/>
    <s v="Zero"/>
    <n v="-3.7788724751775228E-2"/>
    <s v="CohortAvg"/>
    <n v="-8.1707761279912973E-4"/>
    <s v="CohortAvg"/>
    <n v="0"/>
    <n v="-331057.34999999998"/>
    <n v="-188265.94"/>
    <n v="183425.85"/>
    <n v="0"/>
    <n v="304.29000000000002"/>
    <n v="-212010.79"/>
    <n v="-4584.1499999999996"/>
    <n v="5274222.95"/>
    <n v="0.120061"/>
    <n v="1.1879999999999999"/>
    <n v="0.14263700000000001"/>
    <s v="DonorCohort:202101+Seasonal(1.188)"/>
    <n v="752301.62"/>
    <n v="609568.53"/>
    <n v="142733.07999999999"/>
    <x v="0"/>
    <n v="0"/>
    <n v="0.78500000000000003"/>
    <n v="0.24"/>
    <n v="0"/>
    <n v="0"/>
    <n v="0"/>
    <n v="609568.53"/>
    <n v="5610424.6799999997"/>
    <n v="0.108649"/>
    <n v="142733.07999999999"/>
    <n v="143037.38"/>
    <n v="0"/>
    <n v="143037.38"/>
    <n v="5131185.57"/>
    <s v="Forecast"/>
  </r>
  <r>
    <x v="1"/>
    <x v="0"/>
    <s v="202503"/>
    <n v="8"/>
    <n v="7139607.4900000002"/>
    <n v="-5.4398502127630137E-2"/>
    <s v="CohortAvg"/>
    <n v="-3.4778430799263807E-2"/>
    <s v="CohortAvg"/>
    <n v="0.43215736902736818"/>
    <s v="CohortAvg"/>
    <n v="2.337347755521256E-2"/>
    <s v="CohortAvg_NonZero"/>
    <n v="8.5415215766584654E-6"/>
    <s v="CohortAvg"/>
    <n v="0"/>
    <s v="Zero"/>
    <n v="0"/>
    <s v="CohortAvg"/>
    <n v="0"/>
    <s v="CohortAvg"/>
    <n v="0"/>
    <n v="-388383.95"/>
    <n v="-248304.35"/>
    <n v="257119.5"/>
    <n v="0"/>
    <n v="60.98"/>
    <n v="0"/>
    <n v="0"/>
    <n v="6759977.71"/>
    <n v="0.10377699999999999"/>
    <n v="1.1879999999999999"/>
    <n v="0.123291"/>
    <s v="DonorCohort:202101+Seasonal(1.188)"/>
    <n v="833445.57"/>
    <n v="644588.43999999994"/>
    <n v="188857.13"/>
    <x v="0"/>
    <n v="0"/>
    <n v="0.78500000000000003"/>
    <n v="0.24"/>
    <n v="0"/>
    <n v="0"/>
    <n v="0"/>
    <n v="644588.43999999994"/>
    <n v="7139607.4900000002"/>
    <n v="9.0283000000000002E-2"/>
    <n v="188857.13"/>
    <n v="188918.11"/>
    <n v="0"/>
    <n v="188918.11"/>
    <n v="6571059.5999999996"/>
    <s v="Forecast"/>
  </r>
  <r>
    <x v="1"/>
    <x v="0"/>
    <s v="202504"/>
    <n v="7"/>
    <n v="8778021.3900000006"/>
    <n v="-5.2107489057622802E-2"/>
    <s v="CohortAvg"/>
    <n v="-3.631572009479421E-2"/>
    <s v="CohortAvg"/>
    <n v="0.44130404706567172"/>
    <s v="CohortAvg"/>
    <n v="1.013329171740706E-2"/>
    <s v="CohortAvg_NonZero"/>
    <n v="3.1153038969467628E-6"/>
    <s v="CohortAvg"/>
    <n v="0"/>
    <s v="Zero"/>
    <n v="0"/>
    <s v="CohortAvg"/>
    <n v="0"/>
    <s v="CohortAvg"/>
    <n v="0"/>
    <n v="-457400.65"/>
    <n v="-318780.17"/>
    <n v="322814.7"/>
    <n v="0"/>
    <n v="27.35"/>
    <n v="0"/>
    <n v="0"/>
    <n v="8324627.9199999999"/>
    <n v="8.6235000000000006E-2"/>
    <n v="1.1879999999999999"/>
    <n v="0.10245"/>
    <s v="DonorCohort:202101+Seasonal(1.188)"/>
    <n v="852860.87"/>
    <n v="689555.24"/>
    <n v="163305.62"/>
    <x v="0"/>
    <n v="0"/>
    <n v="0.78500000000000003"/>
    <n v="0.24"/>
    <n v="0"/>
    <n v="0"/>
    <n v="0"/>
    <n v="689555.24"/>
    <n v="8778021.3900000006"/>
    <n v="7.8555E-2"/>
    <n v="163305.62"/>
    <n v="163332.97"/>
    <n v="0"/>
    <n v="163332.97"/>
    <n v="8161294.9500000002"/>
    <s v="Forecast"/>
  </r>
  <r>
    <x v="1"/>
    <x v="0"/>
    <s v="202505"/>
    <n v="6"/>
    <n v="9953254.1899999995"/>
    <n v="-3.117277163915054E-2"/>
    <s v="CohortAvg"/>
    <n v="-2.4506944756247321E-2"/>
    <s v="CohortAvg"/>
    <n v="0.29546138816153289"/>
    <s v="CohortAvg"/>
    <n v="0"/>
    <s v="CohortAvg_NoData_ERROR"/>
    <n v="6.1937548514141296E-7"/>
    <s v="CohortAvg"/>
    <n v="0"/>
    <s v="Zero"/>
    <n v="0"/>
    <s v="CohortAvg"/>
    <n v="0"/>
    <s v="CohortAvg"/>
    <n v="0"/>
    <n v="-310270.52"/>
    <n v="-243923.85"/>
    <n v="245066.86"/>
    <n v="0"/>
    <n v="6.16"/>
    <n v="0"/>
    <n v="0"/>
    <n v="9644120.5099999998"/>
    <n v="7.5032000000000001E-2"/>
    <n v="1.1879999999999999"/>
    <n v="8.9140999999999998E-2"/>
    <s v="DonorCohort:202101+Seasonal(1.188)"/>
    <n v="859686.76"/>
    <n v="558382.80000000005"/>
    <n v="301303.96000000002"/>
    <x v="0"/>
    <n v="0"/>
    <n v="0.78500000000000003"/>
    <n v="0.24"/>
    <n v="0"/>
    <n v="0"/>
    <n v="0"/>
    <n v="558382.80000000005"/>
    <n v="9953254.1899999995"/>
    <n v="5.6100999999999998E-2"/>
    <n v="301303.96000000002"/>
    <n v="301310.13"/>
    <n v="0"/>
    <n v="301310.13"/>
    <n v="9342810.3900000006"/>
    <s v="Forecast"/>
  </r>
  <r>
    <x v="1"/>
    <x v="0"/>
    <s v="202506"/>
    <n v="5"/>
    <n v="10973736.76"/>
    <n v="-2.2635991023920249E-2"/>
    <s v="CohortAvg"/>
    <n v="-1.913711741165015E-2"/>
    <s v="CohortAvg"/>
    <n v="0.2300724932378507"/>
    <s v="CohortAvg"/>
    <n v="0"/>
    <s v="CohortAvg_NoData_ERROR"/>
    <n v="0"/>
    <s v="CohortAvg"/>
    <n v="0"/>
    <s v="Zero"/>
    <n v="0"/>
    <s v="CohortAvg"/>
    <n v="0"/>
    <s v="CohortAvg"/>
    <n v="0"/>
    <n v="-248401.41"/>
    <n v="-210005.69"/>
    <n v="210396.25"/>
    <n v="0"/>
    <n v="0"/>
    <n v="0"/>
    <n v="0"/>
    <n v="10725725.91"/>
    <n v="5.3585000000000001E-2"/>
    <n v="1.1879999999999999"/>
    <n v="6.3660999999999995E-2"/>
    <s v="DonorCohort:202101+Seasonal(1.188)"/>
    <n v="682808.33"/>
    <n v="386404.22"/>
    <n v="296404.11"/>
    <x v="0"/>
    <n v="0"/>
    <n v="0.78500000000000003"/>
    <n v="0.24"/>
    <n v="0"/>
    <n v="0"/>
    <n v="0"/>
    <n v="386404.22"/>
    <n v="10973736.76"/>
    <n v="3.5212E-2"/>
    <n v="296404.11"/>
    <n v="296404.11"/>
    <n v="0"/>
    <n v="296404.11"/>
    <n v="10429321.800000001"/>
    <s v="Forecast"/>
  </r>
  <r>
    <x v="1"/>
    <x v="0"/>
    <s v="202507"/>
    <n v="4"/>
    <n v="13508660.83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3508660.83"/>
    <n v="3.3633000000000003E-2"/>
    <n v="1.1879999999999999"/>
    <n v="3.9956999999999999E-2"/>
    <s v="DonorCohort:202101+Seasonal(1.188)"/>
    <n v="539765.09"/>
    <n v="315794.21000000002"/>
    <n v="223970.88"/>
    <x v="0"/>
    <n v="0"/>
    <n v="0.78500000000000003"/>
    <n v="0.24"/>
    <n v="0"/>
    <n v="0"/>
    <n v="0"/>
    <n v="315794.21000000002"/>
    <n v="13508660.83"/>
    <n v="2.3376999999999998E-2"/>
    <n v="223970.88"/>
    <n v="223970.88"/>
    <n v="0"/>
    <n v="223970.88"/>
    <n v="13284689.949999999"/>
    <s v="Forecast"/>
  </r>
  <r>
    <x v="1"/>
    <x v="0"/>
    <s v="202508"/>
    <n v="3"/>
    <n v="10582346.6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0582346.66"/>
    <n v="2.2329000000000002E-2"/>
    <n v="1.1879999999999999"/>
    <n v="2.6527999999999999E-2"/>
    <s v="DonorCohort:202101+Seasonal(1.188)"/>
    <n v="280723.67"/>
    <n v="124854.49"/>
    <n v="155869.18"/>
    <x v="0"/>
    <n v="0"/>
    <n v="0.78500000000000003"/>
    <n v="0.24"/>
    <n v="0"/>
    <n v="0"/>
    <n v="0"/>
    <n v="124854.49"/>
    <n v="10582346.66"/>
    <n v="1.1797999999999999E-2"/>
    <n v="155869.18"/>
    <n v="155869.18"/>
    <n v="0"/>
    <n v="155869.18"/>
    <n v="10426477.48"/>
    <s v="Forecast"/>
  </r>
  <r>
    <x v="1"/>
    <x v="0"/>
    <s v="202509"/>
    <n v="2"/>
    <n v="11481431.4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1481431.49"/>
    <n v="1.1269E-2"/>
    <n v="1.1879999999999999"/>
    <n v="1.3388000000000001E-2"/>
    <s v="DonorCohort:202101+Seasonal(1.188)"/>
    <n v="153717.53"/>
    <n v="65974.52"/>
    <n v="87743.02"/>
    <x v="0"/>
    <n v="0"/>
    <n v="0.78500000000000003"/>
    <n v="0.24"/>
    <n v="0"/>
    <n v="0"/>
    <n v="0"/>
    <n v="65974.52"/>
    <n v="11481431.49"/>
    <n v="5.7460000000000002E-3"/>
    <n v="87743.02"/>
    <n v="87743.02"/>
    <n v="0"/>
    <n v="87743.02"/>
    <n v="11393688.470000001"/>
    <s v="Forecast"/>
  </r>
  <r>
    <x v="1"/>
    <x v="1"/>
    <s v="202301"/>
    <n v="24"/>
    <n v="1126518.24"/>
    <n v="-2.7343836523738219E-2"/>
    <s v="CohortAvg"/>
    <n v="-9.5327987960874064E-3"/>
    <s v="CohortAvg"/>
    <n v="0.1236626082647611"/>
    <s v="CohortAvg"/>
    <n v="2.506622227560585E-2"/>
    <s v="CohortAvg_NonZero"/>
    <n v="0"/>
    <s v="CohortAvg"/>
    <n v="0"/>
    <s v="Zero"/>
    <n v="0"/>
    <s v="CohortAvg"/>
    <n v="0"/>
    <s v="CohortAvg"/>
    <n v="0"/>
    <n v="-30803.33"/>
    <n v="-10738.87"/>
    <n v="11609.02"/>
    <n v="0"/>
    <n v="0"/>
    <n v="0"/>
    <n v="0"/>
    <n v="1096585.05"/>
    <n v="0.24423300000000001"/>
    <n v="0.55579999999999996"/>
    <n v="0.13573399999999999"/>
    <s v="CohortTrend+Seasonal(0.556)"/>
    <n v="148844.32"/>
    <n v="270953"/>
    <n v="-122108.69"/>
    <x v="0"/>
    <n v="0"/>
    <n v="0.78500000000000003"/>
    <n v="0.24"/>
    <n v="0"/>
    <n v="0"/>
    <n v="0"/>
    <n v="270953"/>
    <n v="1126518.24"/>
    <n v="0.24052299999999999"/>
    <n v="-122108.69"/>
    <n v="-122108.69"/>
    <n v="0"/>
    <n v="-122108.69"/>
    <n v="1218693.74"/>
    <s v="Forecast"/>
  </r>
  <r>
    <x v="1"/>
    <x v="1"/>
    <s v="202404"/>
    <n v="19"/>
    <n v="301260.81"/>
    <n v="-4.0701089351687147E-2"/>
    <s v="CohortAvg"/>
    <n v="-1.4753345188964781E-2"/>
    <s v="CohortAvg"/>
    <n v="0.16073185586294039"/>
    <s v="CohortAvg"/>
    <n v="5.0851863239572817E-2"/>
    <s v="CohortAvg_NonZero"/>
    <n v="0"/>
    <s v="CohortAvg"/>
    <n v="0"/>
    <s v="Zero"/>
    <n v="0"/>
    <s v="CohortAvg"/>
    <n v="0"/>
    <s v="CohortAvg"/>
    <n v="0"/>
    <n v="-12261.64"/>
    <n v="-4444.6000000000004"/>
    <n v="4035.18"/>
    <n v="0"/>
    <n v="0"/>
    <n v="0"/>
    <n v="0"/>
    <n v="288589.75"/>
    <n v="0.18524499999999999"/>
    <n v="0.55579999999999996"/>
    <n v="0.102951"/>
    <s v="DonorCohort:202301+Seasonal(0.556)"/>
    <n v="29710.7"/>
    <n v="49932.27"/>
    <n v="-20221.580000000002"/>
    <x v="0"/>
    <n v="0"/>
    <n v="0.78500000000000003"/>
    <n v="0.24"/>
    <n v="0"/>
    <n v="0"/>
    <n v="0"/>
    <n v="49932.27"/>
    <n v="301260.81"/>
    <n v="0.165744"/>
    <n v="-20221.580000000002"/>
    <n v="-20221.580000000002"/>
    <n v="0"/>
    <n v="-20221.580000000002"/>
    <n v="308811.33"/>
    <s v="Forecast"/>
  </r>
  <r>
    <x v="1"/>
    <x v="1"/>
    <s v="202405"/>
    <n v="18"/>
    <n v="458545.35"/>
    <n v="-3.5105153184511233E-2"/>
    <s v="CohortAvg"/>
    <n v="-1.3150065486707449E-2"/>
    <s v="CohortAvg"/>
    <n v="0.15737328401978251"/>
    <s v="CohortAvg"/>
    <n v="5.5266062269245367E-2"/>
    <s v="CohortAvg_NonZero"/>
    <n v="3.3776590150340659E-6"/>
    <s v="CohortAvg"/>
    <n v="0"/>
    <s v="Zero"/>
    <n v="0"/>
    <s v="CohortAvg"/>
    <n v="0"/>
    <s v="CohortAvg"/>
    <n v="0"/>
    <n v="-16097.3"/>
    <n v="-6029.9"/>
    <n v="6013.57"/>
    <n v="0"/>
    <n v="1.55"/>
    <n v="0"/>
    <n v="0"/>
    <n v="442430.16"/>
    <n v="0.16040199999999999"/>
    <n v="0.55579999999999996"/>
    <n v="8.9145000000000002E-2"/>
    <s v="DonorCohort:202301+Seasonal(0.556)"/>
    <n v="39440.370000000003"/>
    <n v="104221.7"/>
    <n v="-64781.33"/>
    <x v="0"/>
    <n v="0"/>
    <n v="0.78500000000000003"/>
    <n v="0.24"/>
    <n v="0"/>
    <n v="0"/>
    <n v="0"/>
    <n v="104221.7"/>
    <n v="458545.35"/>
    <n v="0.22728799999999999"/>
    <n v="-64781.33"/>
    <n v="-64779.79"/>
    <n v="0"/>
    <n v="-64779.79"/>
    <n v="507209.95"/>
    <s v="Forecast"/>
  </r>
  <r>
    <x v="1"/>
    <x v="1"/>
    <s v="202406"/>
    <n v="17"/>
    <n v="255414.43"/>
    <n v="-2.7907426678782508E-2"/>
    <s v="CohortAvg"/>
    <n v="-1.552874850141743E-2"/>
    <s v="CohortAvg"/>
    <n v="0.18180070943172369"/>
    <s v="CohortAvg"/>
    <n v="5.620844502272148E-2"/>
    <s v="CohortAvg_NonZero"/>
    <n v="0"/>
    <s v="CohortAvg"/>
    <n v="0"/>
    <s v="Zero"/>
    <n v="0"/>
    <s v="CohortAvg"/>
    <n v="0"/>
    <s v="CohortAvg"/>
    <n v="0"/>
    <n v="-7127.96"/>
    <n v="-3966.27"/>
    <n v="3869.54"/>
    <n v="0"/>
    <n v="0"/>
    <n v="0"/>
    <n v="0"/>
    <n v="248189.75"/>
    <n v="0.21996199999999999"/>
    <n v="0.55579999999999996"/>
    <n v="0.12224599999999999"/>
    <s v="DonorCohort:202301+Seasonal(0.556)"/>
    <n v="30340.12"/>
    <n v="49179.12"/>
    <n v="-18839"/>
    <x v="0"/>
    <n v="0"/>
    <n v="0.78500000000000003"/>
    <n v="0.24"/>
    <n v="0"/>
    <n v="0"/>
    <n v="0"/>
    <n v="49179.12"/>
    <n v="255414.43"/>
    <n v="0.19254599999999999"/>
    <n v="-18839"/>
    <n v="-18839"/>
    <n v="0"/>
    <n v="-18839"/>
    <n v="267028.75"/>
    <s v="Forecast"/>
  </r>
  <r>
    <x v="1"/>
    <x v="1"/>
    <s v="202407"/>
    <n v="16"/>
    <n v="455510.86"/>
    <n v="-3.6954963943482022E-2"/>
    <s v="CohortAvg"/>
    <n v="-1.5126060184957459E-2"/>
    <s v="CohortAvg"/>
    <n v="0.17368426764697639"/>
    <s v="CohortAvg"/>
    <n v="8.2761551975630093E-2"/>
    <s v="CohortAvg_NonZero"/>
    <n v="0"/>
    <s v="CohortAvg"/>
    <n v="0"/>
    <s v="Zero"/>
    <n v="0"/>
    <s v="CohortAvg"/>
    <n v="0"/>
    <s v="CohortAvg"/>
    <n v="0"/>
    <n v="-16833.39"/>
    <n v="-6890.08"/>
    <n v="6592.92"/>
    <n v="0"/>
    <n v="0"/>
    <n v="0"/>
    <n v="0"/>
    <n v="438380.31"/>
    <n v="0.18634100000000001"/>
    <n v="0.55579999999999996"/>
    <n v="0.10356"/>
    <s v="DonorCohort:202301+Seasonal(0.556)"/>
    <n v="45398.75"/>
    <n v="65969.33"/>
    <n v="-20570.580000000002"/>
    <x v="0"/>
    <n v="0"/>
    <n v="0.78500000000000003"/>
    <n v="0.24"/>
    <n v="0"/>
    <n v="0"/>
    <n v="0"/>
    <n v="65969.33"/>
    <n v="455510.86"/>
    <n v="0.14482500000000001"/>
    <n v="-20570.580000000002"/>
    <n v="-20570.580000000002"/>
    <n v="0"/>
    <n v="-20570.580000000002"/>
    <n v="458950.89"/>
    <s v="Forecast"/>
  </r>
  <r>
    <x v="1"/>
    <x v="1"/>
    <s v="202408"/>
    <n v="15"/>
    <n v="555459.07999999996"/>
    <n v="-3.1843217716630963E-2"/>
    <s v="CohortAvg"/>
    <n v="-1.586677549072521E-2"/>
    <s v="CohortAvg"/>
    <n v="0.18344611380188769"/>
    <s v="CohortAvg"/>
    <n v="0.1104761026857974"/>
    <s v="CohortAvg_NonZero"/>
    <n v="1.0796553685582491E-8"/>
    <s v="CohortAvg"/>
    <n v="0"/>
    <s v="Zero"/>
    <n v="0"/>
    <s v="CohortAvg"/>
    <n v="0"/>
    <s v="CohortAvg"/>
    <n v="0"/>
    <n v="-17687.599999999999"/>
    <n v="-8813.34"/>
    <n v="8491.4"/>
    <n v="0"/>
    <n v="0.01"/>
    <n v="0"/>
    <n v="0"/>
    <n v="537449.52"/>
    <n v="0.140157"/>
    <n v="0.55579999999999996"/>
    <n v="7.7893000000000004E-2"/>
    <s v="DonorCohort:202301+Seasonal(0.556)"/>
    <n v="41863.79"/>
    <n v="70928.25"/>
    <n v="-29064.46"/>
    <x v="0"/>
    <n v="0"/>
    <n v="0.78500000000000003"/>
    <n v="0.24"/>
    <n v="0"/>
    <n v="0"/>
    <n v="0"/>
    <n v="70928.25"/>
    <n v="555459.07999999996"/>
    <n v="0.127693"/>
    <n v="-29064.46"/>
    <n v="-29064.45"/>
    <n v="0"/>
    <n v="-29064.45"/>
    <n v="566513.97"/>
    <s v="Forecast"/>
  </r>
  <r>
    <x v="1"/>
    <x v="1"/>
    <s v="202409"/>
    <n v="14"/>
    <n v="590469.29"/>
    <n v="-2.4297236181047469E-2"/>
    <s v="CohortAvg"/>
    <n v="-1.5479553009588099E-2"/>
    <s v="CohortAvg"/>
    <n v="0.1856158300495645"/>
    <s v="CohortAvg"/>
    <n v="3.0445855825339631E-2"/>
    <s v="CohortAvg_NonZero"/>
    <n v="0"/>
    <s v="CohortAvg"/>
    <n v="0"/>
    <s v="Zero"/>
    <n v="0"/>
    <s v="CohortAvg"/>
    <n v="0"/>
    <s v="CohortAvg"/>
    <n v="0"/>
    <n v="-14346.77"/>
    <n v="-9140.2000000000007"/>
    <n v="9133.3700000000008"/>
    <n v="0"/>
    <n v="0"/>
    <n v="0"/>
    <n v="0"/>
    <n v="576115.68999999994"/>
    <n v="0.12357700000000001"/>
    <n v="0.55579999999999996"/>
    <n v="6.8679000000000004E-2"/>
    <s v="DonorCohort:202301+Seasonal(0.556)"/>
    <n v="39567.120000000003"/>
    <n v="78224.83"/>
    <n v="-38657.71"/>
    <x v="0"/>
    <n v="0"/>
    <n v="0.78500000000000003"/>
    <n v="0.24"/>
    <n v="0"/>
    <n v="0"/>
    <n v="0"/>
    <n v="78224.83"/>
    <n v="590469.29"/>
    <n v="0.13247900000000001"/>
    <n v="-38657.71"/>
    <n v="-38657.71"/>
    <n v="0"/>
    <n v="-38657.71"/>
    <n v="614773.4"/>
    <s v="Forecast"/>
  </r>
  <r>
    <x v="1"/>
    <x v="1"/>
    <s v="202410"/>
    <n v="13"/>
    <n v="450221.35"/>
    <n v="-2.6091918459267751E-2"/>
    <s v="CohortAvg"/>
    <n v="-1.6926159579730909E-2"/>
    <s v="CohortAvg"/>
    <n v="0.19205042081325821"/>
    <s v="CohortAvg"/>
    <n v="3.5365369667266423E-2"/>
    <s v="CohortAvg_NonZero"/>
    <n v="4.7368504560566819E-6"/>
    <s v="CohortAvg"/>
    <n v="0"/>
    <s v="Zero"/>
    <n v="0"/>
    <s v="CohortAvg"/>
    <n v="0"/>
    <s v="CohortAvg"/>
    <n v="0"/>
    <n v="-11747.14"/>
    <n v="-7620.52"/>
    <n v="7205.43"/>
    <n v="0"/>
    <n v="2.13"/>
    <n v="0"/>
    <n v="0"/>
    <n v="438057"/>
    <n v="0.12820899999999999"/>
    <n v="0.55579999999999996"/>
    <n v="7.1252999999999997E-2"/>
    <s v="DonorCohort:202301+Seasonal(0.556)"/>
    <n v="31213"/>
    <n v="49343.82"/>
    <n v="-18130.82"/>
    <x v="0"/>
    <n v="0"/>
    <n v="0.78500000000000003"/>
    <n v="0.24"/>
    <n v="0"/>
    <n v="0"/>
    <n v="0"/>
    <n v="49343.82"/>
    <n v="450221.35"/>
    <n v="0.109599"/>
    <n v="-18130.82"/>
    <n v="-18128.689999999999"/>
    <n v="0"/>
    <n v="-18128.689999999999"/>
    <n v="456185.68"/>
    <s v="Forecast"/>
  </r>
  <r>
    <x v="1"/>
    <x v="1"/>
    <s v="202411"/>
    <n v="12"/>
    <n v="573228.59"/>
    <n v="-2.739066401019841E-2"/>
    <s v="CohortAvg"/>
    <n v="-1.482557039465811E-2"/>
    <s v="CohortAvg"/>
    <n v="0.17671909578548481"/>
    <s v="CohortAvg"/>
    <n v="4.2422756892105562E-2"/>
    <s v="CohortAvg_NonZero"/>
    <n v="0"/>
    <s v="CohortAvg"/>
    <n v="0"/>
    <s v="Zero"/>
    <n v="0"/>
    <s v="CohortAvg"/>
    <n v="0"/>
    <s v="CohortAvg"/>
    <n v="0"/>
    <n v="-15701.11"/>
    <n v="-8498.44"/>
    <n v="8441.7000000000007"/>
    <n v="0"/>
    <n v="0"/>
    <n v="0"/>
    <n v="0"/>
    <n v="557470.74"/>
    <n v="0.10606699999999999"/>
    <n v="0.55579999999999996"/>
    <n v="5.8946999999999999E-2"/>
    <s v="DonorCohort:202301+Seasonal(0.556)"/>
    <n v="32861.42"/>
    <n v="65025.16"/>
    <n v="-32163.74"/>
    <x v="0"/>
    <n v="0"/>
    <n v="0.78500000000000003"/>
    <n v="0.24"/>
    <n v="0"/>
    <n v="0"/>
    <n v="0"/>
    <n v="65025.16"/>
    <n v="573228.59"/>
    <n v="0.113437"/>
    <n v="-32163.74"/>
    <n v="-32163.74"/>
    <n v="0"/>
    <n v="-32163.74"/>
    <n v="589634.48"/>
    <s v="Forecast"/>
  </r>
  <r>
    <x v="1"/>
    <x v="1"/>
    <s v="202412"/>
    <n v="11"/>
    <n v="52599.09"/>
    <n v="-8.5585914819547877E-3"/>
    <s v="CohortAvg"/>
    <n v="-1.256601390561315E-2"/>
    <s v="CohortAvg"/>
    <n v="0.17336723229228129"/>
    <s v="CohortAvg"/>
    <n v="0.2"/>
    <s v="CohortAvg_NonZero"/>
    <n v="0"/>
    <s v="CohortAvg"/>
    <n v="0"/>
    <s v="Zero"/>
    <n v="0"/>
    <s v="CohortAvg"/>
    <n v="0"/>
    <s v="CohortAvg"/>
    <n v="0"/>
    <n v="-450.17"/>
    <n v="-660.96"/>
    <n v="759.91"/>
    <n v="0"/>
    <n v="0"/>
    <n v="0"/>
    <n v="0"/>
    <n v="52247.86"/>
    <n v="0.109781"/>
    <n v="0.55579999999999996"/>
    <n v="6.1011000000000003E-2"/>
    <s v="DonorCohort:202301+Seasonal(0.556)"/>
    <n v="3187.72"/>
    <n v="4512.63"/>
    <n v="-1324.92"/>
    <x v="0"/>
    <n v="0"/>
    <n v="0.78500000000000003"/>
    <n v="0.24"/>
    <n v="0"/>
    <n v="0"/>
    <n v="0"/>
    <n v="4512.63"/>
    <n v="52599.09"/>
    <n v="8.5792999999999994E-2"/>
    <n v="-1324.92"/>
    <n v="-1324.92"/>
    <n v="0"/>
    <n v="-1324.92"/>
    <n v="53572.78"/>
    <s v="Forecast"/>
  </r>
  <r>
    <x v="1"/>
    <x v="1"/>
    <s v="202501"/>
    <n v="10"/>
    <n v="59539.45"/>
    <n v="-1.47951762316531E-2"/>
    <s v="CohortAvg"/>
    <n v="-1.7389623814799811E-2"/>
    <s v="CohortAvg"/>
    <n v="0.20512944274424511"/>
    <s v="CohortAvg"/>
    <n v="0"/>
    <s v="CohortAvg_NoData_ERROR"/>
    <n v="0"/>
    <s v="CohortAvg"/>
    <n v="0"/>
    <s v="Zero"/>
    <n v="0"/>
    <s v="CohortAvg"/>
    <n v="0"/>
    <s v="CohortAvg"/>
    <n v="0"/>
    <n v="-880.9"/>
    <n v="-1035.3699999999999"/>
    <n v="1017.77"/>
    <n v="0"/>
    <n v="0"/>
    <n v="0"/>
    <n v="0"/>
    <n v="58640.959999999999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59539.45"/>
    <n v="0"/>
    <n v="0"/>
    <n v="0"/>
    <n v="0"/>
    <n v="0"/>
    <n v="58640.959999999999"/>
    <s v="Forecast"/>
  </r>
  <r>
    <x v="1"/>
    <x v="1"/>
    <s v="202502"/>
    <n v="9"/>
    <n v="125787.15"/>
    <n v="-1.262060743669426E-2"/>
    <s v="CohortAvg"/>
    <n v="-1.7231955726182129E-2"/>
    <s v="CohortAvg"/>
    <n v="0.1967403581101056"/>
    <s v="CohortAvg"/>
    <n v="0"/>
    <s v="CohortAvg_NoData_ERROR"/>
    <n v="0"/>
    <s v="CohortAvg"/>
    <n v="0"/>
    <s v="Zero"/>
    <n v="0"/>
    <s v="CohortAvg"/>
    <n v="0"/>
    <s v="CohortAvg"/>
    <n v="0"/>
    <n v="-1587.51"/>
    <n v="-2167.56"/>
    <n v="2062.2800000000002"/>
    <n v="0"/>
    <n v="0"/>
    <n v="0"/>
    <n v="0"/>
    <n v="124094.36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25787.15"/>
    <n v="0"/>
    <n v="0"/>
    <n v="0"/>
    <n v="0"/>
    <n v="0"/>
    <n v="124094.36"/>
    <s v="Forecast"/>
  </r>
  <r>
    <x v="1"/>
    <x v="1"/>
    <s v="202503"/>
    <n v="8"/>
    <n v="83034.41"/>
    <n v="-9.8324560409415E-3"/>
    <s v="CohortAvg"/>
    <n v="-1.649016267597745E-2"/>
    <s v="CohortAvg"/>
    <n v="0.20633415681962189"/>
    <s v="CohortAvg"/>
    <n v="0"/>
    <s v="CohortAvg_NoData_ERROR"/>
    <n v="0"/>
    <s v="CohortAvg"/>
    <n v="0"/>
    <s v="Zero"/>
    <n v="0"/>
    <s v="CohortAvg"/>
    <n v="0"/>
    <s v="CohortAvg"/>
    <n v="0"/>
    <n v="-816.43"/>
    <n v="-1369.25"/>
    <n v="1427.74"/>
    <n v="0"/>
    <n v="0"/>
    <n v="0"/>
    <n v="0"/>
    <n v="82276.460000000006"/>
    <n v="4.8829999999999998E-2"/>
    <n v="0.55579999999999996"/>
    <n v="2.7137999999999999E-2"/>
    <s v="DonorCohort:202301+Seasonal(0.556)"/>
    <n v="2232.7800000000002"/>
    <n v="3502.97"/>
    <n v="-1270.19"/>
    <x v="0"/>
    <n v="0"/>
    <n v="0.78500000000000003"/>
    <n v="0.24"/>
    <n v="0"/>
    <n v="0"/>
    <n v="0"/>
    <n v="3502.97"/>
    <n v="83034.41"/>
    <n v="4.2187000000000002E-2"/>
    <n v="-1270.19"/>
    <n v="-1270.19"/>
    <n v="0"/>
    <n v="-1270.19"/>
    <n v="83546.649999999994"/>
    <s v="Forecast"/>
  </r>
  <r>
    <x v="1"/>
    <x v="1"/>
    <s v="202504"/>
    <n v="7"/>
    <n v="61434.53"/>
    <n v="-2.0432293495562189E-2"/>
    <s v="CohortAvg"/>
    <n v="-1.6756710582165841E-2"/>
    <s v="CohortAvg"/>
    <n v="0.20318831791612951"/>
    <s v="CohortAvg"/>
    <n v="0"/>
    <s v="CohortAvg_NoData_ERROR"/>
    <n v="0"/>
    <s v="CohortAvg"/>
    <n v="0"/>
    <s v="Zero"/>
    <n v="0"/>
    <s v="CohortAvg"/>
    <n v="0"/>
    <s v="CohortAvg"/>
    <n v="0"/>
    <n v="-1255.25"/>
    <n v="-1029.44"/>
    <n v="1040.23"/>
    <n v="0"/>
    <n v="0"/>
    <n v="0"/>
    <n v="0"/>
    <n v="60190.07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61434.53"/>
    <n v="0"/>
    <n v="0"/>
    <n v="0"/>
    <n v="0"/>
    <n v="0"/>
    <n v="60190.07"/>
    <s v="Forecast"/>
  </r>
  <r>
    <x v="1"/>
    <x v="1"/>
    <s v="202505"/>
    <n v="6"/>
    <n v="16425.98"/>
    <n v="-6.8349970970240622E-3"/>
    <s v="CohortAvg"/>
    <n v="-1.116124459846651E-2"/>
    <s v="CohortAvg"/>
    <n v="0.13493506110106629"/>
    <s v="CohortAvg"/>
    <n v="0"/>
    <s v="CohortAvg_NoData_ERROR"/>
    <n v="0"/>
    <s v="CohortAvg"/>
    <n v="0"/>
    <s v="Zero"/>
    <n v="0"/>
    <s v="CohortAvg"/>
    <n v="0"/>
    <s v="CohortAvg"/>
    <n v="0"/>
    <n v="-112.27"/>
    <n v="-183.33"/>
    <n v="184.7"/>
    <n v="0"/>
    <n v="0"/>
    <n v="0"/>
    <n v="0"/>
    <n v="16315.08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6425.98"/>
    <n v="0"/>
    <n v="0"/>
    <n v="0"/>
    <n v="0"/>
    <n v="0"/>
    <n v="16315.08"/>
    <s v="Forecast"/>
  </r>
  <r>
    <x v="1"/>
    <x v="1"/>
    <s v="202506"/>
    <n v="5"/>
    <n v="29971.3"/>
    <n v="-7.1635342292981621E-3"/>
    <s v="CohortAvg"/>
    <n v="-8.4689674934794058E-3"/>
    <s v="CohortAvg"/>
    <n v="9.839369573770973E-2"/>
    <s v="CohortAvg"/>
    <n v="0"/>
    <s v="CohortAvg_NoData_ERROR"/>
    <n v="0"/>
    <s v="CohortAvg"/>
    <n v="0"/>
    <s v="Zero"/>
    <n v="0"/>
    <s v="CohortAvg"/>
    <n v="0"/>
    <s v="CohortAvg"/>
    <n v="0"/>
    <n v="-214.7"/>
    <n v="-253.83"/>
    <n v="245.75"/>
    <n v="0"/>
    <n v="0"/>
    <n v="0"/>
    <n v="0"/>
    <n v="29748.52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29971.3"/>
    <n v="0"/>
    <n v="0"/>
    <n v="0"/>
    <n v="0"/>
    <n v="0"/>
    <n v="29748.52"/>
    <s v="Forecast"/>
  </r>
  <r>
    <x v="1"/>
    <x v="1"/>
    <s v="202507"/>
    <n v="4"/>
    <n v="114199.5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14199.52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14199.52"/>
    <n v="0"/>
    <n v="0"/>
    <n v="0"/>
    <n v="0"/>
    <n v="0"/>
    <n v="114199.52"/>
    <s v="Forecast"/>
  </r>
  <r>
    <x v="1"/>
    <x v="1"/>
    <s v="202508"/>
    <n v="3"/>
    <n v="46868.7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46868.77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46868.77"/>
    <n v="0"/>
    <n v="0"/>
    <n v="0"/>
    <n v="0"/>
    <n v="0"/>
    <n v="46868.77"/>
    <s v="Forecast"/>
  </r>
  <r>
    <x v="1"/>
    <x v="1"/>
    <s v="202509"/>
    <n v="2"/>
    <n v="15353.3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5353.37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"/>
    <x v="2"/>
    <s v="202101"/>
    <n v="58"/>
    <n v="2657821.7599999998"/>
    <n v="-0.1472627285924244"/>
    <s v="CohortAvg"/>
    <n v="-1.154296614762532E-2"/>
    <s v="CohortAvg"/>
    <n v="0.1201298154434669"/>
    <s v="CohortAvg"/>
    <n v="1.7282756366839729E-2"/>
    <s v="CohortAvg_NonZero"/>
    <n v="0"/>
    <s v="CohortAvg"/>
    <n v="0"/>
    <s v="Zero"/>
    <n v="0"/>
    <s v="CohortAvg"/>
    <n v="0"/>
    <s v="CohortAvg"/>
    <n v="0"/>
    <n v="-391398.08"/>
    <n v="-30679.15"/>
    <n v="26606.97"/>
    <n v="0"/>
    <n v="0"/>
    <n v="0"/>
    <n v="0"/>
    <n v="2262351.4900000002"/>
    <n v="0.258241"/>
    <n v="0.97519999999999996"/>
    <n v="0.25183699999999998"/>
    <s v="CohortAvg+Seasonal(0.975)"/>
    <n v="569744.74"/>
    <n v="737763.79"/>
    <n v="-168019.04"/>
    <x v="0"/>
    <n v="0"/>
    <n v="0.78500000000000003"/>
    <n v="0.24"/>
    <n v="0"/>
    <n v="0"/>
    <n v="0"/>
    <n v="737763.79"/>
    <n v="2657821.7599999998"/>
    <n v="0.277582"/>
    <n v="-168019.04"/>
    <n v="-168019.04"/>
    <n v="0"/>
    <n v="-168019.04"/>
    <n v="2430370.54"/>
    <s v="Forecast"/>
  </r>
  <r>
    <x v="1"/>
    <x v="2"/>
    <s v="202201"/>
    <n v="38"/>
    <n v="180275.43"/>
    <n v="-7.7012071654520273E-2"/>
    <s v="CohortAvg"/>
    <n v="-1.311373059220433E-2"/>
    <s v="CohortAvg"/>
    <n v="0.14657923849835139"/>
    <s v="CohortAvg"/>
    <n v="2.8200593161156862E-2"/>
    <s v="CohortAvg_NonZero"/>
    <n v="1.4551908836007479E-7"/>
    <s v="CohortAvg"/>
    <n v="0"/>
    <s v="Zero"/>
    <n v="-1.4195825461114391E-4"/>
    <s v="CohortAvg"/>
    <n v="-6.409160776563247E-7"/>
    <s v="CohortAvg"/>
    <n v="0"/>
    <n v="-13883.38"/>
    <n v="-2364.08"/>
    <n v="2202.0500000000002"/>
    <n v="0"/>
    <n v="0.03"/>
    <n v="-25.59"/>
    <n v="-0.12"/>
    <n v="166229.99"/>
    <n v="0.199044"/>
    <n v="0.97519999999999996"/>
    <n v="0.194109"/>
    <s v="CohortTrend+Seasonal(0.975)"/>
    <n v="32266.73"/>
    <n v="37988.769999999997"/>
    <n v="-5722.04"/>
    <x v="0"/>
    <n v="0"/>
    <n v="0.78500000000000003"/>
    <n v="0.24"/>
    <n v="0"/>
    <n v="0"/>
    <n v="0"/>
    <n v="37988.769999999997"/>
    <n v="180275.43"/>
    <n v="0.210726"/>
    <n v="-5722.04"/>
    <n v="-5722.02"/>
    <n v="0"/>
    <n v="-5722.02"/>
    <n v="171952.01"/>
    <s v="Forecast"/>
  </r>
  <r>
    <x v="1"/>
    <x v="2"/>
    <s v="202301"/>
    <n v="29"/>
    <n v="11394648.199999999"/>
    <n v="-4.6586562120494973E-2"/>
    <s v="CohortAvg"/>
    <n v="-1.5383484751913659E-2"/>
    <s v="CohortAvg"/>
    <n v="0.17190520506773049"/>
    <s v="CohortAvg"/>
    <n v="1.7756271376229808E-2"/>
    <s v="CohortAvg_NonZero"/>
    <n v="9.9665896344943423E-7"/>
    <s v="CohortAvg"/>
    <n v="0"/>
    <s v="Zero"/>
    <n v="-5.0277694614020143E-3"/>
    <s v="CohortAvg"/>
    <n v="-1.519887131789599E-5"/>
    <s v="CohortAvg"/>
    <n v="0"/>
    <n v="-530837.49"/>
    <n v="-175289.4"/>
    <n v="163233.28"/>
    <n v="0"/>
    <n v="11.36"/>
    <n v="-57289.66"/>
    <n v="-173.19"/>
    <n v="10851743.23"/>
    <n v="0.16173299999999999"/>
    <n v="0.97519999999999996"/>
    <n v="0.157723"/>
    <s v="CohortTrend+Seasonal(0.975)"/>
    <n v="1711566.81"/>
    <n v="1898360.21"/>
    <n v="-186793.39"/>
    <x v="0"/>
    <n v="0"/>
    <n v="0.78500000000000003"/>
    <n v="0.24"/>
    <n v="0"/>
    <n v="0"/>
    <n v="0"/>
    <n v="1898360.21"/>
    <n v="11394648.199999999"/>
    <n v="0.166601"/>
    <n v="-186793.39"/>
    <n v="-186782.04"/>
    <n v="0"/>
    <n v="-186782.04"/>
    <n v="11038525.27"/>
    <s v="Forecast"/>
  </r>
  <r>
    <x v="1"/>
    <x v="2"/>
    <s v="202404"/>
    <n v="19"/>
    <n v="2879652.36"/>
    <n v="-3.6064570251179533E-2"/>
    <s v="CohortAvg"/>
    <n v="-1.5397260688198029E-2"/>
    <s v="CohortAvg"/>
    <n v="0.17735233606777909"/>
    <s v="CohortAvg"/>
    <n v="2.3902207985079599E-2"/>
    <s v="CohortAvg_NonZero"/>
    <n v="4.1785401989133499E-6"/>
    <s v="CohortAvg"/>
    <n v="0"/>
    <s v="Zero"/>
    <n v="-5.5877754594993237E-3"/>
    <s v="CohortAvg"/>
    <n v="-5.4143177330715453E-5"/>
    <s v="CohortAvg"/>
    <n v="0"/>
    <n v="-103853.42"/>
    <n v="-44338.76"/>
    <n v="42559.42"/>
    <n v="0"/>
    <n v="12.03"/>
    <n v="-16090.85"/>
    <n v="-155.91"/>
    <n v="2774007.57"/>
    <n v="9.6042000000000002E-2"/>
    <n v="0.97519999999999996"/>
    <n v="9.3660999999999994E-2"/>
    <s v="DonorCohort:202101+Seasonal(0.975)"/>
    <n v="259815.64"/>
    <n v="257169.18"/>
    <n v="2646.46"/>
    <x v="0"/>
    <n v="0"/>
    <n v="0.78500000000000003"/>
    <n v="0.24"/>
    <n v="0"/>
    <n v="0"/>
    <n v="0"/>
    <n v="257169.18"/>
    <n v="2879652.36"/>
    <n v="8.9305999999999996E-2"/>
    <n v="2646.46"/>
    <n v="2658.49"/>
    <n v="0"/>
    <n v="2658.49"/>
    <n v="2771349.07"/>
    <s v="Forecast"/>
  </r>
  <r>
    <x v="1"/>
    <x v="2"/>
    <s v="202405"/>
    <n v="18"/>
    <n v="2646760.4500000002"/>
    <n v="-2.633099185462803E-2"/>
    <s v="CohortAvg"/>
    <n v="-1.527154237618096E-2"/>
    <s v="CohortAvg"/>
    <n v="0.1780793481884827"/>
    <s v="CohortAvg"/>
    <n v="2.3295851293685721E-2"/>
    <s v="CohortAvg_NonZero"/>
    <n v="5.5012110483157699E-6"/>
    <s v="CohortAvg"/>
    <n v="0"/>
    <s v="Zero"/>
    <n v="-6.2188485410650633E-3"/>
    <s v="CohortAvg"/>
    <n v="-5.1682485404692702E-5"/>
    <s v="CohortAvg"/>
    <n v="0"/>
    <n v="-69691.83"/>
    <n v="-40420.11"/>
    <n v="39277.78"/>
    <n v="0"/>
    <n v="14.56"/>
    <n v="-16459.8"/>
    <n v="-136.79"/>
    <n v="2575911.73"/>
    <n v="8.2997000000000001E-2"/>
    <n v="0.97519999999999996"/>
    <n v="8.0938999999999997E-2"/>
    <s v="DonorCohort:202101+Seasonal(0.975)"/>
    <n v="208490.75"/>
    <n v="220595.66"/>
    <n v="-12104.9"/>
    <x v="0"/>
    <n v="0"/>
    <n v="0.78500000000000003"/>
    <n v="0.24"/>
    <n v="0"/>
    <n v="0"/>
    <n v="0"/>
    <n v="220595.66"/>
    <n v="2646760.4500000002"/>
    <n v="8.3346000000000003E-2"/>
    <n v="-12104.9"/>
    <n v="-12090.34"/>
    <n v="0"/>
    <n v="-12090.34"/>
    <n v="2588002.0699999998"/>
    <s v="Forecast"/>
  </r>
  <r>
    <x v="1"/>
    <x v="2"/>
    <s v="202406"/>
    <n v="17"/>
    <n v="2475882.16"/>
    <n v="-3.0940264254798479E-2"/>
    <s v="CohortAvg"/>
    <n v="-1.447589396963365E-2"/>
    <s v="CohortAvg"/>
    <n v="0.1764172012495159"/>
    <s v="CohortAvg"/>
    <n v="3.3199815282747451E-2"/>
    <s v="CohortAvg_NonZero"/>
    <n v="5.6277129706619772E-6"/>
    <s v="CohortAvg"/>
    <n v="0"/>
    <s v="Zero"/>
    <n v="-7.5020690710099402E-3"/>
    <s v="CohortAvg"/>
    <n v="-6.8953797455975822E-5"/>
    <s v="CohortAvg"/>
    <n v="0"/>
    <n v="-76604.45"/>
    <n v="-35840.61"/>
    <n v="36399.019999999997"/>
    <n v="0"/>
    <n v="13.93"/>
    <n v="-18574.240000000002"/>
    <n v="-170.72"/>
    <n v="2399822.19"/>
    <n v="7.7456999999999998E-2"/>
    <n v="0.97519999999999996"/>
    <n v="7.5537000000000007E-2"/>
    <s v="DonorCohort:202101+Seasonal(0.975)"/>
    <n v="181275.19"/>
    <n v="202340.92"/>
    <n v="-21065.73"/>
    <x v="0"/>
    <n v="0"/>
    <n v="0.78500000000000003"/>
    <n v="0.24"/>
    <n v="0"/>
    <n v="0"/>
    <n v="0"/>
    <n v="202340.92"/>
    <n v="2475882.16"/>
    <n v="8.1725000000000006E-2"/>
    <n v="-21065.73"/>
    <n v="-21051.8"/>
    <n v="0"/>
    <n v="-21051.8"/>
    <n v="2420873.9900000002"/>
    <s v="Forecast"/>
  </r>
  <r>
    <x v="1"/>
    <x v="2"/>
    <s v="202407"/>
    <n v="16"/>
    <n v="4228380.4800000004"/>
    <n v="-2.7050608106266159E-2"/>
    <s v="CohortAvg"/>
    <n v="-1.5430326163937221E-2"/>
    <s v="CohortAvg"/>
    <n v="0.1792055502198342"/>
    <s v="CohortAvg"/>
    <n v="2.076854896736971E-2"/>
    <s v="CohortAvg_NonZero"/>
    <n v="5.767893509386654E-6"/>
    <s v="CohortAvg"/>
    <n v="0"/>
    <s v="Zero"/>
    <n v="-5.7337653464784302E-3"/>
    <s v="CohortAvg"/>
    <n v="-5.581825439855562E-5"/>
    <s v="CohortAvg"/>
    <n v="0"/>
    <n v="-114380.26"/>
    <n v="-65245.29"/>
    <n v="63145.77"/>
    <n v="0"/>
    <n v="24.39"/>
    <n v="-24244.54"/>
    <n v="-236.02"/>
    <n v="4111876.31"/>
    <n v="7.5951000000000005E-2"/>
    <n v="0.97519999999999996"/>
    <n v="7.4067999999999995E-2"/>
    <s v="DonorCohort:202101+Seasonal(0.975)"/>
    <n v="304558.53000000003"/>
    <n v="310086.84999999998"/>
    <n v="-5528.32"/>
    <x v="0"/>
    <n v="0"/>
    <n v="0.78500000000000003"/>
    <n v="0.24"/>
    <n v="0"/>
    <n v="0"/>
    <n v="0"/>
    <n v="310086.84999999998"/>
    <n v="4228380.4800000004"/>
    <n v="7.3334999999999997E-2"/>
    <n v="-5528.32"/>
    <n v="-5503.93"/>
    <n v="0"/>
    <n v="-5503.93"/>
    <n v="4117380.24"/>
    <s v="Forecast"/>
  </r>
  <r>
    <x v="1"/>
    <x v="2"/>
    <s v="202408"/>
    <n v="15"/>
    <n v="2896771.99"/>
    <n v="-2.7540145236965938E-2"/>
    <s v="CohortAvg"/>
    <n v="-1.6355508135573758E-2"/>
    <s v="CohortAvg"/>
    <n v="0.19103272134474189"/>
    <s v="CohortAvg"/>
    <n v="1.377835684516494E-2"/>
    <s v="CohortAvg_NonZero"/>
    <n v="1.9583002331490599E-6"/>
    <s v="CohortAvg"/>
    <n v="0"/>
    <s v="Zero"/>
    <n v="-1.0229638984907009E-2"/>
    <s v="CohortAvg"/>
    <n v="-9.8922791115928788E-5"/>
    <s v="CohortAvg"/>
    <n v="0"/>
    <n v="-79777.52"/>
    <n v="-47378.18"/>
    <n v="46114.85"/>
    <n v="0"/>
    <n v="5.67"/>
    <n v="-29632.93"/>
    <n v="-286.56"/>
    <n v="2815725.47"/>
    <n v="6.8154000000000006E-2"/>
    <n v="0.97519999999999996"/>
    <n v="6.6463999999999995E-2"/>
    <s v="DonorCohort:202101+Seasonal(0.975)"/>
    <n v="187144.29"/>
    <n v="174619.28"/>
    <n v="12525.01"/>
    <x v="0"/>
    <n v="0"/>
    <n v="0.78500000000000003"/>
    <n v="0.24"/>
    <n v="0"/>
    <n v="0"/>
    <n v="0"/>
    <n v="174619.28"/>
    <n v="2896771.99"/>
    <n v="6.0281000000000001E-2"/>
    <n v="12525.01"/>
    <n v="12530.68"/>
    <n v="0"/>
    <n v="12530.68"/>
    <n v="2803194.78"/>
    <s v="Forecast"/>
  </r>
  <r>
    <x v="1"/>
    <x v="2"/>
    <s v="202409"/>
    <n v="14"/>
    <n v="2935806.07"/>
    <n v="-3.2119328930131801E-2"/>
    <s v="CohortAvg"/>
    <n v="-1.6446134058798679E-2"/>
    <s v="CohortAvg"/>
    <n v="0.19008281311944311"/>
    <s v="CohortAvg"/>
    <n v="2.1458575555463828E-2"/>
    <s v="CohortAvg_NonZero"/>
    <n v="8.5720636350131459E-6"/>
    <s v="CohortAvg"/>
    <n v="0"/>
    <s v="Zero"/>
    <n v="-1.5587434652941309E-2"/>
    <s v="CohortAvg"/>
    <n v="-1.384268042054543E-4"/>
    <s v="CohortAvg"/>
    <n v="0"/>
    <n v="-94296.12"/>
    <n v="-48282.66"/>
    <n v="46503.86"/>
    <n v="0"/>
    <n v="25.17"/>
    <n v="-45761.69"/>
    <n v="-406.39"/>
    <n v="2839705.98"/>
    <n v="5.6022000000000002E-2"/>
    <n v="0.97519999999999996"/>
    <n v="5.4633000000000001E-2"/>
    <s v="DonorCohort:202101+Seasonal(0.975)"/>
    <n v="155141.57999999999"/>
    <n v="161023.28"/>
    <n v="-5881.69"/>
    <x v="0"/>
    <n v="0"/>
    <n v="0.78500000000000003"/>
    <n v="0.24"/>
    <n v="0"/>
    <n v="0"/>
    <n v="0"/>
    <n v="161023.28"/>
    <n v="2935806.07"/>
    <n v="5.4848000000000001E-2"/>
    <n v="-5881.69"/>
    <n v="-5856.53"/>
    <n v="0"/>
    <n v="-5856.53"/>
    <n v="2845562.51"/>
    <s v="Forecast"/>
  </r>
  <r>
    <x v="1"/>
    <x v="2"/>
    <s v="202410"/>
    <n v="13"/>
    <n v="2858332.18"/>
    <n v="-3.2705696147226022E-2"/>
    <s v="CohortAvg"/>
    <n v="-1.636379714062601E-2"/>
    <s v="CohortAvg"/>
    <n v="0.18720835861955951"/>
    <s v="CohortAvg"/>
    <n v="1.4885278591981089E-2"/>
    <s v="CohortAvg_NonZero"/>
    <n v="8.4375910415602008E-6"/>
    <s v="CohortAvg"/>
    <n v="0"/>
    <s v="Zero"/>
    <n v="-1.3633158043574709E-2"/>
    <s v="CohortAvg"/>
    <n v="-1.443889786498261E-4"/>
    <s v="CohortAvg"/>
    <n v="0"/>
    <n v="-93483.74"/>
    <n v="-46773.17"/>
    <n v="44591.97"/>
    <n v="0"/>
    <n v="24.12"/>
    <n v="-38968.089999999997"/>
    <n v="-412.71"/>
    <n v="2762643.12"/>
    <n v="5.0972999999999997E-2"/>
    <n v="0.97519999999999996"/>
    <n v="4.9709000000000003E-2"/>
    <s v="DonorCohort:202101+Seasonal(0.975)"/>
    <n v="137329.25"/>
    <n v="141496.09"/>
    <n v="-4166.84"/>
    <x v="0"/>
    <n v="0"/>
    <n v="0.78500000000000003"/>
    <n v="0.24"/>
    <n v="0"/>
    <n v="0"/>
    <n v="0"/>
    <n v="141496.09"/>
    <n v="2858332.18"/>
    <n v="4.9502999999999998E-2"/>
    <n v="-4166.84"/>
    <n v="-4142.72"/>
    <n v="0"/>
    <n v="-4142.72"/>
    <n v="2766785.85"/>
    <s v="Forecast"/>
  </r>
  <r>
    <x v="1"/>
    <x v="2"/>
    <s v="202411"/>
    <n v="12"/>
    <n v="3175672.9"/>
    <n v="-3.5450161150728528E-2"/>
    <s v="CohortAvg"/>
    <n v="-1.7032299555089461E-2"/>
    <s v="CohortAvg"/>
    <n v="0.19523388314741849"/>
    <s v="CohortAvg"/>
    <n v="1.7009152340396471E-2"/>
    <s v="CohortAvg_NonZero"/>
    <n v="7.714715011293399E-6"/>
    <s v="CohortAvg"/>
    <n v="0"/>
    <s v="Zero"/>
    <n v="-1.7891446244280171E-2"/>
    <s v="CohortAvg"/>
    <n v="-1.6615665995584709E-4"/>
    <s v="CohortAvg"/>
    <n v="0"/>
    <n v="-112578.12"/>
    <n v="-54089.01"/>
    <n v="51666.58"/>
    <n v="0"/>
    <n v="24.5"/>
    <n v="-56817.38"/>
    <n v="-527.66"/>
    <n v="3060647.86"/>
    <n v="4.6005999999999998E-2"/>
    <n v="0.97519999999999996"/>
    <n v="4.4865000000000002E-2"/>
    <s v="DonorCohort:202101+Seasonal(0.975)"/>
    <n v="137316.29999999999"/>
    <n v="135480.98000000001"/>
    <n v="1835.32"/>
    <x v="0"/>
    <n v="0"/>
    <n v="0.78500000000000003"/>
    <n v="0.24"/>
    <n v="0"/>
    <n v="0"/>
    <n v="0"/>
    <n v="135480.98000000001"/>
    <n v="3175672.9"/>
    <n v="4.2661999999999999E-2"/>
    <n v="1835.32"/>
    <n v="1859.81"/>
    <n v="0"/>
    <n v="1859.81"/>
    <n v="3058788.04"/>
    <s v="Forecast"/>
  </r>
  <r>
    <x v="1"/>
    <x v="2"/>
    <s v="202412"/>
    <n v="11"/>
    <n v="2641194.88"/>
    <n v="-2.6555457203974071E-2"/>
    <s v="CohortAvg"/>
    <n v="-1.662464538324453E-2"/>
    <s v="CohortAvg"/>
    <n v="0.195652807532779"/>
    <s v="CohortAvg"/>
    <n v="2.3053368844830498E-2"/>
    <s v="CohortAvg_NonZero"/>
    <n v="5.9197856025839324E-6"/>
    <s v="CohortAvg"/>
    <n v="0"/>
    <s v="Zero"/>
    <n v="-2.236331298681881E-2"/>
    <s v="CohortAvg"/>
    <n v="-2.0963173127115889E-4"/>
    <s v="CohortAvg"/>
    <n v="0"/>
    <n v="-70138.14"/>
    <n v="-43908.93"/>
    <n v="43063.1"/>
    <n v="0"/>
    <n v="15.64"/>
    <n v="-59065.87"/>
    <n v="-553.67999999999995"/>
    <n v="2570195.2799999998"/>
    <n v="3.9648000000000003E-2"/>
    <n v="0.97519999999999996"/>
    <n v="3.8664999999999998E-2"/>
    <s v="DonorCohort:202101+Seasonal(0.975)"/>
    <n v="99376.95"/>
    <n v="93507.199999999997"/>
    <n v="5869.75"/>
    <x v="0"/>
    <n v="0"/>
    <n v="0.78500000000000003"/>
    <n v="0.24"/>
    <n v="0"/>
    <n v="0"/>
    <n v="0"/>
    <n v="93507.199999999997"/>
    <n v="2641194.88"/>
    <n v="3.5402999999999997E-2"/>
    <n v="5869.75"/>
    <n v="5885.39"/>
    <n v="0"/>
    <n v="5885.39"/>
    <n v="2564309.89"/>
    <s v="Forecast"/>
  </r>
  <r>
    <x v="1"/>
    <x v="2"/>
    <s v="202501"/>
    <n v="10"/>
    <n v="4802922.57"/>
    <n v="-2.8594676818061809E-2"/>
    <s v="CohortAvg"/>
    <n v="-1.711669865951769E-2"/>
    <s v="CohortAvg"/>
    <n v="0.19882076146205971"/>
    <s v="CohortAvg"/>
    <n v="1.125295333786124E-2"/>
    <s v="CohortAvg_NonZero"/>
    <n v="3.21957269458012E-4"/>
    <s v="CohortAvg"/>
    <n v="0"/>
    <s v="Zero"/>
    <n v="-1.302942810523159E-2"/>
    <s v="CohortAvg"/>
    <n v="-1.177873439576884E-4"/>
    <s v="CohortAvg"/>
    <n v="0"/>
    <n v="-137338.01999999999"/>
    <n v="-82210.179999999993"/>
    <n v="79576.73"/>
    <n v="0"/>
    <n v="1546.34"/>
    <n v="-62579.33"/>
    <n v="-565.72"/>
    <n v="4661404.7699999996"/>
    <n v="3.2902000000000001E-2"/>
    <n v="0.97519999999999996"/>
    <n v="3.2086000000000003E-2"/>
    <s v="DonorCohort:202101+Seasonal(0.975)"/>
    <n v="149567.9"/>
    <n v="109444.25"/>
    <n v="40123.660000000003"/>
    <x v="0"/>
    <n v="0"/>
    <n v="0.78500000000000003"/>
    <n v="0.24"/>
    <n v="0"/>
    <n v="0"/>
    <n v="0"/>
    <n v="109444.25"/>
    <n v="4802922.57"/>
    <n v="2.2787000000000002E-2"/>
    <n v="40123.660000000003"/>
    <n v="41669.99"/>
    <n v="0"/>
    <n v="41669.99"/>
    <n v="4619734.78"/>
    <s v="Forecast"/>
  </r>
  <r>
    <x v="1"/>
    <x v="2"/>
    <s v="202502"/>
    <n v="9"/>
    <n v="4983215.8899999997"/>
    <n v="-3.2652255473236177E-2"/>
    <s v="CohortAvg"/>
    <n v="-1.7551602589583701E-2"/>
    <s v="CohortAvg"/>
    <n v="0.20555031352701031"/>
    <s v="CohortAvg"/>
    <n v="7.9645373695133598E-3"/>
    <s v="CohortAvg_NonZero"/>
    <n v="0"/>
    <s v="CohortAvg"/>
    <n v="0"/>
    <s v="Zero"/>
    <n v="-1.306909317707503E-2"/>
    <s v="CohortAvg"/>
    <n v="-1.1947932895036871E-4"/>
    <s v="CohortAvg"/>
    <n v="0"/>
    <n v="-162713.24"/>
    <n v="-87463.42"/>
    <n v="85358.47"/>
    <n v="0"/>
    <n v="0"/>
    <n v="-65126.11"/>
    <n v="-595.39"/>
    <n v="4818397.7"/>
    <n v="2.1177000000000001E-2"/>
    <n v="0.97519999999999996"/>
    <n v="2.0652E-2"/>
    <s v="DonorCohort:202101+Seasonal(0.975)"/>
    <n v="99510.06"/>
    <n v="83005.77"/>
    <n v="16504.29"/>
    <x v="0"/>
    <n v="0"/>
    <n v="0.78500000000000003"/>
    <n v="0.24"/>
    <n v="0"/>
    <n v="0"/>
    <n v="0"/>
    <n v="83005.77"/>
    <n v="4983215.8899999997"/>
    <n v="1.6657000000000002E-2"/>
    <n v="16504.29"/>
    <n v="16504.29"/>
    <n v="0"/>
    <n v="16504.29"/>
    <n v="4801893.41"/>
    <s v="Forecast"/>
  </r>
  <r>
    <x v="1"/>
    <x v="2"/>
    <s v="202503"/>
    <n v="8"/>
    <n v="6017269.4800000004"/>
    <n v="-2.3337352895594701E-2"/>
    <s v="CohortAvg"/>
    <n v="-1.676855508087223E-2"/>
    <s v="CohortAvg"/>
    <n v="0.20028120434876381"/>
    <s v="CohortAvg"/>
    <n v="7.1848262480383486E-3"/>
    <s v="CohortAvg_NonZero"/>
    <n v="7.2766256053648183E-7"/>
    <s v="CohortAvg"/>
    <n v="0"/>
    <s v="Zero"/>
    <n v="0"/>
    <s v="CohortAvg"/>
    <n v="0"/>
    <s v="CohortAvg"/>
    <n v="0"/>
    <n v="-140427.14000000001"/>
    <n v="-100900.91"/>
    <n v="100428.83"/>
    <n v="0"/>
    <n v="4.38"/>
    <n v="0"/>
    <n v="0"/>
    <n v="5876365.8799999999"/>
    <n v="1.5480000000000001E-2"/>
    <n v="0.97519999999999996"/>
    <n v="1.5096E-2"/>
    <s v="DonorCohort:202101+Seasonal(0.975)"/>
    <n v="88712.41"/>
    <n v="85329.79"/>
    <n v="3382.62"/>
    <x v="0"/>
    <n v="0"/>
    <n v="0.78500000000000003"/>
    <n v="0.24"/>
    <n v="0"/>
    <n v="0"/>
    <n v="0"/>
    <n v="85329.79"/>
    <n v="6017269.4800000004"/>
    <n v="1.4180999999999999E-2"/>
    <n v="3382.62"/>
    <n v="3387"/>
    <n v="0"/>
    <n v="3387"/>
    <n v="5872978.8799999999"/>
    <s v="Forecast"/>
  </r>
  <r>
    <x v="1"/>
    <x v="2"/>
    <s v="202504"/>
    <n v="7"/>
    <n v="7609540.2000000002"/>
    <n v="-2.3955258124298561E-2"/>
    <s v="CohortAvg"/>
    <n v="-1.661692979294891E-2"/>
    <s v="CohortAvg"/>
    <n v="0.19615744363317239"/>
    <s v="CohortAvg"/>
    <n v="3.260907177009143E-3"/>
    <s v="CohortAvg_NonZero"/>
    <n v="0"/>
    <s v="CohortAvg"/>
    <n v="0"/>
    <s v="Zero"/>
    <n v="0"/>
    <s v="CohortAvg"/>
    <n v="0"/>
    <s v="CohortAvg"/>
    <n v="0"/>
    <n v="-182288.5"/>
    <n v="-126447.2"/>
    <n v="124389"/>
    <n v="0"/>
    <n v="0"/>
    <n v="0"/>
    <n v="0"/>
    <n v="7425193.5"/>
    <n v="1.3179E-2"/>
    <n v="0.97519999999999996"/>
    <n v="1.2852000000000001E-2"/>
    <s v="DonorCohort:202101+Seasonal(0.975)"/>
    <n v="95430.23"/>
    <n v="75650.789999999994"/>
    <n v="19779.439999999999"/>
    <x v="0"/>
    <n v="0"/>
    <n v="0.78500000000000003"/>
    <n v="0.24"/>
    <n v="0"/>
    <n v="0"/>
    <n v="0"/>
    <n v="75650.789999999994"/>
    <n v="7609540.2000000002"/>
    <n v="9.9419999999999994E-3"/>
    <n v="19779.439999999999"/>
    <n v="19779.439999999999"/>
    <n v="0"/>
    <n v="19779.439999999999"/>
    <n v="7405414.0700000003"/>
    <s v="Forecast"/>
  </r>
  <r>
    <x v="1"/>
    <x v="2"/>
    <s v="202505"/>
    <n v="6"/>
    <n v="7268939.2999999998"/>
    <n v="-1.8327754370160029E-2"/>
    <s v="CohortAvg"/>
    <n v="-1.107289868768257E-2"/>
    <s v="CohortAvg"/>
    <n v="0.12953778157279741"/>
    <s v="CohortAvg"/>
    <n v="0"/>
    <s v="CohortAvg_NoData_ERROR"/>
    <n v="0"/>
    <s v="CohortAvg"/>
    <n v="0"/>
    <s v="Zero"/>
    <n v="0"/>
    <s v="CohortAvg"/>
    <n v="0"/>
    <s v="CohortAvg"/>
    <n v="0"/>
    <n v="-133223.32999999999"/>
    <n v="-80488.23"/>
    <n v="78466.86"/>
    <n v="0"/>
    <n v="0"/>
    <n v="0"/>
    <n v="0"/>
    <n v="7133694.5899999999"/>
    <n v="9.2390000000000007E-3"/>
    <n v="0.97519999999999996"/>
    <n v="9.0100000000000006E-3"/>
    <s v="DonorCohort:202101+Seasonal(0.975)"/>
    <n v="64275.66"/>
    <n v="50166.55"/>
    <n v="14109.11"/>
    <x v="0"/>
    <n v="0"/>
    <n v="0.78500000000000003"/>
    <n v="0.24"/>
    <n v="0"/>
    <n v="0"/>
    <n v="0"/>
    <n v="50166.55"/>
    <n v="7268939.2999999998"/>
    <n v="6.901E-3"/>
    <n v="14109.11"/>
    <n v="14109.11"/>
    <n v="0"/>
    <n v="14109.11"/>
    <n v="7119585.4800000004"/>
    <s v="Forecast"/>
  </r>
  <r>
    <x v="1"/>
    <x v="2"/>
    <s v="202506"/>
    <n v="5"/>
    <n v="7085059.3200000003"/>
    <n v="-1.005758904591305E-2"/>
    <s v="CohortAvg"/>
    <n v="-8.1454865008746772E-3"/>
    <s v="CohortAvg"/>
    <n v="9.9020596089529969E-2"/>
    <s v="CohortAvg"/>
    <n v="0"/>
    <s v="CohortAvg_NoData_ERROR"/>
    <n v="0"/>
    <s v="CohortAvg"/>
    <n v="0"/>
    <s v="Zero"/>
    <n v="0"/>
    <s v="CohortAvg"/>
    <n v="0"/>
    <s v="CohortAvg"/>
    <n v="0"/>
    <n v="-71258.62"/>
    <n v="-57711.26"/>
    <n v="58463.9"/>
    <n v="0"/>
    <n v="0"/>
    <n v="0"/>
    <n v="0"/>
    <n v="7014553.3499999996"/>
    <n v="6.4140000000000004E-3"/>
    <n v="0.97519999999999996"/>
    <n v="6.2550000000000001E-3"/>
    <s v="DonorCohort:202101+Seasonal(0.975)"/>
    <n v="43875.31"/>
    <n v="26407.439999999999"/>
    <n v="17467.86"/>
    <x v="0"/>
    <n v="0"/>
    <n v="0.78500000000000003"/>
    <n v="0.24"/>
    <n v="0"/>
    <n v="0"/>
    <n v="0"/>
    <n v="26407.439999999999"/>
    <n v="7085059.3200000003"/>
    <n v="3.7269999999999998E-3"/>
    <n v="17467.86"/>
    <n v="17467.86"/>
    <n v="0"/>
    <n v="17467.86"/>
    <n v="6997085.4900000002"/>
    <s v="Forecast"/>
  </r>
  <r>
    <x v="1"/>
    <x v="2"/>
    <s v="202507"/>
    <n v="4"/>
    <n v="8680064.720000000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8680064.7200000007"/>
    <n v="3.4640000000000001E-3"/>
    <n v="0.97519999999999996"/>
    <n v="3.3779999999999999E-3"/>
    <s v="DonorCohort:202101+Seasonal(0.975)"/>
    <n v="29321.27"/>
    <n v="22047.61"/>
    <n v="7273.66"/>
    <x v="0"/>
    <n v="0"/>
    <n v="0.78500000000000003"/>
    <n v="0.24"/>
    <n v="0"/>
    <n v="0"/>
    <n v="0"/>
    <n v="22047.61"/>
    <n v="8680064.7200000007"/>
    <n v="2.5400000000000002E-3"/>
    <n v="7273.66"/>
    <n v="7273.66"/>
    <n v="0"/>
    <n v="7273.66"/>
    <n v="8672791.0600000005"/>
    <s v="Forecast"/>
  </r>
  <r>
    <x v="1"/>
    <x v="2"/>
    <s v="202508"/>
    <n v="3"/>
    <n v="7533596.419999999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7533596.4199999999"/>
    <n v="2.3609999999999998E-3"/>
    <n v="0.97519999999999996"/>
    <n v="2.3019999999999998E-3"/>
    <s v="DonorCohort:202101+Seasonal(0.975)"/>
    <n v="17342.75"/>
    <n v="10689.69"/>
    <n v="6653.06"/>
    <x v="0"/>
    <n v="0"/>
    <n v="0.78500000000000003"/>
    <n v="0.24"/>
    <n v="0"/>
    <n v="0"/>
    <n v="0"/>
    <n v="10689.69"/>
    <n v="7533596.4199999999"/>
    <n v="1.4189999999999999E-3"/>
    <n v="6653.06"/>
    <n v="6653.06"/>
    <n v="0"/>
    <n v="6653.06"/>
    <n v="7526943.3600000003"/>
    <s v="Forecast"/>
  </r>
  <r>
    <x v="1"/>
    <x v="2"/>
    <s v="202509"/>
    <n v="2"/>
    <n v="8727304.429999999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8727304.4299999997"/>
    <n v="1.3190000000000001E-3"/>
    <n v="0.97519999999999996"/>
    <n v="1.286E-3"/>
    <s v="DonorCohort:202101+Seasonal(0.975)"/>
    <n v="11223.28"/>
    <n v="0"/>
    <n v="11223.28"/>
    <x v="0"/>
    <n v="0"/>
    <n v="0.78500000000000003"/>
    <n v="0.24"/>
    <n v="0"/>
    <n v="0"/>
    <n v="0"/>
    <n v="0"/>
    <n v="8727304.4299999997"/>
    <n v="0"/>
    <n v="11223.28"/>
    <n v="11223.28"/>
    <n v="0"/>
    <n v="11223.28"/>
    <n v="8716081.1500000004"/>
    <s v="Forecast"/>
  </r>
  <r>
    <x v="1"/>
    <x v="3"/>
    <s v="201912"/>
    <n v="71"/>
    <n v="60080.160000000003"/>
    <n v="-9.0954490991684549E-3"/>
    <s v="CohortAvg"/>
    <n v="-6.8384759513160037E-4"/>
    <s v="CohortAvg"/>
    <n v="0"/>
    <s v="CohortAvg"/>
    <n v="2.9841207953771161E-2"/>
    <s v="CohortAvg_NonZero"/>
    <n v="6.5003400091936428E-6"/>
    <s v="CohortAvg"/>
    <n v="0"/>
    <s v="Zero"/>
    <n v="0"/>
    <s v="CohortAvg"/>
    <n v="0"/>
    <s v="CohortAvg"/>
    <n v="0"/>
    <n v="-546.46"/>
    <n v="-41.09"/>
    <n v="0"/>
    <n v="0"/>
    <n v="0.39"/>
    <n v="0"/>
    <n v="0"/>
    <n v="59492.22"/>
    <n v="0.98573699999999997"/>
    <n v="1.1109"/>
    <n v="1.095037"/>
    <s v="CohortAvg+Seasonal(1.111)"/>
    <n v="65146.18"/>
    <n v="59507.57"/>
    <n v="5638.61"/>
    <x v="0"/>
    <n v="0"/>
    <n v="0.78500000000000003"/>
    <n v="0.24"/>
    <n v="0"/>
    <n v="0"/>
    <n v="0"/>
    <n v="59507.57"/>
    <n v="60080.160000000003"/>
    <n v="0.99046999999999996"/>
    <n v="5638.61"/>
    <n v="5639"/>
    <n v="0"/>
    <n v="5639"/>
    <n v="53853.22"/>
    <s v="Forecast"/>
  </r>
  <r>
    <x v="1"/>
    <x v="3"/>
    <s v="202001"/>
    <n v="70"/>
    <n v="3343.1"/>
    <n v="-0.38897797983825322"/>
    <s v="CohortAvg"/>
    <n v="-1.450992976188594E-4"/>
    <s v="CohortAvg"/>
    <n v="0"/>
    <s v="CohortAvg"/>
    <n v="1.6834271438789291E-2"/>
    <s v="CohortAvg_NonZero"/>
    <n v="0"/>
    <s v="CohortAvg"/>
    <n v="0"/>
    <s v="Zero"/>
    <n v="0"/>
    <s v="CohortAvg"/>
    <n v="0"/>
    <s v="CohortAvg"/>
    <n v="0"/>
    <n v="-1300.3900000000001"/>
    <n v="-0.49"/>
    <n v="0"/>
    <n v="0"/>
    <n v="0"/>
    <n v="0"/>
    <n v="0"/>
    <n v="2042.22"/>
    <n v="0.78640299999999996"/>
    <n v="1.1109"/>
    <n v="0.87360099999999996"/>
    <s v="CohortAvg+Seasonal(1.111)"/>
    <n v="1784.09"/>
    <n v="2492.7600000000002"/>
    <n v="-708.67"/>
    <x v="0"/>
    <n v="0"/>
    <n v="0.78500000000000003"/>
    <n v="0.24"/>
    <n v="0"/>
    <n v="0"/>
    <n v="0"/>
    <n v="2492.7600000000002"/>
    <n v="3343.1"/>
    <n v="0.74564200000000003"/>
    <n v="-708.67"/>
    <n v="-708.67"/>
    <n v="0"/>
    <n v="-708.67"/>
    <n v="2750.89"/>
    <s v="Forecast"/>
  </r>
  <r>
    <x v="1"/>
    <x v="3"/>
    <s v="202101"/>
    <n v="58"/>
    <n v="2003330.41"/>
    <n v="-0.1116898700092735"/>
    <s v="CohortAvg"/>
    <n v="-1.046369004376387E-2"/>
    <s v="CohortAvg"/>
    <n v="0.1187700590945056"/>
    <s v="CohortAvg"/>
    <n v="6.6308565521285704E-3"/>
    <s v="CohortAvg_NonZero"/>
    <n v="0"/>
    <s v="CohortAvg"/>
    <n v="0"/>
    <s v="Zero"/>
    <n v="-3.0697339989081509E-3"/>
    <s v="CohortAvg"/>
    <n v="-3.1079517881431239E-5"/>
    <s v="CohortAvg"/>
    <n v="0"/>
    <n v="-223751.71"/>
    <n v="-20962.23"/>
    <n v="19827.97"/>
    <n v="0"/>
    <n v="0"/>
    <n v="-6149.69"/>
    <n v="-62.26"/>
    <n v="1778444.44"/>
    <n v="0.27243499999999998"/>
    <n v="1.1109"/>
    <n v="0.302643"/>
    <s v="CohortAvg+Seasonal(1.111)"/>
    <n v="538234.26"/>
    <n v="537997.84"/>
    <n v="236.42"/>
    <x v="0"/>
    <n v="0"/>
    <n v="0.78500000000000003"/>
    <n v="0.24"/>
    <n v="0"/>
    <n v="0"/>
    <n v="0"/>
    <n v="537997.84"/>
    <n v="2003330.41"/>
    <n v="0.26855200000000001"/>
    <n v="236.42"/>
    <n v="236.42"/>
    <n v="0"/>
    <n v="236.42"/>
    <n v="1778208.02"/>
    <s v="Forecast"/>
  </r>
  <r>
    <x v="1"/>
    <x v="3"/>
    <s v="202201"/>
    <n v="38"/>
    <n v="427044.42"/>
    <n v="-8.8874798167349209E-2"/>
    <s v="CohortAvg"/>
    <n v="-1.0903610473013751E-2"/>
    <s v="CohortAvg"/>
    <n v="0.11786238664209819"/>
    <s v="CohortAvg"/>
    <n v="1.809238841976557E-2"/>
    <s v="CohortAvg_NonZero"/>
    <n v="4.4564470035228661E-4"/>
    <s v="CohortAvg"/>
    <n v="0"/>
    <s v="Zero"/>
    <n v="-2.4071081403552711E-3"/>
    <s v="CohortAvg"/>
    <n v="-2.1429482859662791E-5"/>
    <s v="CohortAvg"/>
    <n v="0"/>
    <n v="-37953.49"/>
    <n v="-4656.33"/>
    <n v="4194.37"/>
    <n v="0"/>
    <n v="190.31"/>
    <n v="-1027.94"/>
    <n v="-9.15"/>
    <n v="388438.67"/>
    <n v="0.30534899999999998"/>
    <n v="1.1109"/>
    <n v="0.33920699999999998"/>
    <s v="CohortTrend+Seasonal(1.111)"/>
    <n v="131760.95999999999"/>
    <n v="126161.96"/>
    <n v="5599"/>
    <x v="0"/>
    <n v="0"/>
    <n v="0.78500000000000003"/>
    <n v="0.24"/>
    <n v="0"/>
    <n v="0"/>
    <n v="0"/>
    <n v="126161.96"/>
    <n v="427044.42"/>
    <n v="0.295431"/>
    <n v="5599"/>
    <n v="5789.31"/>
    <n v="0"/>
    <n v="5789.31"/>
    <n v="382649.37"/>
    <s v="Forecast"/>
  </r>
  <r>
    <x v="1"/>
    <x v="3"/>
    <s v="202301"/>
    <n v="29"/>
    <n v="4498988.3899999997"/>
    <n v="-7.2082852256935448E-2"/>
    <s v="CohortAvg"/>
    <n v="-1.607455217661834E-2"/>
    <s v="CohortAvg"/>
    <n v="0.1923854196692534"/>
    <s v="CohortAvg"/>
    <n v="1.9073603438735261E-2"/>
    <s v="CohortAvg_NonZero"/>
    <n v="8.5705382537905656E-5"/>
    <s v="CohortAvg"/>
    <n v="0"/>
    <s v="Zero"/>
    <n v="-4.2286089554356048E-3"/>
    <s v="CohortAvg"/>
    <n v="-4.5144496792013153E-5"/>
    <s v="CohortAvg"/>
    <n v="0"/>
    <n v="-324299.92"/>
    <n v="-72319.22"/>
    <n v="72128.31"/>
    <n v="0"/>
    <n v="385.59"/>
    <n v="-19024.46"/>
    <n v="-203.1"/>
    <n v="4174111.98"/>
    <n v="0.209726"/>
    <n v="1.1109"/>
    <n v="0.23298099999999999"/>
    <s v="CohortTrend+Seasonal(1.111)"/>
    <n v="972489.23"/>
    <n v="901929.56"/>
    <n v="70559.67"/>
    <x v="0"/>
    <n v="0"/>
    <n v="0.78500000000000003"/>
    <n v="0.24"/>
    <n v="0"/>
    <n v="0"/>
    <n v="0"/>
    <n v="901929.56"/>
    <n v="4498988.3899999997"/>
    <n v="0.20047400000000001"/>
    <n v="70559.67"/>
    <n v="70945.259999999995"/>
    <n v="0"/>
    <n v="70945.259999999995"/>
    <n v="4103166.73"/>
    <s v="Forecast"/>
  </r>
  <r>
    <x v="1"/>
    <x v="3"/>
    <s v="202404"/>
    <n v="19"/>
    <n v="1081018.53"/>
    <n v="-4.8004054444579038E-2"/>
    <s v="CohortAvg"/>
    <n v="-1.7380883978963282E-2"/>
    <s v="CohortAvg"/>
    <n v="0.19687222500465251"/>
    <s v="CohortAvg"/>
    <n v="4.5244942578221169E-2"/>
    <s v="CohortAvg_NonZero"/>
    <n v="1.020339788227937E-5"/>
    <s v="CohortAvg"/>
    <n v="0"/>
    <s v="Zero"/>
    <n v="-1.296540943195809E-2"/>
    <s v="CohortAvg"/>
    <n v="-1.360243249024314E-4"/>
    <s v="CohortAvg"/>
    <n v="0"/>
    <n v="-51893.27"/>
    <n v="-18789.060000000001"/>
    <n v="17735.21"/>
    <n v="0"/>
    <n v="11.03"/>
    <n v="-14015.85"/>
    <n v="-147.04"/>
    <n v="1028060.38"/>
    <n v="7.1835999999999997E-2"/>
    <n v="1.1109"/>
    <n v="7.9800999999999997E-2"/>
    <s v="DonorCohort:202101+Seasonal(1.111)"/>
    <n v="82040.55"/>
    <n v="66448.210000000006"/>
    <n v="15592.34"/>
    <x v="0"/>
    <n v="0"/>
    <n v="0.78500000000000003"/>
    <n v="0.24"/>
    <n v="0"/>
    <n v="0"/>
    <n v="0"/>
    <n v="66448.210000000006"/>
    <n v="1081018.53"/>
    <n v="6.1468000000000002E-2"/>
    <n v="15592.34"/>
    <n v="15603.37"/>
    <n v="0"/>
    <n v="15603.37"/>
    <n v="1012457.01"/>
    <s v="Forecast"/>
  </r>
  <r>
    <x v="1"/>
    <x v="3"/>
    <s v="202405"/>
    <n v="18"/>
    <n v="953847.37"/>
    <n v="-5.0712395754447769E-2"/>
    <s v="CohortAvg"/>
    <n v="-1.798123242330053E-2"/>
    <s v="CohortAvg"/>
    <n v="0.2048377752299842"/>
    <s v="CohortAvg"/>
    <n v="3.4986609752312728E-2"/>
    <s v="CohortAvg_NonZero"/>
    <n v="1.3273325347764979E-5"/>
    <s v="CohortAvg"/>
    <n v="0"/>
    <s v="Zero"/>
    <n v="-1.205679173038799E-2"/>
    <s v="CohortAvg"/>
    <n v="-1.126941739038694E-4"/>
    <s v="CohortAvg"/>
    <n v="0"/>
    <n v="-48371.89"/>
    <n v="-17151.349999999999"/>
    <n v="16282"/>
    <n v="0"/>
    <n v="12.66"/>
    <n v="-11500.34"/>
    <n v="-107.49"/>
    <n v="904593.47"/>
    <n v="6.1674E-2"/>
    <n v="1.1109"/>
    <n v="6.8513000000000004E-2"/>
    <s v="DonorCohort:202101+Seasonal(1.111)"/>
    <n v="61976.39"/>
    <n v="55842.27"/>
    <n v="6134.12"/>
    <x v="0"/>
    <n v="0"/>
    <n v="0.78500000000000003"/>
    <n v="0.24"/>
    <n v="0"/>
    <n v="0"/>
    <n v="0"/>
    <n v="55842.27"/>
    <n v="953847.37"/>
    <n v="5.8543999999999999E-2"/>
    <n v="6134.12"/>
    <n v="6146.78"/>
    <n v="0"/>
    <n v="6146.78"/>
    <n v="898446.69"/>
    <s v="Forecast"/>
  </r>
  <r>
    <x v="1"/>
    <x v="3"/>
    <s v="202406"/>
    <n v="17"/>
    <n v="1144624.3600000001"/>
    <n v="-5.0746473784249659E-2"/>
    <s v="CohortAvg"/>
    <n v="-1.8258170101755501E-2"/>
    <s v="CohortAvg"/>
    <n v="0.20892474877853831"/>
    <s v="CohortAvg"/>
    <n v="2.9197676098711989E-2"/>
    <s v="CohortAvg_NonZero"/>
    <n v="1.467357410542887E-5"/>
    <s v="CohortAvg"/>
    <n v="0"/>
    <s v="Zero"/>
    <n v="-1.7651184993988472E-2"/>
    <s v="CohortAvg"/>
    <n v="-1.692406991623126E-4"/>
    <s v="CohortAvg"/>
    <n v="0"/>
    <n v="-58085.65"/>
    <n v="-20898.75"/>
    <n v="19928.36"/>
    <n v="0"/>
    <n v="16.8"/>
    <n v="-20203.98"/>
    <n v="-193.72"/>
    <n v="1085551.53"/>
    <n v="5.8741000000000002E-2"/>
    <n v="1.1109"/>
    <n v="6.5254000000000006E-2"/>
    <s v="DonorCohort:202101+Seasonal(1.111)"/>
    <n v="70836.539999999994"/>
    <n v="62615.34"/>
    <n v="8221.2000000000007"/>
    <x v="0"/>
    <n v="0"/>
    <n v="0.78500000000000003"/>
    <n v="0.24"/>
    <n v="0"/>
    <n v="0"/>
    <n v="0"/>
    <n v="62615.34"/>
    <n v="1144624.3600000001"/>
    <n v="5.4704000000000003E-2"/>
    <n v="8221.2000000000007"/>
    <n v="8238"/>
    <n v="0"/>
    <n v="8238"/>
    <n v="1077313.53"/>
    <s v="Forecast"/>
  </r>
  <r>
    <x v="1"/>
    <x v="3"/>
    <s v="202407"/>
    <n v="16"/>
    <n v="1120932.3"/>
    <n v="-5.9506457374716111E-2"/>
    <s v="CohortAvg"/>
    <n v="-1.8375769322382701E-2"/>
    <s v="CohortAvg"/>
    <n v="0.21326099806925131"/>
    <s v="CohortAvg"/>
    <n v="2.1121817574780679E-2"/>
    <s v="CohortAvg_NonZero"/>
    <n v="2.8781725871231578E-5"/>
    <s v="CohortAvg"/>
    <n v="0"/>
    <s v="Zero"/>
    <n v="-1.9113004027535001E-2"/>
    <s v="CohortAvg"/>
    <n v="-2.1543359872167541E-4"/>
    <s v="CohortAvg"/>
    <n v="0"/>
    <n v="-66702.710000000006"/>
    <n v="-20597.990000000002"/>
    <n v="19920.93"/>
    <n v="0"/>
    <n v="32.26"/>
    <n v="-21424.38"/>
    <n v="-241.49"/>
    <n v="1053520.26"/>
    <n v="5.4886999999999998E-2"/>
    <n v="1.1109"/>
    <n v="6.0972999999999999E-2"/>
    <s v="DonorCohort:202101+Seasonal(1.111)"/>
    <n v="64236.71"/>
    <n v="57067.35"/>
    <n v="7169.36"/>
    <x v="0"/>
    <n v="0"/>
    <n v="0.78500000000000003"/>
    <n v="0.24"/>
    <n v="0"/>
    <n v="0"/>
    <n v="0"/>
    <n v="57067.35"/>
    <n v="1120932.3"/>
    <n v="5.0910999999999998E-2"/>
    <n v="7169.36"/>
    <n v="7201.63"/>
    <n v="0"/>
    <n v="7201.63"/>
    <n v="1046318.64"/>
    <s v="Forecast"/>
  </r>
  <r>
    <x v="1"/>
    <x v="3"/>
    <s v="202408"/>
    <n v="15"/>
    <n v="1254936.49"/>
    <n v="-4.7569943519588993E-2"/>
    <s v="CohortAvg"/>
    <n v="-1.9082497378520989E-2"/>
    <s v="CohortAvg"/>
    <n v="0.21772058456398641"/>
    <s v="CohortAvg"/>
    <n v="2.4449640737260959E-2"/>
    <s v="CohortAvg_NonZero"/>
    <n v="3.9216186855843697E-5"/>
    <s v="CohortAvg"/>
    <n v="0"/>
    <s v="Zero"/>
    <n v="-1.823037694524755E-2"/>
    <s v="CohortAvg"/>
    <n v="-1.896332076634626E-4"/>
    <s v="CohortAvg"/>
    <n v="0"/>
    <n v="-59697.26"/>
    <n v="-23947.32"/>
    <n v="22768.79"/>
    <n v="0"/>
    <n v="49.21"/>
    <n v="-22877.97"/>
    <n v="-237.98"/>
    <n v="1194011.48"/>
    <n v="5.1081000000000001E-2"/>
    <n v="1.1109"/>
    <n v="5.6744999999999997E-2"/>
    <s v="DonorCohort:202101+Seasonal(1.111)"/>
    <n v="67754.720000000001"/>
    <n v="53854.84"/>
    <n v="13899.87"/>
    <x v="0"/>
    <n v="0"/>
    <n v="0.78500000000000003"/>
    <n v="0.24"/>
    <n v="0"/>
    <n v="0"/>
    <n v="0"/>
    <n v="53854.84"/>
    <n v="1254936.49"/>
    <n v="4.2914000000000001E-2"/>
    <n v="13899.87"/>
    <n v="13949.09"/>
    <n v="0"/>
    <n v="13949.09"/>
    <n v="1180062.3999999999"/>
    <s v="Forecast"/>
  </r>
  <r>
    <x v="1"/>
    <x v="3"/>
    <s v="202409"/>
    <n v="14"/>
    <n v="1138008.29"/>
    <n v="-5.6899922988527002E-2"/>
    <s v="CohortAvg"/>
    <n v="-1.9421313984365619E-2"/>
    <s v="CohortAvg"/>
    <n v="0.21486917651675139"/>
    <s v="CohortAvg"/>
    <n v="2.4264746295092319E-2"/>
    <s v="CohortAvg_NonZero"/>
    <n v="1.3539836900856881E-5"/>
    <s v="CohortAvg"/>
    <n v="0"/>
    <s v="Zero"/>
    <n v="-2.2650186689733589E-2"/>
    <s v="CohortAvg"/>
    <n v="-2.2478383204537801E-4"/>
    <s v="CohortAvg"/>
    <n v="0"/>
    <n v="-64752.58"/>
    <n v="-22101.62"/>
    <n v="20376.91"/>
    <n v="0"/>
    <n v="15.41"/>
    <n v="-25776.1"/>
    <n v="-255.81"/>
    <n v="1071515.5900000001"/>
    <n v="4.3057999999999999E-2"/>
    <n v="1.1109"/>
    <n v="4.7833000000000001E-2"/>
    <s v="DonorCohort:202101+Seasonal(1.111)"/>
    <n v="51253.58"/>
    <n v="43130.3"/>
    <n v="8123.28"/>
    <x v="0"/>
    <n v="0"/>
    <n v="0.78500000000000003"/>
    <n v="0.24"/>
    <n v="0"/>
    <n v="0"/>
    <n v="0"/>
    <n v="43130.3"/>
    <n v="1138008.29"/>
    <n v="3.7900000000000003E-2"/>
    <n v="8123.28"/>
    <n v="8138.69"/>
    <n v="0"/>
    <n v="8138.69"/>
    <n v="1063376.8999999999"/>
    <s v="Forecast"/>
  </r>
  <r>
    <x v="1"/>
    <x v="3"/>
    <s v="202410"/>
    <n v="13"/>
    <n v="1089682.8400000001"/>
    <n v="-5.0668013950120133E-2"/>
    <s v="CohortAvg"/>
    <n v="-1.9249047519359221E-2"/>
    <s v="CohortAvg"/>
    <n v="0.2185416006804074"/>
    <s v="CohortAvg"/>
    <n v="2.408232757208275E-2"/>
    <s v="CohortAvg_NonZero"/>
    <n v="7.7140827158595619E-6"/>
    <s v="CohortAvg"/>
    <n v="0"/>
    <s v="Zero"/>
    <n v="-3.5845308058297637E-2"/>
    <s v="CohortAvg"/>
    <n v="-3.8158049870893002E-4"/>
    <s v="CohortAvg"/>
    <n v="0"/>
    <n v="-55212.07"/>
    <n v="-20975.360000000001"/>
    <n v="19845.09"/>
    <n v="0"/>
    <n v="8.41"/>
    <n v="-39060.019999999997"/>
    <n v="-415.8"/>
    <n v="1033332.1"/>
    <n v="3.8026999999999998E-2"/>
    <n v="1.1109"/>
    <n v="4.2243000000000003E-2"/>
    <s v="DonorCohort:202101+Seasonal(1.111)"/>
    <n v="43651.55"/>
    <n v="36746.6"/>
    <n v="6904.95"/>
    <x v="0"/>
    <n v="0"/>
    <n v="0.78500000000000003"/>
    <n v="0.24"/>
    <n v="0"/>
    <n v="0"/>
    <n v="0"/>
    <n v="36746.6"/>
    <n v="1089682.8400000001"/>
    <n v="3.3722000000000002E-2"/>
    <n v="6904.95"/>
    <n v="6913.36"/>
    <n v="0"/>
    <n v="6913.36"/>
    <n v="1026418.74"/>
    <s v="Forecast"/>
  </r>
  <r>
    <x v="1"/>
    <x v="3"/>
    <s v="202411"/>
    <n v="12"/>
    <n v="1224264.99"/>
    <n v="-5.1541228859965968E-2"/>
    <s v="CohortAvg"/>
    <n v="-1.9633160876909011E-2"/>
    <s v="CohortAvg"/>
    <n v="0.227005728736487"/>
    <s v="CohortAvg"/>
    <n v="2.4251889978428361E-2"/>
    <s v="CohortAvg_NonZero"/>
    <n v="6.1986661728358573E-6"/>
    <s v="CohortAvg"/>
    <n v="0"/>
    <s v="Zero"/>
    <n v="-4.556881354935876E-2"/>
    <s v="CohortAvg"/>
    <n v="-4.9050002797251769E-4"/>
    <s v="CohortAvg"/>
    <n v="0"/>
    <n v="-63100.12"/>
    <n v="-24036.19"/>
    <n v="23159.599999999999"/>
    <n v="0"/>
    <n v="7.59"/>
    <n v="-55788.3"/>
    <n v="-600.5"/>
    <n v="1160280.69"/>
    <n v="3.3834999999999997E-2"/>
    <n v="1.1109"/>
    <n v="3.7587000000000002E-2"/>
    <s v="DonorCohort:202101+Seasonal(1.111)"/>
    <n v="43611.68"/>
    <n v="34700.089999999997"/>
    <n v="8911.59"/>
    <x v="0"/>
    <n v="0"/>
    <n v="0.78500000000000003"/>
    <n v="0.24"/>
    <n v="0"/>
    <n v="0"/>
    <n v="0"/>
    <n v="34700.089999999997"/>
    <n v="1224264.99"/>
    <n v="2.8344000000000001E-2"/>
    <n v="8911.59"/>
    <n v="8919.18"/>
    <n v="0"/>
    <n v="8919.18"/>
    <n v="1151361.51"/>
    <s v="Forecast"/>
  </r>
  <r>
    <x v="1"/>
    <x v="3"/>
    <s v="202412"/>
    <n v="11"/>
    <n v="1304738.98"/>
    <n v="-5.2483094799003947E-2"/>
    <s v="CohortAvg"/>
    <n v="-2.0383703743765989E-2"/>
    <s v="CohortAvg"/>
    <n v="0.23173910275529119"/>
    <s v="CohortAvg"/>
    <n v="2.3056850197430132E-2"/>
    <s v="CohortAvg_NonZero"/>
    <n v="1.2754356450951219E-5"/>
    <s v="CohortAvg"/>
    <n v="0"/>
    <s v="Zero"/>
    <n v="-4.8439061596677692E-2"/>
    <s v="CohortAvg"/>
    <n v="-5.641617521178568E-4"/>
    <s v="CohortAvg"/>
    <n v="0"/>
    <n v="-68476.740000000005"/>
    <n v="-26595.41"/>
    <n v="25196.59"/>
    <n v="0"/>
    <n v="16.64"/>
    <n v="-63200.33"/>
    <n v="-736.08"/>
    <n v="1234846.77"/>
    <n v="2.8438999999999999E-2"/>
    <n v="1.1109"/>
    <n v="3.1592000000000002E-2"/>
    <s v="DonorCohort:202101+Seasonal(1.111)"/>
    <n v="39011.35"/>
    <n v="27787.24"/>
    <n v="11224.11"/>
    <x v="0"/>
    <n v="0"/>
    <n v="0.78500000000000003"/>
    <n v="0.24"/>
    <n v="0"/>
    <n v="0"/>
    <n v="0"/>
    <n v="27787.24"/>
    <n v="1304738.98"/>
    <n v="2.1297E-2"/>
    <n v="11224.11"/>
    <n v="11240.75"/>
    <n v="0"/>
    <n v="11240.75"/>
    <n v="1223606.02"/>
    <s v="Forecast"/>
  </r>
  <r>
    <x v="1"/>
    <x v="3"/>
    <s v="202501"/>
    <n v="10"/>
    <n v="2078941.9"/>
    <n v="-4.8864718126436522E-2"/>
    <s v="CohortAvg"/>
    <n v="-2.0536019959494889E-2"/>
    <s v="CohortAvg"/>
    <n v="0.23453521918705439"/>
    <s v="CohortAvg"/>
    <n v="1.051213869656748E-2"/>
    <s v="CohortAvg_NonZero"/>
    <n v="1.6255080853050312E-5"/>
    <s v="CohortAvg"/>
    <n v="0"/>
    <s v="Zero"/>
    <n v="-3.788261949700053E-2"/>
    <s v="CohortAvg"/>
    <n v="-4.4058825065353049E-4"/>
    <s v="CohortAvg"/>
    <n v="0"/>
    <n v="-101586.91"/>
    <n v="-42693.19"/>
    <n v="40632.089999999997"/>
    <n v="0"/>
    <n v="33.79"/>
    <n v="-78755.759999999995"/>
    <n v="-915.96"/>
    <n v="1975260.09"/>
    <n v="2.1368999999999999E-2"/>
    <n v="1.1109"/>
    <n v="2.3737999999999999E-2"/>
    <s v="DonorCohort:202101+Seasonal(1.111)"/>
    <n v="46888.75"/>
    <n v="38552.78"/>
    <n v="8335.9699999999993"/>
    <x v="0"/>
    <n v="0"/>
    <n v="0.78500000000000003"/>
    <n v="0.24"/>
    <n v="0"/>
    <n v="0"/>
    <n v="0"/>
    <n v="38552.78"/>
    <n v="2078941.9"/>
    <n v="1.8544000000000001E-2"/>
    <n v="8335.9699999999993"/>
    <n v="8369.77"/>
    <n v="0"/>
    <n v="8369.77"/>
    <n v="1966890.33"/>
    <s v="Forecast"/>
  </r>
  <r>
    <x v="1"/>
    <x v="3"/>
    <s v="202502"/>
    <n v="9"/>
    <n v="2267377.7200000002"/>
    <n v="-5.0705224995434138E-2"/>
    <s v="CohortAvg"/>
    <n v="-2.0594835548940101E-2"/>
    <s v="CohortAvg"/>
    <n v="0.2451561297250994"/>
    <s v="CohortAvg"/>
    <n v="1.244074189451619E-2"/>
    <s v="CohortAvg_NonZero"/>
    <n v="1.516541038079083E-4"/>
    <s v="CohortAvg"/>
    <n v="0"/>
    <s v="Zero"/>
    <n v="-3.4632267837166102E-2"/>
    <s v="CohortAvg"/>
    <n v="-4.5032980267655702E-4"/>
    <s v="CohortAvg"/>
    <n v="0"/>
    <n v="-114967.9"/>
    <n v="-46696.27"/>
    <n v="46321.8"/>
    <n v="0"/>
    <n v="343.86"/>
    <n v="-78524.429999999993"/>
    <n v="-1021.07"/>
    <n v="2151691.4900000002"/>
    <n v="1.8606999999999999E-2"/>
    <n v="1.1109"/>
    <n v="2.0670000000000001E-2"/>
    <s v="DonorCohort:202101+Seasonal(1.111)"/>
    <n v="44475.01"/>
    <n v="36711.42"/>
    <n v="7763.59"/>
    <x v="0"/>
    <n v="0"/>
    <n v="0.78500000000000003"/>
    <n v="0.24"/>
    <n v="0"/>
    <n v="0"/>
    <n v="0"/>
    <n v="36711.42"/>
    <n v="2267377.7200000002"/>
    <n v="1.6191000000000001E-2"/>
    <n v="7763.59"/>
    <n v="8107.44"/>
    <n v="0"/>
    <n v="8107.44"/>
    <n v="2143584.0499999998"/>
    <s v="Forecast"/>
  </r>
  <r>
    <x v="1"/>
    <x v="3"/>
    <s v="202503"/>
    <n v="8"/>
    <n v="2515668.7999999998"/>
    <n v="-4.851781936048654E-2"/>
    <s v="CohortAvg"/>
    <n v="-2.1700371900458211E-2"/>
    <s v="CohortAvg"/>
    <n v="0.25371351669228848"/>
    <s v="CohortAvg"/>
    <n v="4.6176837495393924E-3"/>
    <s v="CohortAvg_NonZero"/>
    <n v="3.242584168022082E-6"/>
    <s v="CohortAvg"/>
    <n v="0"/>
    <s v="Zero"/>
    <n v="0"/>
    <s v="CohortAvg"/>
    <n v="0"/>
    <s v="CohortAvg"/>
    <n v="0"/>
    <n v="-122054.76"/>
    <n v="-54590.95"/>
    <n v="53188.26"/>
    <n v="0"/>
    <n v="8.16"/>
    <n v="0"/>
    <n v="0"/>
    <n v="2392203.19"/>
    <n v="1.6244999999999999E-2"/>
    <n v="1.1109"/>
    <n v="1.8047000000000001E-2"/>
    <s v="DonorCohort:202101+Seasonal(1.111)"/>
    <n v="43171.6"/>
    <n v="31138.07"/>
    <n v="12033.53"/>
    <x v="0"/>
    <n v="0"/>
    <n v="0.78500000000000003"/>
    <n v="0.24"/>
    <n v="0"/>
    <n v="0"/>
    <n v="0"/>
    <n v="31138.07"/>
    <n v="2515668.7999999998"/>
    <n v="1.2378E-2"/>
    <n v="12033.53"/>
    <n v="12041.69"/>
    <n v="0"/>
    <n v="12041.69"/>
    <n v="2380161.5"/>
    <s v="Forecast"/>
  </r>
  <r>
    <x v="1"/>
    <x v="3"/>
    <s v="202504"/>
    <n v="7"/>
    <n v="2247847.61"/>
    <n v="-5.3460481512381752E-2"/>
    <s v="CohortAvg"/>
    <n v="-2.1616384066439051E-2"/>
    <s v="CohortAvg"/>
    <n v="0.25249803929837639"/>
    <s v="CohortAvg"/>
    <n v="2.1791689037598898E-3"/>
    <s v="CohortAvg_NonZero"/>
    <n v="1.837067622446926E-6"/>
    <s v="CohortAvg"/>
    <n v="0"/>
    <s v="Zero"/>
    <n v="0"/>
    <s v="CohortAvg"/>
    <n v="0"/>
    <s v="CohortAvg"/>
    <n v="0"/>
    <n v="-120171.02"/>
    <n v="-48590.34"/>
    <n v="47298.09"/>
    <n v="0"/>
    <n v="4.13"/>
    <n v="0"/>
    <n v="0"/>
    <n v="2126380.2200000002"/>
    <n v="1.2418999999999999E-2"/>
    <n v="1.1109"/>
    <n v="1.3795999999999999E-2"/>
    <s v="DonorCohort:202101+Seasonal(1.111)"/>
    <n v="29336.06"/>
    <n v="23793.56"/>
    <n v="5542.5"/>
    <x v="0"/>
    <n v="0"/>
    <n v="0.78500000000000003"/>
    <n v="0.24"/>
    <n v="0"/>
    <n v="0"/>
    <n v="0"/>
    <n v="23793.56"/>
    <n v="2247847.61"/>
    <n v="1.0585000000000001E-2"/>
    <n v="5542.5"/>
    <n v="5546.63"/>
    <n v="0"/>
    <n v="5546.63"/>
    <n v="2120833.58"/>
    <s v="Forecast"/>
  </r>
  <r>
    <x v="1"/>
    <x v="3"/>
    <s v="202505"/>
    <n v="6"/>
    <n v="2437021.0699999998"/>
    <n v="-3.2981900870809558E-2"/>
    <s v="CohortAvg"/>
    <n v="-1.436677288002374E-2"/>
    <s v="CohortAvg"/>
    <n v="0.16258408689827461"/>
    <s v="CohortAvg"/>
    <n v="0"/>
    <s v="CohortAvg_NoData_ERROR"/>
    <n v="0"/>
    <s v="CohortAvg"/>
    <n v="0"/>
    <s v="Zero"/>
    <n v="0"/>
    <s v="CohortAvg"/>
    <n v="0"/>
    <s v="CohortAvg"/>
    <n v="0"/>
    <n v="-80377.59"/>
    <n v="-35012.129999999997"/>
    <n v="33018.400000000001"/>
    <n v="0"/>
    <n v="0"/>
    <n v="0"/>
    <n v="0"/>
    <n v="2354649.7599999998"/>
    <n v="1.0621E-2"/>
    <n v="1.1109"/>
    <n v="1.1797999999999999E-2"/>
    <s v="DonorCohort:202101+Seasonal(1.111)"/>
    <n v="27780.59"/>
    <n v="16640.77"/>
    <n v="11139.82"/>
    <x v="0"/>
    <n v="0"/>
    <n v="0.78500000000000003"/>
    <n v="0.24"/>
    <n v="0"/>
    <n v="0"/>
    <n v="0"/>
    <n v="16640.77"/>
    <n v="2437021.0699999998"/>
    <n v="6.8279999999999999E-3"/>
    <n v="11139.82"/>
    <n v="11139.82"/>
    <n v="0"/>
    <n v="11139.82"/>
    <n v="2343509.9300000002"/>
    <s v="Forecast"/>
  </r>
  <r>
    <x v="1"/>
    <x v="3"/>
    <s v="202506"/>
    <n v="5"/>
    <n v="2767480.41"/>
    <n v="-2.6884660998397231E-2"/>
    <s v="CohortAvg"/>
    <n v="-1.132675657561554E-2"/>
    <s v="CohortAvg"/>
    <n v="0.12821254365821699"/>
    <s v="CohortAvg"/>
    <n v="0"/>
    <s v="CohortAvg_NoData_ERROR"/>
    <n v="0"/>
    <s v="CohortAvg"/>
    <n v="0"/>
    <s v="Zero"/>
    <n v="0"/>
    <s v="CohortAvg"/>
    <n v="0"/>
    <s v="CohortAvg"/>
    <n v="0"/>
    <n v="-74402.77"/>
    <n v="-31346.58"/>
    <n v="29568.81"/>
    <n v="0"/>
    <n v="0"/>
    <n v="0"/>
    <n v="0"/>
    <n v="2691299.87"/>
    <n v="6.8510000000000003E-3"/>
    <n v="1.1109"/>
    <n v="7.6109999999999997E-3"/>
    <s v="DonorCohort:202101+Seasonal(1.111)"/>
    <n v="20483.25"/>
    <n v="11817.64"/>
    <n v="8665.61"/>
    <x v="0"/>
    <n v="0"/>
    <n v="0.78500000000000003"/>
    <n v="0.24"/>
    <n v="0"/>
    <n v="0"/>
    <n v="0"/>
    <n v="11817.64"/>
    <n v="2767480.41"/>
    <n v="4.2700000000000004E-3"/>
    <n v="8665.61"/>
    <n v="8665.61"/>
    <n v="0"/>
    <n v="8665.61"/>
    <n v="2682634.2599999998"/>
    <s v="Forecast"/>
  </r>
  <r>
    <x v="1"/>
    <x v="3"/>
    <s v="202507"/>
    <n v="4"/>
    <n v="3125154.64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125154.64"/>
    <n v="4.2849999999999997E-3"/>
    <n v="1.1109"/>
    <n v="4.7600000000000003E-3"/>
    <s v="DonorCohort:202101+Seasonal(1.111)"/>
    <n v="14874.44"/>
    <n v="9030.8700000000008"/>
    <n v="5843.57"/>
    <x v="0"/>
    <n v="0"/>
    <n v="0.78500000000000003"/>
    <n v="0.24"/>
    <n v="0"/>
    <n v="0"/>
    <n v="0"/>
    <n v="9030.8700000000008"/>
    <n v="3125154.64"/>
    <n v="2.8900000000000002E-3"/>
    <n v="5843.57"/>
    <n v="5843.57"/>
    <n v="0"/>
    <n v="5843.57"/>
    <n v="3119311.07"/>
    <s v="Forecast"/>
  </r>
  <r>
    <x v="1"/>
    <x v="3"/>
    <s v="202508"/>
    <n v="3"/>
    <n v="3257214.8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257214.86"/>
    <n v="2.8990000000000001E-3"/>
    <n v="1.1109"/>
    <n v="3.2209999999999999E-3"/>
    <s v="DonorCohort:202101+Seasonal(1.111)"/>
    <n v="10491.25"/>
    <n v="5107.87"/>
    <n v="5383.38"/>
    <x v="0"/>
    <n v="0"/>
    <n v="0.78500000000000003"/>
    <n v="0.24"/>
    <n v="0"/>
    <n v="0"/>
    <n v="0"/>
    <n v="5107.87"/>
    <n v="3257214.86"/>
    <n v="1.5679999999999999E-3"/>
    <n v="5383.38"/>
    <n v="5383.38"/>
    <n v="0"/>
    <n v="5383.38"/>
    <n v="3251831.48"/>
    <s v="Forecast"/>
  </r>
  <r>
    <x v="1"/>
    <x v="3"/>
    <s v="202509"/>
    <n v="2"/>
    <n v="3314123.2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314123.22"/>
    <n v="1.573E-3"/>
    <n v="1.1109"/>
    <n v="1.748E-3"/>
    <s v="DonorCohort:202101+Seasonal(1.111)"/>
    <n v="5792.75"/>
    <n v="0"/>
    <n v="5792.75"/>
    <x v="0"/>
    <n v="0"/>
    <n v="0.78500000000000003"/>
    <n v="0.24"/>
    <n v="0"/>
    <n v="0"/>
    <n v="0"/>
    <n v="0"/>
    <n v="3314123.22"/>
    <n v="0"/>
    <n v="5792.75"/>
    <n v="5792.75"/>
    <n v="0"/>
    <n v="5792.75"/>
    <n v="3308330.47"/>
    <s v="Forecast"/>
  </r>
  <r>
    <x v="1"/>
    <x v="4"/>
    <s v="202101"/>
    <n v="56"/>
    <n v="3087395.14"/>
    <n v="-0.11839020789966501"/>
    <s v="CohortAvg"/>
    <n v="-8.4194953850627516E-3"/>
    <s v="CohortAvg"/>
    <n v="9.0641111656866169E-2"/>
    <s v="CohortAvg"/>
    <n v="3.4026974357649911E-2"/>
    <s v="CohortAvg_NonZero"/>
    <n v="0"/>
    <s v="CohortAvg"/>
    <n v="0"/>
    <s v="Zero"/>
    <n v="0"/>
    <s v="CohortAvg"/>
    <n v="0"/>
    <s v="CohortAvg"/>
    <n v="0"/>
    <n v="-365517.35"/>
    <n v="-25994.31"/>
    <n v="23320.41"/>
    <n v="0"/>
    <n v="0"/>
    <n v="0"/>
    <n v="0"/>
    <n v="2719203.89"/>
    <n v="0.16719700000000001"/>
    <n v="0.88090000000000002"/>
    <n v="0.147283"/>
    <s v="CohortAvg+Seasonal(0.881)"/>
    <n v="400493.2"/>
    <n v="477904.65"/>
    <n v="-77411.45"/>
    <x v="0"/>
    <n v="0"/>
    <n v="0.78500000000000003"/>
    <n v="0.24"/>
    <n v="0"/>
    <n v="0"/>
    <n v="0"/>
    <n v="477904.65"/>
    <n v="3087395.14"/>
    <n v="0.15479200000000001"/>
    <n v="-77411.45"/>
    <n v="-77411.45"/>
    <n v="0"/>
    <n v="-77411.45"/>
    <n v="2796615.33"/>
    <s v="Forecast"/>
  </r>
  <r>
    <x v="1"/>
    <x v="4"/>
    <s v="202201"/>
    <n v="38"/>
    <n v="106840.43"/>
    <n v="-7.8297524364460205E-2"/>
    <s v="CohortAvg"/>
    <n v="-9.4815336601491614E-3"/>
    <s v="CohortAvg"/>
    <n v="0.1042576274823501"/>
    <s v="CohortAvg"/>
    <n v="3.738694892140948E-2"/>
    <s v="CohortAvg_NonZero"/>
    <n v="3.1772257042497788E-8"/>
    <s v="CohortAvg"/>
    <n v="0"/>
    <s v="Zero"/>
    <n v="0"/>
    <s v="CohortAvg"/>
    <n v="0"/>
    <s v="CohortAvg"/>
    <n v="0"/>
    <n v="-8365.34"/>
    <n v="-1013.01"/>
    <n v="928.24"/>
    <n v="0"/>
    <n v="0"/>
    <n v="0"/>
    <n v="0"/>
    <n v="98390.32"/>
    <n v="4.2695999999999998E-2"/>
    <n v="0.88090000000000002"/>
    <n v="3.7609999999999998E-2"/>
    <s v="CohortTrend+Seasonal(0.881)"/>
    <n v="3700.51"/>
    <n v="4222.8599999999997"/>
    <n v="-522.35"/>
    <x v="0"/>
    <n v="0"/>
    <n v="0.78500000000000003"/>
    <n v="0.24"/>
    <n v="0"/>
    <n v="0"/>
    <n v="0"/>
    <n v="4222.8599999999997"/>
    <n v="106840.43"/>
    <n v="3.9524999999999998E-2"/>
    <n v="-522.35"/>
    <n v="-522.35"/>
    <n v="0"/>
    <n v="-522.35"/>
    <n v="98912.67"/>
    <s v="Forecast"/>
  </r>
  <r>
    <x v="1"/>
    <x v="4"/>
    <s v="202405"/>
    <n v="18"/>
    <n v="4747.05"/>
    <n v="-1.6213957865615091E-2"/>
    <s v="CohortAvg"/>
    <n v="-1.0386648567959631E-2"/>
    <s v="CohortAvg"/>
    <n v="0.1216308496866151"/>
    <s v="CohortAvg"/>
    <n v="0"/>
    <s v="CohortAvg_NoData_ERROR"/>
    <n v="0"/>
    <s v="CohortAvg"/>
    <n v="0"/>
    <s v="Zero"/>
    <n v="0"/>
    <s v="CohortAvg"/>
    <n v="0"/>
    <s v="CohortAvg"/>
    <n v="0"/>
    <n v="-76.97"/>
    <n v="-49.31"/>
    <n v="48.12"/>
    <n v="0"/>
    <n v="0"/>
    <n v="0"/>
    <n v="0"/>
    <n v="4668.8900000000003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4747.05"/>
    <n v="0"/>
    <n v="0"/>
    <n v="0"/>
    <n v="0"/>
    <n v="0"/>
    <n v="4668.8900000000003"/>
    <s v="Forecast"/>
  </r>
  <r>
    <x v="1"/>
    <x v="4"/>
    <s v="202407"/>
    <n v="16"/>
    <n v="2929.7"/>
    <n v="-4.9493650848064528E-2"/>
    <s v="CohortAvg"/>
    <n v="-1.042275353553168E-2"/>
    <s v="CohortAvg"/>
    <n v="0.12068234512651579"/>
    <s v="CohortAvg"/>
    <n v="0"/>
    <s v="CohortAvg_NoData_ERROR"/>
    <n v="0"/>
    <s v="CohortAvg"/>
    <n v="0"/>
    <s v="Zero"/>
    <n v="0"/>
    <s v="CohortAvg"/>
    <n v="0"/>
    <s v="CohortAvg"/>
    <n v="0"/>
    <n v="-145"/>
    <n v="-30.54"/>
    <n v="29.46"/>
    <n v="0"/>
    <n v="0"/>
    <n v="0"/>
    <n v="0"/>
    <n v="2783.63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2929.7"/>
    <n v="0"/>
    <n v="0"/>
    <n v="0"/>
    <n v="0"/>
    <n v="0"/>
    <n v="2783.63"/>
    <s v="Forecast"/>
  </r>
  <r>
    <x v="1"/>
    <x v="4"/>
    <s v="202409"/>
    <n v="14"/>
    <n v="9754.24"/>
    <n v="-4.0619733407087848E-2"/>
    <s v="CohortAvg"/>
    <n v="-1.039276933617852E-2"/>
    <s v="CohortAvg"/>
    <n v="0.1209499216224143"/>
    <s v="CohortAvg"/>
    <n v="0"/>
    <s v="CohortAvg_NoData_ERROR"/>
    <n v="0"/>
    <s v="CohortAvg"/>
    <n v="0"/>
    <s v="Zero"/>
    <n v="0"/>
    <s v="CohortAvg"/>
    <n v="0"/>
    <s v="CohortAvg"/>
    <n v="0"/>
    <n v="-396.21"/>
    <n v="-101.37"/>
    <n v="98.31"/>
    <n v="0"/>
    <n v="0"/>
    <n v="0"/>
    <n v="0"/>
    <n v="9354.9599999999991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9754.24"/>
    <n v="0"/>
    <n v="0"/>
    <n v="0"/>
    <n v="0"/>
    <n v="0"/>
    <n v="9354.9599999999991"/>
    <s v="Forecast"/>
  </r>
  <r>
    <x v="1"/>
    <x v="4"/>
    <s v="202504"/>
    <n v="7"/>
    <n v="4600.7299999999996"/>
    <n v="-1.2869319908414389E-2"/>
    <s v="CohortAvg"/>
    <n v="-1.0429103905688131E-2"/>
    <s v="CohortAvg"/>
    <n v="0.1226107665844637"/>
    <s v="CohortAvg"/>
    <n v="0"/>
    <s v="CohortAvg_NoData_ERROR"/>
    <n v="0"/>
    <s v="CohortAvg"/>
    <n v="0"/>
    <s v="Zero"/>
    <n v="0"/>
    <s v="CohortAvg"/>
    <n v="0"/>
    <s v="CohortAvg"/>
    <n v="0"/>
    <n v="-59.21"/>
    <n v="-47.98"/>
    <n v="47.01"/>
    <n v="0"/>
    <n v="0"/>
    <n v="0"/>
    <n v="0"/>
    <n v="4540.55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4600.7299999999996"/>
    <n v="0"/>
    <n v="0"/>
    <n v="0"/>
    <n v="0"/>
    <n v="0"/>
    <n v="4540.55"/>
    <s v="Forecast"/>
  </r>
  <r>
    <x v="1"/>
    <x v="4"/>
    <s v="202507"/>
    <n v="4"/>
    <n v="9843.2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9843.27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9843.27"/>
    <n v="0"/>
    <n v="0"/>
    <n v="0"/>
    <n v="0"/>
    <n v="0"/>
    <n v="9843.27"/>
    <s v="Forecast"/>
  </r>
  <r>
    <x v="1"/>
    <x v="4"/>
    <s v="202508"/>
    <n v="3"/>
    <n v="30052.6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0052.62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30052.62"/>
    <n v="0"/>
    <n v="0"/>
    <n v="0"/>
    <n v="0"/>
    <n v="0"/>
    <n v="30052.62"/>
    <s v="Forecast"/>
  </r>
  <r>
    <x v="1"/>
    <x v="4"/>
    <s v="202509"/>
    <n v="2"/>
    <n v="24414.84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4414.84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"/>
    <x v="0"/>
    <s v="201912"/>
    <n v="72"/>
    <n v="375174.24"/>
    <n v="7.0945198055304892E-3"/>
    <s v="CohortAvg"/>
    <n v="1.7795994687191221E-3"/>
    <s v="CohortAvg"/>
    <n v="0"/>
    <s v="CohortAvg"/>
    <n v="2.911636190035443E-2"/>
    <s v="CohortAvg_NonZero"/>
    <n v="1.036945110917352E-3"/>
    <s v="CohortAvg"/>
    <n v="0"/>
    <s v="Zero"/>
    <n v="0"/>
    <s v="CohortAvg"/>
    <n v="0"/>
    <s v="CohortAvg"/>
    <n v="0"/>
    <n v="2661.68"/>
    <n v="667.66"/>
    <n v="0"/>
    <n v="10923.71"/>
    <n v="389.04"/>
    <n v="0"/>
    <n v="0"/>
    <n v="360532.16"/>
    <n v="0.99607500000000004"/>
    <n v="1.0328999999999999"/>
    <n v="1.0288649999999999"/>
    <s v="CohortAvg+Seasonal(1.033)"/>
    <n v="370938.89"/>
    <n v="443839.32"/>
    <n v="-72900.429999999993"/>
    <x v="1"/>
    <n v="10923.71"/>
    <n v="0.78500000000000003"/>
    <n v="0.24"/>
    <n v="8575.11"/>
    <n v="8575.11"/>
    <n v="2621.69"/>
    <n v="435264.21"/>
    <n v="364250.53"/>
    <n v="1.194958"/>
    <n v="-64325.32"/>
    <n v="-63936.28"/>
    <n v="22120.51"/>
    <n v="-41815.769999999997"/>
    <n v="402347.93"/>
    <s v="Forecast"/>
  </r>
  <r>
    <x v="2"/>
    <x v="0"/>
    <s v="202001"/>
    <n v="71"/>
    <n v="92545.93"/>
    <n v="3.4699842475900057E-2"/>
    <s v="CohortAvg"/>
    <n v="1.5889812152451071E-3"/>
    <s v="CohortAvg"/>
    <n v="0"/>
    <s v="CohortAvg"/>
    <n v="1.1252689476598649E-2"/>
    <s v="CohortAvg_NonZero"/>
    <n v="0"/>
    <s v="CohortAvg"/>
    <n v="0"/>
    <s v="Zero"/>
    <n v="0"/>
    <s v="CohortAvg"/>
    <n v="0"/>
    <s v="CohortAvg"/>
    <n v="0"/>
    <n v="3211.33"/>
    <n v="147.05000000000001"/>
    <n v="0"/>
    <n v="1041.3900000000001"/>
    <n v="0"/>
    <n v="0"/>
    <n v="0"/>
    <n v="88146.15"/>
    <n v="0.99842699999999995"/>
    <n v="1.0328999999999999"/>
    <n v="1.0312950000000001"/>
    <s v="CohortAvg+Seasonal(1.033)"/>
    <n v="90904.67"/>
    <n v="109783.3"/>
    <n v="-18878.63"/>
    <x v="1"/>
    <n v="1041.3900000000001"/>
    <n v="0.78500000000000003"/>
    <n v="0.24"/>
    <n v="817.49"/>
    <n v="817.49"/>
    <n v="249.93"/>
    <n v="108965.81"/>
    <n v="91504.54"/>
    <n v="1.1908240000000001"/>
    <n v="-18061.14"/>
    <n v="-18061.14"/>
    <n v="2108.8200000000002"/>
    <n v="-15952.32"/>
    <n v="104098.48"/>
    <s v="Forecast"/>
  </r>
  <r>
    <x v="2"/>
    <x v="0"/>
    <s v="202101"/>
    <n v="59"/>
    <n v="808409"/>
    <n v="3.0000332592464282E-3"/>
    <s v="CohortAvg"/>
    <n v="-1.147833930228259E-3"/>
    <s v="CohortAvg"/>
    <n v="0"/>
    <s v="CohortAvg"/>
    <n v="1.4408020680640961E-2"/>
    <s v="CohortAvg_NonZero"/>
    <n v="4.9949759203793095E-4"/>
    <s v="CohortAvg"/>
    <n v="0"/>
    <s v="Zero"/>
    <n v="0"/>
    <s v="CohortAvg"/>
    <n v="0"/>
    <s v="CohortAvg"/>
    <n v="0"/>
    <n v="2425.25"/>
    <n v="-927.92"/>
    <n v="0"/>
    <n v="11647.57"/>
    <n v="403.8"/>
    <n v="0"/>
    <n v="0"/>
    <n v="793004.46"/>
    <n v="0.94687100000000002"/>
    <n v="1.0328999999999999"/>
    <n v="0.97804100000000005"/>
    <s v="CohortAvg+Seasonal(1.033)"/>
    <n v="775591.18"/>
    <n v="894157.99"/>
    <n v="-118566.81"/>
    <x v="1"/>
    <n v="11647.57"/>
    <n v="0.78500000000000003"/>
    <n v="0.24"/>
    <n v="9143.35"/>
    <n v="9143.35"/>
    <n v="2795.42"/>
    <n v="885014.65"/>
    <n v="796761.43"/>
    <n v="1.110765"/>
    <n v="-109423.46"/>
    <n v="-109019.66"/>
    <n v="23586.34"/>
    <n v="-85433.33"/>
    <n v="878437.79"/>
    <s v="Forecast"/>
  </r>
  <r>
    <x v="2"/>
    <x v="0"/>
    <s v="202201"/>
    <n v="39"/>
    <n v="1014226.01"/>
    <n v="-0.113947269712764"/>
    <s v="CohortAvg"/>
    <n v="-1.0015672099664381E-2"/>
    <s v="CohortAvg"/>
    <n v="6.216377896016511E-2"/>
    <s v="CohortAvg"/>
    <n v="3.3618506678750507E-2"/>
    <s v="CohortAvg_NonZero"/>
    <n v="2.805848080187513E-3"/>
    <s v="CohortAvg"/>
    <n v="0"/>
    <s v="Zero"/>
    <n v="-1.0965418910191479E-3"/>
    <s v="CohortAvg"/>
    <n v="-2.4716283692685451E-5"/>
    <s v="CohortAvg"/>
    <n v="0"/>
    <n v="-115568.29"/>
    <n v="-10158.16"/>
    <n v="5254.01"/>
    <n v="34096.76"/>
    <n v="2845.76"/>
    <n v="-1112.1400000000001"/>
    <n v="-25.07"/>
    <n v="856811.05"/>
    <n v="0.60068600000000005"/>
    <n v="1.0328999999999999"/>
    <n v="0.62046000000000001"/>
    <s v="CohortTrend+Seasonal(1.033)"/>
    <n v="531617.03"/>
    <n v="704546.72"/>
    <n v="-172929.69"/>
    <x v="1"/>
    <n v="34096.76"/>
    <n v="0.78500000000000003"/>
    <n v="0.24"/>
    <n v="26765.96"/>
    <n v="26765.96"/>
    <n v="8183.22"/>
    <n v="677780.76"/>
    <n v="980129.25"/>
    <n v="0.69152199999999997"/>
    <n v="-146163.73000000001"/>
    <n v="-143317.97"/>
    <n v="69045.95"/>
    <n v="-74272.02"/>
    <n v="931083.08"/>
    <s v="Forecast"/>
  </r>
  <r>
    <x v="2"/>
    <x v="0"/>
    <s v="202301"/>
    <n v="30"/>
    <n v="6134851.5199999996"/>
    <n v="-7.1323594316354447E-2"/>
    <s v="CohortAvg"/>
    <n v="-1.768720887257539E-2"/>
    <s v="CohortAvg"/>
    <n v="0.2054115582933107"/>
    <s v="CohortAvg"/>
    <n v="4.9626576322400411E-2"/>
    <s v="CohortAvg_NonZero"/>
    <n v="1.9720839379798479E-4"/>
    <s v="CohortAvg"/>
    <n v="0"/>
    <s v="Zero"/>
    <n v="-5.2768715191292169E-3"/>
    <s v="CohortAvg"/>
    <n v="-9.4380061848575944E-5"/>
    <s v="CohortAvg"/>
    <n v="0"/>
    <n v="-437559.66"/>
    <n v="-108508.4"/>
    <n v="105014.12"/>
    <n v="304451.68"/>
    <n v="1209.8399999999999"/>
    <n v="-32372.82"/>
    <n v="-579.01"/>
    <n v="5388136.0599999996"/>
    <n v="0.47955799999999998"/>
    <n v="1.0328999999999999"/>
    <n v="0.49534499999999998"/>
    <s v="CohortTrend+Seasonal(1.033)"/>
    <n v="2668985.8199999998"/>
    <n v="3368229.71"/>
    <n v="-699243.88"/>
    <x v="1"/>
    <n v="304451.68"/>
    <n v="0.78500000000000003"/>
    <n v="0.24"/>
    <n v="238994.57"/>
    <n v="238994.57"/>
    <n v="73068.399999999994"/>
    <n v="3129235.14"/>
    <n v="5830399.8499999996"/>
    <n v="0.53671000000000002"/>
    <n v="-460249.32"/>
    <n v="-459039.47"/>
    <n v="616514.65"/>
    <n v="157475.17000000001"/>
    <n v="5230660.8899999997"/>
    <s v="Forecast"/>
  </r>
  <r>
    <x v="2"/>
    <x v="0"/>
    <s v="202404"/>
    <n v="20"/>
    <n v="1245628.3999999999"/>
    <n v="-6.9012139844913153E-2"/>
    <s v="CohortAvg"/>
    <n v="-2.4284702677766948E-2"/>
    <s v="CohortAvg"/>
    <n v="0.26298730066055082"/>
    <s v="CohortAvg"/>
    <n v="9.457356251168586E-2"/>
    <s v="CohortAvg_NonZero"/>
    <n v="1.123222394711867E-4"/>
    <s v="CohortAvg"/>
    <n v="0"/>
    <s v="Zero"/>
    <n v="-9.1779563981011104E-3"/>
    <s v="CohortAvg"/>
    <n v="1.3920719030443101E-4"/>
    <s v="CohortAvg"/>
    <n v="0"/>
    <n v="-85963.48"/>
    <n v="-30249.72"/>
    <n v="27298.7"/>
    <n v="117803.52"/>
    <n v="139.91"/>
    <n v="-11432.32"/>
    <n v="173.4"/>
    <n v="1038770.48"/>
    <n v="0.31122699999999998"/>
    <n v="1.0328999999999999"/>
    <n v="0.32147199999999998"/>
    <s v="CohortTrend+Seasonal(1.033)"/>
    <n v="333935.64"/>
    <n v="282283.58"/>
    <n v="51652.06"/>
    <x v="1"/>
    <n v="117803.52"/>
    <n v="0.78500000000000003"/>
    <n v="0.24"/>
    <n v="92475.76"/>
    <n v="92475.76"/>
    <n v="28272.84"/>
    <n v="189807.82"/>
    <n v="1127824.8799999999"/>
    <n v="0.168295"/>
    <n v="144127.82"/>
    <n v="144267.73000000001"/>
    <n v="238552.12"/>
    <n v="382819.85"/>
    <n v="655950.63"/>
    <s v="Forecast"/>
  </r>
  <r>
    <x v="2"/>
    <x v="0"/>
    <s v="202405"/>
    <n v="19"/>
    <n v="1543006.1"/>
    <n v="-5.860876833110195E-2"/>
    <s v="CohortAvg"/>
    <n v="-2.4355595842022119E-2"/>
    <s v="CohortAvg"/>
    <n v="0.27029019031490881"/>
    <s v="CohortAvg"/>
    <n v="9.770479323949173E-2"/>
    <s v="CohortAvg_NonZero"/>
    <n v="1.626046533761367E-4"/>
    <s v="CohortAvg"/>
    <n v="0"/>
    <s v="Zero"/>
    <n v="-1.406565064578888E-2"/>
    <s v="CohortAvg"/>
    <n v="-2.6027858383260771E-4"/>
    <s v="CohortAvg"/>
    <n v="0"/>
    <n v="-90433.69"/>
    <n v="-37580.83"/>
    <n v="34754.949999999997"/>
    <n v="150759.09"/>
    <n v="250.9"/>
    <n v="-21703.38"/>
    <n v="-401.61"/>
    <n v="1298736.54"/>
    <n v="0.190751"/>
    <n v="1.0328999999999999"/>
    <n v="0.19703000000000001"/>
    <s v="DonorCohort:202101+Seasonal(1.033)"/>
    <n v="255890.49"/>
    <n v="324036.34999999998"/>
    <n v="-68145.86"/>
    <x v="1"/>
    <n v="150759.09"/>
    <n v="0.78500000000000003"/>
    <n v="0.24"/>
    <n v="118345.89"/>
    <n v="118345.89"/>
    <n v="36182.18"/>
    <n v="205690.46"/>
    <n v="1392247.01"/>
    <n v="0.14774000000000001"/>
    <n v="50200.03"/>
    <n v="50450.93"/>
    <n v="305287.15999999997"/>
    <n v="355738.09"/>
    <n v="942998.45"/>
    <s v="Forecast"/>
  </r>
  <r>
    <x v="2"/>
    <x v="0"/>
    <s v="202406"/>
    <n v="18"/>
    <n v="2068089.61"/>
    <n v="-5.5801132329364053E-2"/>
    <s v="CohortAvg"/>
    <n v="-2.5685618227873991E-2"/>
    <s v="CohortAvg"/>
    <n v="0.28806149611354248"/>
    <s v="CohortAvg"/>
    <n v="6.5253205364134384E-2"/>
    <s v="CohortAvg_NonZero"/>
    <n v="4.3331608307061057E-5"/>
    <s v="CohortAvg"/>
    <n v="0"/>
    <s v="Zero"/>
    <n v="-1.373286972918028E-2"/>
    <s v="CohortAvg"/>
    <n v="-2.6726943010619929E-4"/>
    <s v="CohortAvg"/>
    <n v="0"/>
    <n v="-115401.74"/>
    <n v="-53120.160000000003"/>
    <n v="49644.75"/>
    <n v="134949.48000000001"/>
    <n v="89.61"/>
    <n v="-28400.81"/>
    <n v="-552.74"/>
    <n v="1814173.37"/>
    <n v="0.17676500000000001"/>
    <n v="1.0328999999999999"/>
    <n v="0.182584"/>
    <s v="DonorCohort:202101+Seasonal(1.033)"/>
    <n v="331238.53000000003"/>
    <n v="440449.3"/>
    <n v="-109210.77"/>
    <x v="1"/>
    <n v="134949.48000000001"/>
    <n v="0.78500000000000003"/>
    <n v="0.24"/>
    <n v="105935.34"/>
    <n v="105935.34"/>
    <n v="32387.87"/>
    <n v="334513.96000000002"/>
    <n v="1933140.14"/>
    <n v="0.173042"/>
    <n v="-3275.43"/>
    <n v="-3185.81"/>
    <n v="273272.69"/>
    <n v="270086.88"/>
    <n v="1544086.49"/>
    <s v="Forecast"/>
  </r>
  <r>
    <x v="2"/>
    <x v="0"/>
    <s v="202407"/>
    <n v="17"/>
    <n v="2214438.27"/>
    <n v="-5.6087400121510048E-2"/>
    <s v="CohortAvg"/>
    <n v="-2.6711802440207891E-2"/>
    <s v="CohortAvg"/>
    <n v="0.29711945737194212"/>
    <s v="CohortAvg"/>
    <n v="7.3396329324104767E-2"/>
    <s v="CohortAvg_NonZero"/>
    <n v="6.1711894872073828E-5"/>
    <s v="CohortAvg"/>
    <n v="0"/>
    <s v="Zero"/>
    <n v="-1.577505944482608E-2"/>
    <s v="CohortAvg"/>
    <n v="-1.9625540999722559E-4"/>
    <s v="CohortAvg"/>
    <n v="0"/>
    <n v="-124202.09"/>
    <n v="-59151.64"/>
    <n v="54829.39"/>
    <n v="162531.64000000001"/>
    <n v="136.66"/>
    <n v="-34932.9"/>
    <n v="-434.6"/>
    <n v="1923245.64"/>
    <n v="0.17926500000000001"/>
    <n v="1.0328999999999999"/>
    <n v="0.185167"/>
    <s v="DonorCohort:202101+Seasonal(1.033)"/>
    <n v="356120.77"/>
    <n v="502457.67"/>
    <n v="-146336.9"/>
    <x v="1"/>
    <n v="162531.64000000001"/>
    <n v="0.78500000000000003"/>
    <n v="0.24"/>
    <n v="127587.34"/>
    <n v="127587.34"/>
    <n v="39007.589999999997"/>
    <n v="374870.33"/>
    <n v="2051906.63"/>
    <n v="0.182694"/>
    <n v="-18749.560000000001"/>
    <n v="-18612.91"/>
    <n v="329126.57"/>
    <n v="310513.67"/>
    <n v="1612731.97"/>
    <s v="Forecast"/>
  </r>
  <r>
    <x v="2"/>
    <x v="0"/>
    <s v="202408"/>
    <n v="16"/>
    <n v="2297600.69"/>
    <n v="-6.4969931060448113E-2"/>
    <s v="CohortAvg"/>
    <n v="-2.6406933997138369E-2"/>
    <s v="CohortAvg"/>
    <n v="0.29114845663805428"/>
    <s v="CohortAvg"/>
    <n v="8.2766723578647852E-2"/>
    <s v="CohortAvg_NonZero"/>
    <n v="1.4664676439121651E-4"/>
    <s v="CohortAvg"/>
    <n v="0"/>
    <s v="Zero"/>
    <n v="-1.9472815262900761E-2"/>
    <s v="CohortAvg"/>
    <n v="-3.7351499380754009E-4"/>
    <s v="CohortAvg"/>
    <n v="0"/>
    <n v="-149274.96"/>
    <n v="-60672.59"/>
    <n v="55745.24"/>
    <n v="190164.88"/>
    <n v="336.94"/>
    <n v="-44740.75"/>
    <n v="-858.19"/>
    <n v="1952896.56"/>
    <n v="0.19098799999999999"/>
    <n v="1.0328999999999999"/>
    <n v="0.19727500000000001"/>
    <s v="DonorCohort:202101+Seasonal(1.033)"/>
    <n v="385257.51"/>
    <n v="514178.7"/>
    <n v="-128921.19"/>
    <x v="1"/>
    <n v="190164.88"/>
    <n v="0.78500000000000003"/>
    <n v="0.24"/>
    <n v="149279.43"/>
    <n v="149279.43"/>
    <n v="45639.57"/>
    <n v="364899.27"/>
    <n v="2107435.81"/>
    <n v="0.173148"/>
    <n v="20358.240000000002"/>
    <n v="20695.18"/>
    <n v="385083.88"/>
    <n v="405779.06"/>
    <n v="1547117.5"/>
    <s v="Forecast"/>
  </r>
  <r>
    <x v="2"/>
    <x v="0"/>
    <s v="202409"/>
    <n v="15"/>
    <n v="2241594.5299999998"/>
    <n v="-6.7605948901869106E-2"/>
    <s v="CohortAvg"/>
    <n v="-2.832347311320299E-2"/>
    <s v="CohortAvg"/>
    <n v="0.30563360725220678"/>
    <s v="CohortAvg"/>
    <n v="8.7894695818022936E-2"/>
    <s v="CohortAvg_NonZero"/>
    <n v="3.6144687314581208E-4"/>
    <s v="CohortAvg"/>
    <n v="0"/>
    <s v="Zero"/>
    <n v="-2.5716174979948211E-2"/>
    <s v="CohortAvg"/>
    <n v="2.9272043888855528E-4"/>
    <s v="CohortAvg"/>
    <n v="0"/>
    <n v="-151545.13"/>
    <n v="-63489.74"/>
    <n v="57092.22"/>
    <n v="197024.27"/>
    <n v="810.22"/>
    <n v="-57645.24"/>
    <n v="656.16"/>
    <n v="1885817.39"/>
    <n v="0.18836900000000001"/>
    <n v="1.0328999999999999"/>
    <n v="0.19456999999999999"/>
    <s v="DonorCohort:202101+Seasonal(1.033)"/>
    <n v="366923.17"/>
    <n v="436737.51"/>
    <n v="-69814.34"/>
    <x v="1"/>
    <n v="197024.27"/>
    <n v="0.78500000000000003"/>
    <n v="0.24"/>
    <n v="154664.04999999999"/>
    <n v="154664.04999999999"/>
    <n v="47285.82"/>
    <n v="282073.46000000002"/>
    <n v="2044570.26"/>
    <n v="0.137962"/>
    <n v="84849.71"/>
    <n v="85659.93"/>
    <n v="398974.14"/>
    <n v="484634.07"/>
    <n v="1401183.32"/>
    <s v="Forecast"/>
  </r>
  <r>
    <x v="2"/>
    <x v="0"/>
    <s v="202410"/>
    <n v="14"/>
    <n v="2967839.29"/>
    <n v="-6.2397252608280107E-2"/>
    <s v="CohortAvg"/>
    <n v="-2.8998262539596129E-2"/>
    <s v="CohortAvg"/>
    <n v="0.31157481036181839"/>
    <s v="CohortAvg"/>
    <n v="7.6197676176972179E-2"/>
    <s v="CohortAvg_NonZero"/>
    <n v="8.6527889271123895E-5"/>
    <s v="CohortAvg"/>
    <n v="0"/>
    <s v="Zero"/>
    <n v="-2.6636610206432969E-2"/>
    <s v="CohortAvg"/>
    <n v="-4.5074160131910979E-4"/>
    <s v="CohortAvg"/>
    <n v="0"/>
    <n v="-185185.02"/>
    <n v="-86062.18"/>
    <n v="77058.66"/>
    <n v="226142.46"/>
    <n v="256.8"/>
    <n v="-79053.179999999993"/>
    <n v="-1337.73"/>
    <n v="2547251.4900000002"/>
    <n v="0.163996"/>
    <n v="1.0328999999999999"/>
    <n v="0.16939499999999999"/>
    <s v="DonorCohort:202101+Seasonal(1.033)"/>
    <n v="431490.5"/>
    <n v="649673.26"/>
    <n v="-218182.76"/>
    <x v="1"/>
    <n v="226142.46"/>
    <n v="0.78500000000000003"/>
    <n v="0.24"/>
    <n v="177521.83"/>
    <n v="177521.83"/>
    <n v="54274.19"/>
    <n v="472151.43"/>
    <n v="2741696.83"/>
    <n v="0.172211"/>
    <n v="-40660.93"/>
    <n v="-40404.129999999997"/>
    <n v="457938.48"/>
    <n v="417534.35"/>
    <n v="2129717.14"/>
    <s v="Forecast"/>
  </r>
  <r>
    <x v="2"/>
    <x v="0"/>
    <s v="202411"/>
    <n v="13"/>
    <n v="3173033.13"/>
    <n v="-6.5724251886824694E-2"/>
    <s v="CohortAvg"/>
    <n v="-2.9793086793450579E-2"/>
    <s v="CohortAvg"/>
    <n v="0.33121756206273528"/>
    <s v="CohortAvg"/>
    <n v="7.2588298920518532E-2"/>
    <s v="CohortAvg_NonZero"/>
    <n v="7.4227995923962568E-5"/>
    <s v="CohortAvg"/>
    <n v="0"/>
    <s v="Zero"/>
    <n v="-2.983741742481455E-2"/>
    <s v="CohortAvg"/>
    <n v="-6.0481323347284842E-4"/>
    <s v="CohortAvg"/>
    <n v="0"/>
    <n v="-208545.23"/>
    <n v="-94534.45"/>
    <n v="87580.36"/>
    <n v="230325.08"/>
    <n v="235.53"/>
    <n v="-94675.11"/>
    <n v="-1919.09"/>
    <n v="2726973.2"/>
    <n v="0.184257"/>
    <n v="1.0328999999999999"/>
    <n v="0.19032299999999999"/>
    <s v="DonorCohort:202101+Seasonal(1.033)"/>
    <n v="519004.9"/>
    <n v="673765.14"/>
    <n v="-154760.24"/>
    <x v="1"/>
    <n v="230325.08"/>
    <n v="0.78500000000000003"/>
    <n v="0.24"/>
    <n v="180805.19"/>
    <n v="180805.19"/>
    <n v="55278.02"/>
    <n v="492959.95"/>
    <n v="2942708.05"/>
    <n v="0.167519"/>
    <n v="26044.94"/>
    <n v="26280.47"/>
    <n v="466408.28"/>
    <n v="492688.75"/>
    <n v="2234284.4500000002"/>
    <s v="Forecast"/>
  </r>
  <r>
    <x v="2"/>
    <x v="0"/>
    <s v="202412"/>
    <n v="12"/>
    <n v="3442630.91"/>
    <n v="-6.365996752533537E-2"/>
    <s v="CohortAvg"/>
    <n v="-3.1259154438314521E-2"/>
    <s v="CohortAvg"/>
    <n v="0.34371875866309631"/>
    <s v="CohortAvg"/>
    <n v="6.2564969733682016E-2"/>
    <s v="CohortAvg_NonZero"/>
    <n v="4.5838961987545779E-5"/>
    <s v="CohortAvg"/>
    <n v="0"/>
    <s v="Zero"/>
    <n v="-3.9529325714599169E-2"/>
    <s v="CohortAvg"/>
    <n v="-6.563047473812318E-4"/>
    <s v="CohortAvg"/>
    <n v="0"/>
    <n v="-219157.77"/>
    <n v="-107613.73"/>
    <n v="98608.07"/>
    <n v="215388.1"/>
    <n v="157.81"/>
    <n v="-136084.88"/>
    <n v="-2259.42"/>
    <n v="2998921.57"/>
    <n v="0.178732"/>
    <n v="1.0328999999999999"/>
    <n v="0.184616"/>
    <s v="DonorCohort:202101+Seasonal(1.033)"/>
    <n v="553649.63"/>
    <n v="633557.86"/>
    <n v="-79908.23"/>
    <x v="1"/>
    <n v="215388.1"/>
    <n v="0.78500000000000003"/>
    <n v="0.24"/>
    <n v="169079.66"/>
    <n v="169079.66"/>
    <n v="51693.14"/>
    <n v="464478.2"/>
    <n v="3227242.81"/>
    <n v="0.143924"/>
    <n v="89171.43"/>
    <n v="89329.24"/>
    <n v="436160.9"/>
    <n v="525490.14"/>
    <n v="2473431.44"/>
    <s v="Forecast"/>
  </r>
  <r>
    <x v="2"/>
    <x v="0"/>
    <s v="202501"/>
    <n v="11"/>
    <n v="3849364"/>
    <n v="-6.0540771774900748E-2"/>
    <s v="CohortAvg"/>
    <n v="-3.0812283537018651E-2"/>
    <s v="CohortAvg"/>
    <n v="0.34787090414209498"/>
    <s v="CohortAvg"/>
    <n v="4.9625222801961237E-2"/>
    <s v="CohortAvg_NonZero"/>
    <n v="6.945179371876016E-5"/>
    <s v="CohortAvg"/>
    <n v="0"/>
    <s v="Zero"/>
    <n v="-5.8397561762815707E-2"/>
    <s v="CohortAvg"/>
    <n v="-1.127499327310003E-3"/>
    <s v="CohortAvg"/>
    <n v="0"/>
    <n v="-233043.47"/>
    <n v="-118607.69"/>
    <n v="111590.14"/>
    <n v="191025.55"/>
    <n v="267.35000000000002"/>
    <n v="-224793.47"/>
    <n v="-4340.16"/>
    <n v="3418010.09"/>
    <n v="0.15490499999999999"/>
    <n v="1.0328999999999999"/>
    <n v="0.16000400000000001"/>
    <s v="DonorCohort:202101+Seasonal(1.033)"/>
    <n v="546896.49"/>
    <n v="624179.57999999996"/>
    <n v="-77283.100000000006"/>
    <x v="1"/>
    <n v="191025.55"/>
    <n v="0.78500000000000003"/>
    <n v="0.24"/>
    <n v="149955.04999999999"/>
    <n v="149955.04999999999"/>
    <n v="45846.13"/>
    <n v="474224.53"/>
    <n v="3658338.45"/>
    <n v="0.12962799999999999"/>
    <n v="72671.960000000006"/>
    <n v="72939.3"/>
    <n v="386826.73"/>
    <n v="459766.03"/>
    <n v="2958244.06"/>
    <s v="Forecast"/>
  </r>
  <r>
    <x v="2"/>
    <x v="0"/>
    <s v="202502"/>
    <n v="10"/>
    <n v="5274222.95"/>
    <n v="-6.0751564843985188E-2"/>
    <s v="CohortAvg"/>
    <n v="-3.2458905495335838E-2"/>
    <s v="CohortAvg"/>
    <n v="0.37371574455000173"/>
    <s v="CohortAvg"/>
    <n v="2.7790919457631749E-2"/>
    <s v="CohortAvg_NonZero"/>
    <n v="7.7641340180331913E-5"/>
    <s v="CohortAvg"/>
    <n v="0"/>
    <s v="Zero"/>
    <n v="-6.088183432230454E-2"/>
    <s v="CohortAvg"/>
    <n v="-1.3164028206208199E-3"/>
    <s v="CohortAvg"/>
    <n v="0"/>
    <n v="-320417.3"/>
    <n v="-171195.5"/>
    <n v="164255.01"/>
    <n v="146575.51"/>
    <n v="409.5"/>
    <n v="-321104.37"/>
    <n v="-6943"/>
    <n v="4799880.16"/>
    <n v="0.136487"/>
    <n v="1.0328999999999999"/>
    <n v="0.14097999999999999"/>
    <s v="DonorCohort:202101+Seasonal(1.033)"/>
    <n v="676685.62"/>
    <n v="752301.62"/>
    <n v="-75616"/>
    <x v="1"/>
    <n v="146575.51"/>
    <n v="0.78500000000000003"/>
    <n v="0.24"/>
    <n v="115061.77"/>
    <n v="115061.77"/>
    <n v="35178.120000000003"/>
    <n v="637239.84"/>
    <n v="5127647.4400000004"/>
    <n v="0.124275"/>
    <n v="39445.769999999997"/>
    <n v="39855.269999999997"/>
    <n v="296815.40000000002"/>
    <n v="336670.67"/>
    <n v="4463209.49"/>
    <s v="Forecast"/>
  </r>
  <r>
    <x v="2"/>
    <x v="0"/>
    <s v="202503"/>
    <n v="9"/>
    <n v="6759977.71"/>
    <n v="-5.4196805621005373E-2"/>
    <s v="CohortAvg"/>
    <n v="-3.4816585961670629E-2"/>
    <s v="CohortAvg"/>
    <n v="0.42936496808351943"/>
    <s v="CohortAvg"/>
    <n v="2.337347755521255E-2"/>
    <s v="CohortAvg_NonZero"/>
    <n v="9.3431841695694029E-6"/>
    <s v="CohortAvg"/>
    <n v="0"/>
    <s v="Zero"/>
    <n v="0"/>
    <s v="CohortAvg"/>
    <n v="0"/>
    <s v="CohortAvg"/>
    <n v="0"/>
    <n v="-366369.2"/>
    <n v="-235359.35"/>
    <n v="241874.8"/>
    <n v="158004.19"/>
    <n v="63.16"/>
    <n v="0"/>
    <n v="0"/>
    <n v="6242056.6200000001"/>
    <n v="0.120061"/>
    <n v="1.0328999999999999"/>
    <n v="0.124014"/>
    <s v="DonorCohort:202101+Seasonal(1.033)"/>
    <n v="774100.22"/>
    <n v="833445.57"/>
    <n v="-59345.36"/>
    <x v="1"/>
    <n v="158004.19"/>
    <n v="0.78500000000000003"/>
    <n v="0.24"/>
    <n v="124033.29"/>
    <n v="124033.29"/>
    <n v="37921"/>
    <n v="709412.29"/>
    <n v="6601973.5199999996"/>
    <n v="0.10745499999999999"/>
    <n v="64687.93"/>
    <n v="64751.09"/>
    <n v="319958.48"/>
    <n v="384709.57"/>
    <n v="5857347.0499999998"/>
    <s v="Forecast"/>
  </r>
  <r>
    <x v="2"/>
    <x v="0"/>
    <s v="202504"/>
    <n v="8"/>
    <n v="8324627.9199999999"/>
    <n v="-5.2367413695749342E-2"/>
    <s v="CohortAvg"/>
    <n v="-3.6500896008250593E-2"/>
    <s v="CohortAvg"/>
    <n v="0.44068144016056182"/>
    <s v="CohortAvg"/>
    <n v="1.013329171740706E-2"/>
    <s v="CohortAvg_NonZero"/>
    <n v="2.8678693677853529E-6"/>
    <s v="CohortAvg"/>
    <n v="0"/>
    <s v="Zero"/>
    <n v="0"/>
    <s v="CohortAvg"/>
    <n v="0"/>
    <s v="CohortAvg"/>
    <n v="0"/>
    <n v="-435939.23"/>
    <n v="-303856.38"/>
    <n v="305709.08"/>
    <n v="84355.88"/>
    <n v="23.87"/>
    <n v="0"/>
    <n v="0"/>
    <n v="7806161.6299999999"/>
    <n v="0.10377699999999999"/>
    <n v="1.0328999999999999"/>
    <n v="0.107193"/>
    <s v="DonorCohort:202101+Seasonal(1.033)"/>
    <n v="836768.83"/>
    <n v="852860.87"/>
    <n v="-16092.04"/>
    <x v="1"/>
    <n v="84355.88"/>
    <n v="0.78500000000000003"/>
    <n v="0.24"/>
    <n v="66219.37"/>
    <n v="66219.37"/>
    <n v="20245.41"/>
    <n v="786641.5"/>
    <n v="8240272.04"/>
    <n v="9.5463000000000006E-2"/>
    <n v="50127.33"/>
    <n v="50151.21"/>
    <n v="170820.66"/>
    <n v="220971.87"/>
    <n v="7585189.7599999998"/>
    <s v="Forecast"/>
  </r>
  <r>
    <x v="2"/>
    <x v="0"/>
    <s v="202505"/>
    <n v="7"/>
    <n v="9644120.5099999998"/>
    <n v="-3.429004880306559E-2"/>
    <s v="CohortAvg"/>
    <n v="-2.6957639231872051E-2"/>
    <s v="CohortAvg"/>
    <n v="0.32500752697768631"/>
    <s v="CohortAvg"/>
    <n v="0"/>
    <s v="CohortAvg_NoData_ERROR"/>
    <n v="6.8131303365555426E-7"/>
    <s v="CohortAvg"/>
    <n v="0"/>
    <s v="Zero"/>
    <n v="0"/>
    <s v="CohortAvg"/>
    <n v="0"/>
    <s v="CohortAvg"/>
    <n v="0"/>
    <n v="-330697.36"/>
    <n v="-259982.72"/>
    <n v="261200.98"/>
    <n v="0"/>
    <n v="6.57"/>
    <n v="0"/>
    <n v="0"/>
    <n v="9314634.8399999999"/>
    <n v="8.6235000000000006E-2"/>
    <n v="1.0328999999999999"/>
    <n v="8.9074E-2"/>
    <s v="DonorCohort:202101+Seasonal(1.033)"/>
    <n v="829688.68"/>
    <n v="859686.76"/>
    <n v="-29998.080000000002"/>
    <x v="1"/>
    <n v="0"/>
    <n v="0.78500000000000003"/>
    <n v="0.24"/>
    <n v="0"/>
    <n v="0"/>
    <n v="0"/>
    <n v="859686.76"/>
    <n v="9644120.5099999998"/>
    <n v="8.9140999999999998E-2"/>
    <n v="-29998.080000000002"/>
    <n v="-29991.51"/>
    <n v="0"/>
    <n v="-29991.51"/>
    <n v="9344626.3499999996"/>
    <s v="Forecast"/>
  </r>
  <r>
    <x v="2"/>
    <x v="0"/>
    <s v="202506"/>
    <n v="6"/>
    <n v="10725725.91"/>
    <n v="-2.8294988779900301E-2"/>
    <s v="CohortAvg"/>
    <n v="-2.3921396764562688E-2"/>
    <s v="CohortAvg"/>
    <n v="0.28759061654731338"/>
    <s v="CohortAvg"/>
    <n v="0"/>
    <s v="CohortAvg_NoData_ERROR"/>
    <n v="0"/>
    <s v="CohortAvg"/>
    <n v="0"/>
    <s v="Zero"/>
    <n v="0"/>
    <s v="CohortAvg"/>
    <n v="0"/>
    <s v="CohortAvg"/>
    <n v="0"/>
    <n v="-303484.28999999998"/>
    <n v="-256574.35"/>
    <n v="257051.51"/>
    <n v="0"/>
    <n v="0"/>
    <n v="0"/>
    <n v="0"/>
    <n v="10422718.779999999"/>
    <n v="7.5032000000000001E-2"/>
    <n v="1.0328999999999999"/>
    <n v="7.7502000000000001E-2"/>
    <s v="DonorCohort:202101+Seasonal(1.033)"/>
    <n v="807782.81"/>
    <n v="682808.33"/>
    <n v="124974.48"/>
    <x v="1"/>
    <n v="0"/>
    <n v="0.78500000000000003"/>
    <n v="0.24"/>
    <n v="0"/>
    <n v="0"/>
    <n v="0"/>
    <n v="682808.33"/>
    <n v="10725725.91"/>
    <n v="6.3660999999999995E-2"/>
    <n v="124974.48"/>
    <n v="124974.48"/>
    <n v="0"/>
    <n v="124974.48"/>
    <n v="10297744.300000001"/>
    <s v="Forecast"/>
  </r>
  <r>
    <x v="2"/>
    <x v="0"/>
    <s v="202507"/>
    <n v="5"/>
    <n v="13508660.83"/>
    <n v="-2.1779973971141169E-2"/>
    <s v="CohortAvg"/>
    <n v="-2.0523539834839111E-2"/>
    <s v="CohortAvg"/>
    <n v="0.22986216068960971"/>
    <s v="CohortAvg"/>
    <n v="0"/>
    <s v="CohortAvg_NoData_ERROR"/>
    <n v="6.6641135362032687E-6"/>
    <s v="CohortAvg"/>
    <n v="0"/>
    <s v="Zero"/>
    <n v="0"/>
    <s v="CohortAvg"/>
    <n v="0"/>
    <s v="CohortAvg"/>
    <n v="0"/>
    <n v="-294218.28000000003"/>
    <n v="-277245.53999999998"/>
    <n v="258760.83"/>
    <n v="0"/>
    <n v="90.02"/>
    <n v="0"/>
    <n v="0"/>
    <n v="13195867.82"/>
    <n v="5.3585000000000001E-2"/>
    <n v="1.0328999999999999"/>
    <n v="5.5349000000000002E-2"/>
    <s v="DonorCohort:202101+Seasonal(1.033)"/>
    <n v="730375.25"/>
    <n v="539765.09"/>
    <n v="190610.15"/>
    <x v="1"/>
    <n v="0"/>
    <n v="0.78500000000000003"/>
    <n v="0.24"/>
    <n v="0"/>
    <n v="0"/>
    <n v="0"/>
    <n v="539765.09"/>
    <n v="13508660.83"/>
    <n v="3.9956999999999999E-2"/>
    <n v="190610.15"/>
    <n v="190700.18"/>
    <n v="0"/>
    <n v="190700.18"/>
    <n v="13005167.640000001"/>
    <s v="Forecast"/>
  </r>
  <r>
    <x v="2"/>
    <x v="0"/>
    <s v="202508"/>
    <n v="4"/>
    <n v="10582346.6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0582346.66"/>
    <n v="3.3633000000000003E-2"/>
    <n v="1.0328999999999999"/>
    <n v="3.474E-2"/>
    <s v="DonorCohort:202101+Seasonal(1.033)"/>
    <n v="367629.59"/>
    <n v="280723.67"/>
    <n v="86905.919999999998"/>
    <x v="1"/>
    <n v="0"/>
    <n v="0.78500000000000003"/>
    <n v="0.24"/>
    <n v="0"/>
    <n v="0"/>
    <n v="0"/>
    <n v="280723.67"/>
    <n v="10582346.66"/>
    <n v="2.6527999999999999E-2"/>
    <n v="86905.919999999998"/>
    <n v="86905.919999999998"/>
    <n v="0"/>
    <n v="86905.919999999998"/>
    <n v="10495440.74"/>
    <s v="Forecast"/>
  </r>
  <r>
    <x v="2"/>
    <x v="0"/>
    <s v="202509"/>
    <n v="3"/>
    <n v="11481431.4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1481431.49"/>
    <n v="2.2329000000000002E-2"/>
    <n v="1.0328999999999999"/>
    <n v="2.3064000000000001E-2"/>
    <s v="DonorCohort:202101+Seasonal(1.033)"/>
    <n v="264806.76"/>
    <n v="153717.53"/>
    <n v="111089.22"/>
    <x v="1"/>
    <n v="0"/>
    <n v="0.78500000000000003"/>
    <n v="0.24"/>
    <n v="0"/>
    <n v="0"/>
    <n v="0"/>
    <n v="153717.53"/>
    <n v="11481431.49"/>
    <n v="1.3388000000000001E-2"/>
    <n v="111089.22"/>
    <n v="111089.22"/>
    <n v="0"/>
    <n v="111089.22"/>
    <n v="11370342.27"/>
    <s v="Forecast"/>
  </r>
  <r>
    <x v="2"/>
    <x v="1"/>
    <s v="202301"/>
    <n v="25"/>
    <n v="1096585.05"/>
    <n v="-1.6114352746601581E-2"/>
    <s v="CohortAvg"/>
    <n v="-7.8232071566748454E-3"/>
    <s v="CohortAvg"/>
    <n v="0.10930849189679"/>
    <s v="CohortAvg"/>
    <n v="2.3746603922504949E-2"/>
    <s v="CohortAvg_NonZero"/>
    <n v="0"/>
    <s v="CohortAvg"/>
    <n v="0"/>
    <s v="Zero"/>
    <n v="0"/>
    <s v="CohortAvg"/>
    <n v="0"/>
    <s v="CohortAvg"/>
    <n v="0"/>
    <n v="-17670.759999999998"/>
    <n v="-8578.81"/>
    <n v="9988.84"/>
    <n v="26040.17"/>
    <n v="0"/>
    <n v="0"/>
    <n v="0"/>
    <n v="1054284.1499999999"/>
    <n v="0.25569599999999998"/>
    <n v="0.68640000000000001"/>
    <n v="0.17551800000000001"/>
    <s v="CohortTrend+Seasonal(0.686)"/>
    <n v="185046.11"/>
    <n v="148844.32"/>
    <n v="36201.800000000003"/>
    <x v="1"/>
    <n v="26040.17"/>
    <n v="0.78500000000000003"/>
    <n v="0.24"/>
    <n v="20441.53"/>
    <n v="20441.53"/>
    <n v="6249.64"/>
    <n v="128402.78"/>
    <n v="1070544.8799999999"/>
    <n v="0.11994199999999999"/>
    <n v="56643.33"/>
    <n v="56643.33"/>
    <n v="52731.35"/>
    <n v="109374.68"/>
    <n v="944909.47"/>
    <s v="Forecast"/>
  </r>
  <r>
    <x v="2"/>
    <x v="1"/>
    <s v="202404"/>
    <n v="20"/>
    <n v="288589.75"/>
    <n v="-4.6720341023793993E-2"/>
    <s v="CohortAvg"/>
    <n v="-1.496480600802713E-2"/>
    <s v="CohortAvg"/>
    <n v="0.15918322070117269"/>
    <s v="CohortAvg"/>
    <n v="5.0851863239572817E-2"/>
    <s v="CohortAvg_NonZero"/>
    <n v="0"/>
    <s v="CohortAvg"/>
    <n v="0"/>
    <s v="Zero"/>
    <n v="0"/>
    <s v="CohortAvg"/>
    <n v="0"/>
    <s v="CohortAvg"/>
    <n v="0"/>
    <n v="-13483.01"/>
    <n v="-4318.6899999999996"/>
    <n v="3828.22"/>
    <n v="14675.33"/>
    <n v="0"/>
    <n v="0"/>
    <n v="0"/>
    <n v="259940.94"/>
    <n v="0.16120599999999999"/>
    <n v="0.68640000000000001"/>
    <n v="0.11065700000000001"/>
    <s v="CohortTrend+Seasonal(0.686)"/>
    <n v="28764.29"/>
    <n v="29710.7"/>
    <n v="-946.4"/>
    <x v="1"/>
    <n v="14675.33"/>
    <n v="0.78500000000000003"/>
    <n v="0.24"/>
    <n v="11520.13"/>
    <n v="11520.13"/>
    <n v="3522.08"/>
    <n v="18190.57"/>
    <n v="273914.42"/>
    <n v="6.6409999999999997E-2"/>
    <n v="10573.73"/>
    <n v="10573.73"/>
    <n v="29717.54"/>
    <n v="40291.26"/>
    <n v="219649.68"/>
    <s v="Forecast"/>
  </r>
  <r>
    <x v="2"/>
    <x v="1"/>
    <s v="202405"/>
    <n v="19"/>
    <n v="442430.16"/>
    <n v="-2.7788011286177621E-2"/>
    <s v="CohortAvg"/>
    <n v="-1.2994291414659581E-2"/>
    <s v="CohortAvg"/>
    <n v="0.15347368151512539"/>
    <s v="CohortAvg"/>
    <n v="5.7707064923896913E-2"/>
    <s v="CohortAvg_NonZero"/>
    <n v="3.9406021842064104E-6"/>
    <s v="CohortAvg"/>
    <n v="0"/>
    <s v="Zero"/>
    <n v="0"/>
    <s v="CohortAvg"/>
    <n v="0"/>
    <s v="CohortAvg"/>
    <n v="0"/>
    <n v="-12294.25"/>
    <n v="-5749.07"/>
    <n v="5658.45"/>
    <n v="25531.35"/>
    <n v="1.74"/>
    <n v="0"/>
    <n v="0"/>
    <n v="404512.2"/>
    <n v="0.18524499999999999"/>
    <n v="0.68640000000000001"/>
    <n v="0.12715799999999999"/>
    <s v="DonorCohort:202301+Seasonal(0.686)"/>
    <n v="51437.16"/>
    <n v="39440.370000000003"/>
    <n v="11996.79"/>
    <x v="1"/>
    <n v="25531.35"/>
    <n v="0.78500000000000003"/>
    <n v="0.24"/>
    <n v="20042.11"/>
    <n v="20042.11"/>
    <n v="6127.52"/>
    <n v="19398.259999999998"/>
    <n v="416898.82"/>
    <n v="4.6530000000000002E-2"/>
    <n v="32038.9"/>
    <n v="32040.639999999999"/>
    <n v="51700.98"/>
    <n v="83741.62"/>
    <n v="320770.59000000003"/>
    <s v="Forecast"/>
  </r>
  <r>
    <x v="2"/>
    <x v="1"/>
    <s v="202406"/>
    <n v="18"/>
    <n v="248189.75"/>
    <n v="-1.9935374112735701E-2"/>
    <s v="CohortAvg"/>
    <n v="-1.5254743826767701E-2"/>
    <s v="CohortAvg"/>
    <n v="0.1801640496649356"/>
    <s v="CohortAvg"/>
    <n v="5.620844502272148E-2"/>
    <s v="CohortAvg_NonZero"/>
    <n v="0"/>
    <s v="CohortAvg"/>
    <n v="0"/>
    <s v="Zero"/>
    <n v="0"/>
    <s v="CohortAvg"/>
    <n v="0"/>
    <s v="CohortAvg"/>
    <n v="0"/>
    <n v="-4947.76"/>
    <n v="-3786.07"/>
    <n v="3726.24"/>
    <n v="13950.36"/>
    <n v="0"/>
    <n v="0"/>
    <n v="0"/>
    <n v="229231.8"/>
    <n v="0.16040199999999999"/>
    <n v="0.68640000000000001"/>
    <n v="0.110106"/>
    <s v="DonorCohort:202301+Seasonal(0.686)"/>
    <n v="25239.72"/>
    <n v="30340.12"/>
    <n v="-5100.3999999999996"/>
    <x v="1"/>
    <n v="13950.36"/>
    <n v="0.78500000000000003"/>
    <n v="0.24"/>
    <n v="10951.03"/>
    <n v="10951.03"/>
    <n v="3348.09"/>
    <n v="19389.080000000002"/>
    <n v="234239.39"/>
    <n v="8.2775000000000001E-2"/>
    <n v="5850.63"/>
    <n v="5850.63"/>
    <n v="28249.48"/>
    <n v="34100.11"/>
    <n v="195131.69"/>
    <s v="Forecast"/>
  </r>
  <r>
    <x v="2"/>
    <x v="1"/>
    <s v="202407"/>
    <n v="17"/>
    <n v="438380.31"/>
    <n v="-4.1007080807634558E-2"/>
    <s v="CohortAvg"/>
    <n v="-1.519271760532364E-2"/>
    <s v="CohortAvg"/>
    <n v="0.1722538156190325"/>
    <s v="CohortAvg"/>
    <n v="8.2761551975630093E-2"/>
    <s v="CohortAvg_NonZero"/>
    <n v="0"/>
    <s v="CohortAvg"/>
    <n v="0"/>
    <s v="Zero"/>
    <n v="0"/>
    <s v="CohortAvg"/>
    <n v="0"/>
    <s v="CohortAvg"/>
    <n v="0"/>
    <n v="-17976.7"/>
    <n v="-6660.19"/>
    <n v="6292.72"/>
    <n v="36281.03"/>
    <n v="0"/>
    <n v="0"/>
    <n v="0"/>
    <n v="383755.11"/>
    <n v="0.21996199999999999"/>
    <n v="0.68640000000000001"/>
    <n v="0.15099000000000001"/>
    <s v="DonorCohort:202301+Seasonal(0.686)"/>
    <n v="57943"/>
    <n v="45398.75"/>
    <n v="12544.25"/>
    <x v="1"/>
    <n v="36281.03"/>
    <n v="0.78500000000000003"/>
    <n v="0.24"/>
    <n v="28480.61"/>
    <n v="28480.61"/>
    <n v="8707.4500000000007"/>
    <n v="16918.14"/>
    <n v="402099.28"/>
    <n v="4.2075000000000001E-2"/>
    <n v="41024.870000000003"/>
    <n v="41024.870000000003"/>
    <n v="73469.100000000006"/>
    <n v="114493.96"/>
    <n v="269261.15000000002"/>
    <s v="Forecast"/>
  </r>
  <r>
    <x v="2"/>
    <x v="1"/>
    <s v="202408"/>
    <n v="16"/>
    <n v="537449.52"/>
    <n v="-4.2866971193212318E-2"/>
    <s v="CohortAvg"/>
    <n v="-1.5851005258012491E-2"/>
    <s v="CohortAvg"/>
    <n v="0.18302051403170511"/>
    <s v="CohortAvg"/>
    <n v="0.1104761026857974"/>
    <s v="CohortAvg_NonZero"/>
    <n v="1.2595979299846239E-8"/>
    <s v="CohortAvg"/>
    <n v="0"/>
    <s v="Zero"/>
    <n v="0"/>
    <s v="CohortAvg"/>
    <n v="0"/>
    <s v="CohortAvg"/>
    <n v="0"/>
    <n v="-23038.83"/>
    <n v="-8519.1200000000008"/>
    <n v="8197.02"/>
    <n v="59375.33"/>
    <n v="0.01"/>
    <n v="0"/>
    <n v="0"/>
    <n v="454713.26"/>
    <n v="0.18634100000000001"/>
    <n v="0.68640000000000001"/>
    <n v="0.127911"/>
    <s v="DonorCohort:202301+Seasonal(0.686)"/>
    <n v="58162.61"/>
    <n v="41863.79"/>
    <n v="16298.82"/>
    <x v="1"/>
    <n v="59375.33"/>
    <n v="0.78500000000000003"/>
    <n v="0.24"/>
    <n v="46609.63"/>
    <n v="46609.63"/>
    <n v="14250.08"/>
    <n v="-4745.84"/>
    <n v="478074.19"/>
    <n v="-9.9270000000000001E-3"/>
    <n v="62908.45"/>
    <n v="62908.46"/>
    <n v="120235.04"/>
    <n v="183143.5"/>
    <n v="271569.77"/>
    <s v="Forecast"/>
  </r>
  <r>
    <x v="2"/>
    <x v="1"/>
    <s v="202409"/>
    <n v="15"/>
    <n v="576115.68999999994"/>
    <n v="-3.04586548488168E-2"/>
    <s v="CohortAvg"/>
    <n v="-1.52075517494865E-2"/>
    <s v="CohortAvg"/>
    <n v="0.1841000165243605"/>
    <s v="CohortAvg"/>
    <n v="3.0677837084500181E-2"/>
    <s v="CohortAvg_NonZero"/>
    <n v="0"/>
    <s v="CohortAvg"/>
    <n v="0"/>
    <s v="Zero"/>
    <n v="0"/>
    <s v="CohortAvg"/>
    <n v="0"/>
    <s v="CohortAvg"/>
    <n v="0"/>
    <n v="-17547.71"/>
    <n v="-8761.31"/>
    <n v="8838.58"/>
    <n v="17673.98"/>
    <n v="0"/>
    <n v="0"/>
    <n v="0"/>
    <n v="540971.26"/>
    <n v="0.140157"/>
    <n v="0.68640000000000001"/>
    <n v="9.6209000000000003E-2"/>
    <s v="DonorCohort:202301+Seasonal(0.686)"/>
    <n v="52046.14"/>
    <n v="39567.120000000003"/>
    <n v="12479.02"/>
    <x v="1"/>
    <n v="17673.98"/>
    <n v="0.78500000000000003"/>
    <n v="0.24"/>
    <n v="13874.08"/>
    <n v="13874.08"/>
    <n v="4241.76"/>
    <n v="25693.040000000001"/>
    <n v="558441.71"/>
    <n v="4.6008E-2"/>
    <n v="26353.09"/>
    <n v="26353.09"/>
    <n v="35789.82"/>
    <n v="62142.91"/>
    <n v="478828.35"/>
    <s v="Forecast"/>
  </r>
  <r>
    <x v="2"/>
    <x v="1"/>
    <s v="202410"/>
    <n v="14"/>
    <n v="438057"/>
    <n v="-1.7208778562293959E-2"/>
    <s v="CohortAvg"/>
    <n v="-1.689123167310469E-2"/>
    <s v="CohortAvg"/>
    <n v="0.1903081540011401"/>
    <s v="CohortAvg"/>
    <n v="3.536536966726643E-2"/>
    <s v="CohortAvg_NonZero"/>
    <n v="5.5263255320661294E-6"/>
    <s v="CohortAvg"/>
    <n v="0"/>
    <s v="Zero"/>
    <n v="0"/>
    <s v="CohortAvg"/>
    <n v="0"/>
    <s v="CohortAvg"/>
    <n v="0"/>
    <n v="-7538.43"/>
    <n v="-7399.32"/>
    <n v="6947.15"/>
    <n v="15492.05"/>
    <n v="2.42"/>
    <n v="0"/>
    <n v="0"/>
    <n v="414571.93"/>
    <n v="0.12357700000000001"/>
    <n v="0.68640000000000001"/>
    <n v="8.4828000000000001E-2"/>
    <s v="DonorCohort:202301+Seasonal(0.686)"/>
    <n v="35167.22"/>
    <n v="31213"/>
    <n v="3954.22"/>
    <x v="1"/>
    <n v="15492.05"/>
    <n v="0.78500000000000003"/>
    <n v="0.24"/>
    <n v="12161.26"/>
    <n v="12161.26"/>
    <n v="3718.09"/>
    <n v="19051.740000000002"/>
    <n v="422564.95"/>
    <n v="4.5086000000000001E-2"/>
    <n v="16115.48"/>
    <n v="16117.9"/>
    <n v="31371.4"/>
    <n v="47489.3"/>
    <n v="367082.64"/>
    <s v="Forecast"/>
  </r>
  <r>
    <x v="2"/>
    <x v="1"/>
    <s v="202411"/>
    <n v="13"/>
    <n v="557470.74"/>
    <n v="-3.2894473859475741E-2"/>
    <s v="CohortAvg"/>
    <n v="-1.487902365882701E-2"/>
    <s v="CohortAvg"/>
    <n v="0.17461395126682"/>
    <s v="CohortAvg"/>
    <n v="4.0724890078589711E-2"/>
    <s v="CohortAvg_NonZero"/>
    <n v="0"/>
    <s v="CohortAvg"/>
    <n v="0"/>
    <s v="Zero"/>
    <n v="0"/>
    <s v="CohortAvg"/>
    <n v="0"/>
    <s v="CohortAvg"/>
    <n v="0"/>
    <n v="-18337.71"/>
    <n v="-8294.6200000000008"/>
    <n v="8111.85"/>
    <n v="22702.93"/>
    <n v="0"/>
    <n v="0"/>
    <n v="0"/>
    <n v="516247.33"/>
    <n v="0.12820899999999999"/>
    <n v="0.68640000000000001"/>
    <n v="8.8007000000000002E-2"/>
    <s v="DonorCohort:202301+Seasonal(0.686)"/>
    <n v="45433.49"/>
    <n v="32861.42"/>
    <n v="12572.07"/>
    <x v="1"/>
    <n v="22702.93"/>
    <n v="0.78500000000000003"/>
    <n v="0.24"/>
    <n v="17821.8"/>
    <n v="17821.8"/>
    <n v="5448.7"/>
    <n v="15039.61"/>
    <n v="534767.81000000006"/>
    <n v="2.8124E-2"/>
    <n v="30393.88"/>
    <n v="30393.88"/>
    <n v="45973.440000000002"/>
    <n v="76367.320000000007"/>
    <n v="439880.01"/>
    <s v="Forecast"/>
  </r>
  <r>
    <x v="2"/>
    <x v="1"/>
    <s v="202412"/>
    <n v="12"/>
    <n v="52247.86"/>
    <n v="-8.6421697036452201E-3"/>
    <s v="CohortAvg"/>
    <n v="-1.259057240627939E-2"/>
    <s v="CohortAvg"/>
    <n v="0.1612432497179363"/>
    <s v="CohortAvg"/>
    <n v="0.2"/>
    <s v="CohortAvg_NonZero"/>
    <n v="0"/>
    <s v="CohortAvg"/>
    <n v="0"/>
    <s v="Zero"/>
    <n v="0"/>
    <s v="CohortAvg"/>
    <n v="0"/>
    <s v="CohortAvg"/>
    <n v="0"/>
    <n v="-451.53"/>
    <n v="-657.83"/>
    <n v="702.05"/>
    <n v="10449.57"/>
    <n v="0"/>
    <n v="0"/>
    <n v="0"/>
    <n v="41390.980000000003"/>
    <n v="0.10606699999999999"/>
    <n v="0.68640000000000001"/>
    <n v="7.2807999999999998E-2"/>
    <s v="DonorCohort:202301+Seasonal(0.686)"/>
    <n v="3013.58"/>
    <n v="3187.72"/>
    <n v="-174.13"/>
    <x v="1"/>
    <n v="10449.57"/>
    <n v="0.78500000000000003"/>
    <n v="0.24"/>
    <n v="8202.91"/>
    <n v="8202.91"/>
    <n v="2507.9"/>
    <n v="-5015.2"/>
    <n v="41798.29"/>
    <n v="-0.119986"/>
    <n v="8028.78"/>
    <n v="8028.78"/>
    <n v="21160.38"/>
    <n v="29189.17"/>
    <n v="12201.81"/>
    <s v="Forecast"/>
  </r>
  <r>
    <x v="2"/>
    <x v="1"/>
    <s v="202501"/>
    <n v="11"/>
    <n v="58640.959999999999"/>
    <n v="-1.5011574190400209E-2"/>
    <s v="CohortAvg"/>
    <n v="-1.746308493844682E-2"/>
    <s v="CohortAvg"/>
    <n v="0.20449428666937711"/>
    <s v="CohortAvg"/>
    <n v="0"/>
    <s v="CohortAvg_NoData_ERROR"/>
    <n v="0"/>
    <s v="CohortAvg"/>
    <n v="0"/>
    <s v="Zero"/>
    <n v="0"/>
    <s v="CohortAvg"/>
    <n v="0"/>
    <s v="CohortAvg"/>
    <n v="0"/>
    <n v="-880.29"/>
    <n v="-1024.05"/>
    <n v="999.31"/>
    <n v="0"/>
    <n v="0"/>
    <n v="0"/>
    <n v="0"/>
    <n v="57735.93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58640.959999999999"/>
    <n v="0"/>
    <n v="0"/>
    <n v="0"/>
    <n v="0"/>
    <n v="0"/>
    <n v="57735.93"/>
    <s v="Forecast"/>
  </r>
  <r>
    <x v="2"/>
    <x v="1"/>
    <s v="202502"/>
    <n v="10"/>
    <n v="124094.36"/>
    <n v="-1.3043678205490419E-2"/>
    <s v="CohortAvg"/>
    <n v="-1.76167903785713E-2"/>
    <s v="CohortAvg"/>
    <n v="0.1948137431550252"/>
    <s v="CohortAvg"/>
    <n v="0"/>
    <s v="CohortAvg_NoData_ERROR"/>
    <n v="0"/>
    <s v="CohortAvg"/>
    <n v="0"/>
    <s v="Zero"/>
    <n v="0"/>
    <s v="CohortAvg"/>
    <n v="0"/>
    <s v="CohortAvg"/>
    <n v="0"/>
    <n v="-1618.65"/>
    <n v="-2186.14"/>
    <n v="2014.61"/>
    <n v="0"/>
    <n v="0"/>
    <n v="0"/>
    <n v="0"/>
    <n v="122304.18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24094.36"/>
    <n v="0"/>
    <n v="0"/>
    <n v="0"/>
    <n v="0"/>
    <n v="0"/>
    <n v="122304.18"/>
    <s v="Forecast"/>
  </r>
  <r>
    <x v="2"/>
    <x v="1"/>
    <s v="202503"/>
    <n v="9"/>
    <n v="82276.460000000006"/>
    <n v="-9.850520254362503E-3"/>
    <s v="CohortAvg"/>
    <n v="-1.5645033592339399E-2"/>
    <s v="CohortAvg"/>
    <n v="0.20767877596766959"/>
    <s v="CohortAvg"/>
    <n v="0"/>
    <s v="CohortAvg_NoData_ERROR"/>
    <n v="0"/>
    <s v="CohortAvg"/>
    <n v="0"/>
    <s v="Zero"/>
    <n v="0"/>
    <s v="CohortAvg"/>
    <n v="0"/>
    <s v="CohortAvg"/>
    <n v="0"/>
    <n v="-810.47"/>
    <n v="-1287.22"/>
    <n v="1423.92"/>
    <n v="0"/>
    <n v="0"/>
    <n v="0"/>
    <n v="0"/>
    <n v="81602.7"/>
    <n v="6.5133999999999997E-2"/>
    <n v="0.68640000000000001"/>
    <n v="4.471E-2"/>
    <s v="DonorCohort:202301+Seasonal(0.686)"/>
    <n v="3648.46"/>
    <n v="2232.7800000000002"/>
    <n v="1415.68"/>
    <x v="1"/>
    <n v="0"/>
    <n v="0.78500000000000003"/>
    <n v="0.24"/>
    <n v="0"/>
    <n v="0"/>
    <n v="0"/>
    <n v="2232.7800000000002"/>
    <n v="82276.460000000006"/>
    <n v="2.7137999999999999E-2"/>
    <n v="1415.68"/>
    <n v="1415.68"/>
    <n v="0"/>
    <n v="1415.68"/>
    <n v="80187.02"/>
    <s v="Forecast"/>
  </r>
  <r>
    <x v="2"/>
    <x v="1"/>
    <s v="202504"/>
    <n v="8"/>
    <n v="60190.07"/>
    <n v="-2.047913846137055E-2"/>
    <s v="CohortAvg"/>
    <n v="-1.6755151048054182E-2"/>
    <s v="CohortAvg"/>
    <n v="0.2030269953477529"/>
    <s v="CohortAvg"/>
    <n v="0"/>
    <s v="CohortAvg_NoData_ERROR"/>
    <n v="0"/>
    <s v="CohortAvg"/>
    <n v="0"/>
    <s v="Zero"/>
    <n v="0"/>
    <s v="CohortAvg"/>
    <n v="0"/>
    <s v="CohortAvg"/>
    <n v="0"/>
    <n v="-1232.6400000000001"/>
    <n v="-1008.49"/>
    <n v="1018.35"/>
    <n v="0"/>
    <n v="0"/>
    <n v="0"/>
    <n v="0"/>
    <n v="58967.29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60190.07"/>
    <n v="0"/>
    <n v="0"/>
    <n v="0"/>
    <n v="0"/>
    <n v="0"/>
    <n v="58967.29"/>
    <s v="Forecast"/>
  </r>
  <r>
    <x v="2"/>
    <x v="1"/>
    <s v="202505"/>
    <n v="7"/>
    <n v="16315.08"/>
    <n v="-7.5184968067264681E-3"/>
    <s v="CohortAvg"/>
    <n v="-1.227736905831316E-2"/>
    <s v="CohortAvg"/>
    <n v="0.14842856721117301"/>
    <s v="CohortAvg"/>
    <n v="0"/>
    <s v="CohortAvg_NoData_ERROR"/>
    <n v="0"/>
    <s v="CohortAvg"/>
    <n v="0"/>
    <s v="Zero"/>
    <n v="0"/>
    <s v="CohortAvg"/>
    <n v="0"/>
    <s v="CohortAvg"/>
    <n v="0"/>
    <n v="-122.66"/>
    <n v="-200.31"/>
    <n v="201.8"/>
    <n v="0"/>
    <n v="0"/>
    <n v="0"/>
    <n v="0"/>
    <n v="16193.91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6315.08"/>
    <n v="0"/>
    <n v="0"/>
    <n v="0"/>
    <n v="0"/>
    <n v="0"/>
    <n v="16193.91"/>
    <s v="Forecast"/>
  </r>
  <r>
    <x v="2"/>
    <x v="1"/>
    <s v="202506"/>
    <n v="6"/>
    <n v="29748.52"/>
    <n v="-8.954417786622702E-3"/>
    <s v="CohortAvg"/>
    <n v="-1.058620936684926E-2"/>
    <s v="CohortAvg"/>
    <n v="0.1229921196721372"/>
    <s v="CohortAvg"/>
    <n v="0"/>
    <s v="CohortAvg_NoData_ERROR"/>
    <n v="0"/>
    <s v="CohortAvg"/>
    <n v="0"/>
    <s v="Zero"/>
    <n v="0"/>
    <s v="CohortAvg"/>
    <n v="0"/>
    <s v="CohortAvg"/>
    <n v="0"/>
    <n v="-266.38"/>
    <n v="-314.92"/>
    <n v="304.89999999999998"/>
    <n v="0"/>
    <n v="0"/>
    <n v="0"/>
    <n v="0"/>
    <n v="29472.12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29748.52"/>
    <n v="0"/>
    <n v="0"/>
    <n v="0"/>
    <n v="0"/>
    <n v="0"/>
    <n v="29472.12"/>
    <s v="Forecast"/>
  </r>
  <r>
    <x v="2"/>
    <x v="1"/>
    <s v="202507"/>
    <n v="5"/>
    <n v="114199.52"/>
    <n v="-5.7335445823005083E-3"/>
    <s v="CohortAvg"/>
    <n v="-9.2539958305579116E-3"/>
    <s v="CohortAvg"/>
    <n v="0.1025142252527089"/>
    <s v="CohortAvg"/>
    <n v="0"/>
    <s v="CohortAvg_NoData_ERROR"/>
    <n v="0"/>
    <s v="CohortAvg"/>
    <n v="0"/>
    <s v="Zero"/>
    <n v="0"/>
    <s v="CohortAvg"/>
    <n v="0"/>
    <s v="CohortAvg"/>
    <n v="0"/>
    <n v="-654.77"/>
    <n v="-1056.8"/>
    <n v="975.59"/>
    <n v="0"/>
    <n v="0"/>
    <n v="0"/>
    <n v="0"/>
    <n v="113463.54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14199.52"/>
    <n v="0"/>
    <n v="0"/>
    <n v="0"/>
    <n v="0"/>
    <n v="0"/>
    <n v="113463.54"/>
    <s v="Forecast"/>
  </r>
  <r>
    <x v="2"/>
    <x v="1"/>
    <s v="202508"/>
    <n v="4"/>
    <n v="46868.7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46868.77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46868.77"/>
    <n v="0"/>
    <n v="0"/>
    <n v="0"/>
    <n v="0"/>
    <n v="0"/>
    <n v="46868.77"/>
    <s v="Forecast"/>
  </r>
  <r>
    <x v="2"/>
    <x v="1"/>
    <s v="202509"/>
    <n v="3"/>
    <n v="15353.3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5353.37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2"/>
    <x v="2"/>
    <s v="202101"/>
    <n v="59"/>
    <n v="2262351.4900000002"/>
    <n v="-0.17112824253028461"/>
    <s v="CohortAvg"/>
    <n v="-1.2812461607912339E-2"/>
    <s v="CohortAvg"/>
    <n v="0.13512716288229609"/>
    <s v="CohortAvg"/>
    <n v="1.694992481720457E-2"/>
    <s v="CohortAvg_NonZero"/>
    <n v="0"/>
    <s v="CohortAvg"/>
    <n v="0"/>
    <s v="Zero"/>
    <n v="0"/>
    <s v="CohortAvg"/>
    <n v="0"/>
    <s v="CohortAvg"/>
    <n v="0"/>
    <n v="-387152.24"/>
    <n v="-28986.29"/>
    <n v="25475.43"/>
    <n v="38346.69"/>
    <n v="0"/>
    <n v="0"/>
    <n v="0"/>
    <n v="1833341.71"/>
    <n v="0.261569"/>
    <n v="1.1053999999999999"/>
    <n v="0.28914600000000001"/>
    <s v="CohortAvg+Seasonal(1.105)"/>
    <n v="530103.94999999995"/>
    <n v="569744.74"/>
    <n v="-39640.800000000003"/>
    <x v="1"/>
    <n v="38346.69"/>
    <n v="0.78500000000000003"/>
    <n v="0.24"/>
    <n v="30102.15"/>
    <n v="30102.15"/>
    <n v="9203.2099999999991"/>
    <n v="539642.59"/>
    <n v="2224004.81"/>
    <n v="0.242645"/>
    <n v="-9538.65"/>
    <n v="-9538.65"/>
    <n v="77652.039999999994"/>
    <n v="68113.399999999994"/>
    <n v="1765228.31"/>
    <s v="Forecast"/>
  </r>
  <r>
    <x v="2"/>
    <x v="2"/>
    <s v="202201"/>
    <n v="39"/>
    <n v="166229.99"/>
    <n v="-7.4387696440160828E-2"/>
    <s v="CohortAvg"/>
    <n v="-1.321573677061642E-2"/>
    <s v="CohortAvg"/>
    <n v="0.14789000518318821"/>
    <s v="CohortAvg"/>
    <n v="2.7437895334099481E-2"/>
    <s v="CohortAvg_NonZero"/>
    <n v="2.3693492591960889E-7"/>
    <s v="CohortAvg"/>
    <n v="0"/>
    <s v="Zero"/>
    <n v="-1.6561796371300131E-4"/>
    <s v="CohortAvg"/>
    <n v="-7.4773542393237895E-7"/>
    <s v="CohortAvg"/>
    <n v="0"/>
    <n v="-12365.47"/>
    <n v="-2196.85"/>
    <n v="2048.65"/>
    <n v="4561"/>
    <n v="0.04"/>
    <n v="-27.53"/>
    <n v="-0.12"/>
    <n v="149155.28"/>
    <n v="0.20224900000000001"/>
    <n v="1.1053999999999999"/>
    <n v="0.22357299999999999"/>
    <s v="CohortTrend+Seasonal(1.105)"/>
    <n v="33347.050000000003"/>
    <n v="32266.73"/>
    <n v="1080.33"/>
    <x v="1"/>
    <n v="4561"/>
    <n v="0.78500000000000003"/>
    <n v="0.24"/>
    <n v="3580.39"/>
    <n v="3580.39"/>
    <n v="1094.6400000000001"/>
    <n v="28686.34"/>
    <n v="161668.99"/>
    <n v="0.17743900000000001"/>
    <n v="4660.71"/>
    <n v="4660.75"/>
    <n v="9236.0300000000007"/>
    <n v="13896.78"/>
    <n v="135258.5"/>
    <s v="Forecast"/>
  </r>
  <r>
    <x v="2"/>
    <x v="2"/>
    <s v="202301"/>
    <n v="30"/>
    <n v="10851743.23"/>
    <n v="-4.5683084575705059E-2"/>
    <s v="CohortAvg"/>
    <n v="-1.5567586386574871E-2"/>
    <s v="CohortAvg"/>
    <n v="0.17361465856441369"/>
    <s v="CohortAvg"/>
    <n v="1.7229382126528581E-2"/>
    <s v="CohortAvg_NonZero"/>
    <n v="1.1586874043271229E-6"/>
    <s v="CohortAvg"/>
    <n v="0"/>
    <s v="Zero"/>
    <n v="-4.8866211425976237E-3"/>
    <s v="CohortAvg"/>
    <n v="-8.3978859233439008E-6"/>
    <s v="CohortAvg"/>
    <n v="0"/>
    <n v="-495741.1"/>
    <n v="-168935.45"/>
    <n v="157001.81"/>
    <n v="186968.83"/>
    <n v="12.57"/>
    <n v="-53028.36"/>
    <n v="-91.13"/>
    <n v="10157087.08"/>
    <n v="0.16863500000000001"/>
    <n v="1.1053999999999999"/>
    <n v="0.186414"/>
    <s v="CohortTrend+Seasonal(1.105)"/>
    <n v="1893423.16"/>
    <n v="1711566.81"/>
    <n v="181856.35"/>
    <x v="1"/>
    <n v="186968.83"/>
    <n v="0.78500000000000003"/>
    <n v="0.24"/>
    <n v="146770.53"/>
    <n v="146770.53"/>
    <n v="44872.52"/>
    <n v="1564796.28"/>
    <n v="10664774.4"/>
    <n v="0.146726"/>
    <n v="328626.88"/>
    <n v="328639.46000000002"/>
    <n v="378611.88"/>
    <n v="707251.34"/>
    <n v="9449835.7400000002"/>
    <s v="Forecast"/>
  </r>
  <r>
    <x v="2"/>
    <x v="2"/>
    <s v="202404"/>
    <n v="20"/>
    <n v="2774007.57"/>
    <n v="-3.9118236576801801E-2"/>
    <s v="CohortAvg"/>
    <n v="-1.5484690710841119E-2"/>
    <s v="CohortAvg"/>
    <n v="0.17697248096448079"/>
    <s v="CohortAvg"/>
    <n v="2.4853316765051009E-2"/>
    <s v="CohortAvg_NonZero"/>
    <n v="4.5671330212677049E-6"/>
    <s v="CohortAvg"/>
    <n v="0"/>
    <s v="Zero"/>
    <n v="-4.7400117068350928E-3"/>
    <s v="CohortAvg"/>
    <n v="-3.383181909634956E-5"/>
    <s v="CohortAvg"/>
    <n v="0"/>
    <n v="-108514.28"/>
    <n v="-42954.65"/>
    <n v="40910.25"/>
    <n v="68943.289999999994"/>
    <n v="12.67"/>
    <n v="-13148.83"/>
    <n v="-93.85"/>
    <n v="2594492.9300000002"/>
    <n v="0.12479"/>
    <n v="1.1053999999999999"/>
    <n v="0.13794699999999999"/>
    <s v="CohortTrend+Seasonal(1.105)"/>
    <n v="357902.03"/>
    <n v="259815.64"/>
    <n v="98086.39"/>
    <x v="1"/>
    <n v="68943.289999999994"/>
    <n v="0.78500000000000003"/>
    <n v="0.24"/>
    <n v="54120.480000000003"/>
    <n v="54120.480000000003"/>
    <n v="16546.39"/>
    <n v="205695.16"/>
    <n v="2705064.28"/>
    <n v="7.6040999999999997E-2"/>
    <n v="152206.87"/>
    <n v="152219.54"/>
    <n v="139610.16"/>
    <n v="291829.7"/>
    <n v="2302663.23"/>
    <s v="Forecast"/>
  </r>
  <r>
    <x v="2"/>
    <x v="2"/>
    <s v="202405"/>
    <n v="19"/>
    <n v="2575911.73"/>
    <n v="-2.4349701310876059E-2"/>
    <s v="CohortAvg"/>
    <n v="-1.5180728843125669E-2"/>
    <s v="CohortAvg"/>
    <n v="0.17610372805640509"/>
    <s v="CohortAvg"/>
    <n v="2.618728983954877E-2"/>
    <s v="CohortAvg_NonZero"/>
    <n v="5.457617784493817E-6"/>
    <s v="CohortAvg"/>
    <n v="0"/>
    <s v="Zero"/>
    <n v="-5.7039764031215044E-3"/>
    <s v="CohortAvg"/>
    <n v="-4.0819477048064452E-5"/>
    <s v="CohortAvg"/>
    <n v="0"/>
    <n v="-62722.68"/>
    <n v="-39104.22"/>
    <n v="37802.300000000003"/>
    <n v="67456.149999999994"/>
    <n v="14.06"/>
    <n v="-14692.94"/>
    <n v="-105.15"/>
    <n v="2444416.9300000002"/>
    <n v="9.6042000000000002E-2"/>
    <n v="1.1053999999999999"/>
    <n v="0.106168"/>
    <s v="DonorCohort:202101+Seasonal(1.105)"/>
    <n v="259518.89"/>
    <n v="208490.75"/>
    <n v="51028.14"/>
    <x v="1"/>
    <n v="67456.149999999994"/>
    <n v="0.78500000000000003"/>
    <n v="0.24"/>
    <n v="52953.08"/>
    <n v="52953.08"/>
    <n v="16189.48"/>
    <n v="155537.68"/>
    <n v="2508455.58"/>
    <n v="6.2004999999999998E-2"/>
    <n v="103981.21"/>
    <n v="103995.27"/>
    <n v="136598.70000000001"/>
    <n v="240593.97"/>
    <n v="2203822.96"/>
    <s v="Forecast"/>
  </r>
  <r>
    <x v="2"/>
    <x v="2"/>
    <s v="202406"/>
    <n v="18"/>
    <n v="2399822.19"/>
    <n v="-2.9188172419188189E-2"/>
    <s v="CohortAvg"/>
    <n v="-1.489724689579895E-2"/>
    <s v="CohortAvg"/>
    <n v="0.1746924306842961"/>
    <s v="CohortAvg"/>
    <n v="4.563012563158797E-2"/>
    <s v="CohortAvg_NonZero"/>
    <n v="4.8803023610170746E-6"/>
    <s v="CohortAvg"/>
    <n v="0"/>
    <s v="Zero"/>
    <n v="-5.0705015764451076E-3"/>
    <s v="CohortAvg"/>
    <n v="-5.4844417757399202E-5"/>
    <s v="CohortAvg"/>
    <n v="0"/>
    <n v="-70046.42"/>
    <n v="-35750.74"/>
    <n v="34935.9"/>
    <n v="109504.19"/>
    <n v="11.71"/>
    <n v="-12168.3"/>
    <n v="-131.62"/>
    <n v="2219445.02"/>
    <n v="8.2997000000000001E-2"/>
    <n v="1.1053999999999999"/>
    <n v="9.1746999999999995E-2"/>
    <s v="DonorCohort:202101+Seasonal(1.105)"/>
    <n v="203627.42"/>
    <n v="181275.19"/>
    <n v="22352.240000000002"/>
    <x v="1"/>
    <n v="109504.19"/>
    <n v="0.78500000000000003"/>
    <n v="0.24"/>
    <n v="85960.79"/>
    <n v="85960.79"/>
    <n v="26281.01"/>
    <n v="95314.4"/>
    <n v="2290318"/>
    <n v="4.1616E-2"/>
    <n v="108313.02"/>
    <n v="108324.74"/>
    <n v="221745.98"/>
    <n v="330070.71999999997"/>
    <n v="1889374.3"/>
    <s v="Forecast"/>
  </r>
  <r>
    <x v="2"/>
    <x v="2"/>
    <s v="202407"/>
    <n v="17"/>
    <n v="4111876.31"/>
    <n v="-2.783260969080073E-2"/>
    <s v="CohortAvg"/>
    <n v="-1.5469463126342091E-2"/>
    <s v="CohortAvg"/>
    <n v="0.17791528817979371"/>
    <s v="CohortAvg"/>
    <n v="2.709910439418867E-2"/>
    <s v="CohortAvg_NonZero"/>
    <n v="7.0976426993166764E-6"/>
    <s v="CohortAvg"/>
    <n v="0"/>
    <s v="Zero"/>
    <n v="-5.3544180230086892E-3"/>
    <s v="CohortAvg"/>
    <n v="-4.992735958856062E-5"/>
    <s v="CohortAvg"/>
    <n v="0"/>
    <n v="-114444.25"/>
    <n v="-63608.52"/>
    <n v="60963.8"/>
    <n v="111428.17"/>
    <n v="29.18"/>
    <n v="-22016.7"/>
    <n v="-205.3"/>
    <n v="3883329.99"/>
    <n v="7.7456999999999998E-2"/>
    <n v="1.1053999999999999"/>
    <n v="8.5624000000000006E-2"/>
    <s v="DonorCohort:202101+Seasonal(1.105)"/>
    <n v="332506.12"/>
    <n v="304558.53000000003"/>
    <n v="27947.59"/>
    <x v="1"/>
    <n v="111428.17"/>
    <n v="0.78500000000000003"/>
    <n v="0.24"/>
    <n v="87471.11"/>
    <n v="87471.11"/>
    <n v="26742.76"/>
    <n v="217087.42"/>
    <n v="4000448.14"/>
    <n v="5.4266000000000002E-2"/>
    <n v="115418.7"/>
    <n v="115447.89"/>
    <n v="225642.03"/>
    <n v="341089.92"/>
    <n v="3542240.07"/>
    <s v="Forecast"/>
  </r>
  <r>
    <x v="2"/>
    <x v="2"/>
    <s v="202408"/>
    <n v="16"/>
    <n v="2815725.47"/>
    <n v="-2.663552282077912E-2"/>
    <s v="CohortAvg"/>
    <n v="-1.624554147232506E-2"/>
    <s v="CohortAvg"/>
    <n v="0.19003792074594361"/>
    <s v="CohortAvg"/>
    <n v="1.7116561255673721E-2"/>
    <s v="CohortAvg_NonZero"/>
    <n v="2.1585493499036769E-6"/>
    <s v="CohortAvg"/>
    <n v="0"/>
    <s v="Zero"/>
    <n v="-7.1819942429384451E-3"/>
    <s v="CohortAvg"/>
    <n v="-7.2623315721834987E-5"/>
    <s v="CohortAvg"/>
    <n v="0"/>
    <n v="-74998.320000000007"/>
    <n v="-45742.98"/>
    <n v="44591.22"/>
    <n v="48195.54"/>
    <n v="6.08"/>
    <n v="-20222.52"/>
    <n v="-204.49"/>
    <n v="2691373.77"/>
    <n v="7.5951000000000005E-2"/>
    <n v="1.1053999999999999"/>
    <n v="8.3959000000000006E-2"/>
    <s v="DonorCohort:202101+Seasonal(1.105)"/>
    <n v="225964.79999999999"/>
    <n v="187144.29"/>
    <n v="38820.51"/>
    <x v="1"/>
    <n v="48195.54"/>
    <n v="0.78500000000000003"/>
    <n v="0.24"/>
    <n v="37833.5"/>
    <n v="37833.5"/>
    <n v="11566.93"/>
    <n v="149310.79"/>
    <n v="2767529.93"/>
    <n v="5.3950999999999999E-2"/>
    <n v="76654.009999999995"/>
    <n v="76660.09"/>
    <n v="97595.96"/>
    <n v="174256.05"/>
    <n v="2517117.71"/>
    <s v="Forecast"/>
  </r>
  <r>
    <x v="2"/>
    <x v="2"/>
    <s v="202409"/>
    <n v="15"/>
    <n v="2839705.98"/>
    <n v="-3.0990808976935721E-2"/>
    <s v="CohortAvg"/>
    <n v="-1.6323666743774289E-2"/>
    <s v="CohortAvg"/>
    <n v="0.18798866410275039"/>
    <s v="CohortAvg"/>
    <n v="2.58843915259655E-2"/>
    <s v="CohortAvg_NonZero"/>
    <n v="1.0405725771939149E-5"/>
    <s v="CohortAvg"/>
    <n v="0"/>
    <s v="Zero"/>
    <n v="-1.480224665044106E-2"/>
    <s v="CohortAvg"/>
    <n v="-1.247266659939312E-4"/>
    <s v="CohortAvg"/>
    <n v="0"/>
    <n v="-88004.79"/>
    <n v="-46354.41"/>
    <n v="44486.04"/>
    <n v="73504.06"/>
    <n v="29.55"/>
    <n v="-42034.03"/>
    <n v="-354.19"/>
    <n v="2676299.2200000002"/>
    <n v="6.8154000000000006E-2"/>
    <n v="1.1053999999999999"/>
    <n v="7.5339000000000003E-2"/>
    <s v="DonorCohort:202101+Seasonal(1.105)"/>
    <n v="201630.85"/>
    <n v="155141.57999999999"/>
    <n v="46489.27"/>
    <x v="1"/>
    <n v="73504.06"/>
    <n v="0.78500000000000003"/>
    <n v="0.24"/>
    <n v="57700.69"/>
    <n v="57700.69"/>
    <n v="17640.97"/>
    <n v="97440.9"/>
    <n v="2766201.92"/>
    <n v="3.5226E-2"/>
    <n v="104189.96"/>
    <n v="104219.51"/>
    <n v="148845.72"/>
    <n v="253065.23"/>
    <n v="2423233.9900000002"/>
    <s v="Forecast"/>
  </r>
  <r>
    <x v="2"/>
    <x v="2"/>
    <s v="202410"/>
    <n v="14"/>
    <n v="2762643.12"/>
    <n v="-3.5476498070159103E-2"/>
    <s v="CohortAvg"/>
    <n v="-1.6265299518993401E-2"/>
    <s v="CohortAvg"/>
    <n v="0.18472877850559299"/>
    <s v="CohortAvg"/>
    <n v="1.9524585883890579E-2"/>
    <s v="CohortAvg_NonZero"/>
    <n v="8.83898558548463E-6"/>
    <s v="CohortAvg"/>
    <n v="0"/>
    <s v="Zero"/>
    <n v="-1.068842325930622E-2"/>
    <s v="CohortAvg"/>
    <n v="-1.278610039537489E-4"/>
    <s v="CohortAvg"/>
    <n v="0"/>
    <n v="-98008.9"/>
    <n v="-44935.22"/>
    <n v="42528.31"/>
    <n v="53939.46"/>
    <n v="24.42"/>
    <n v="-29528.3"/>
    <n v="-353.23"/>
    <n v="2608263.4300000002"/>
    <n v="5.6022000000000002E-2"/>
    <n v="1.1053999999999999"/>
    <n v="6.1928999999999998E-2"/>
    <s v="DonorCohort:202101+Seasonal(1.105)"/>
    <n v="161525.97"/>
    <n v="137329.25"/>
    <n v="24196.71"/>
    <x v="1"/>
    <n v="53939.46"/>
    <n v="0.78500000000000003"/>
    <n v="0.24"/>
    <n v="42342.48"/>
    <n v="42342.48"/>
    <n v="12945.47"/>
    <n v="94986.78"/>
    <n v="2708703.66"/>
    <n v="3.5067000000000001E-2"/>
    <n v="66539.19"/>
    <n v="66563.61"/>
    <n v="109227.41"/>
    <n v="175791.02"/>
    <n v="2432472.41"/>
    <s v="Forecast"/>
  </r>
  <r>
    <x v="2"/>
    <x v="2"/>
    <s v="202411"/>
    <n v="13"/>
    <n v="3060647.86"/>
    <n v="-3.4240415389015233E-2"/>
    <s v="CohortAvg"/>
    <n v="-1.6999169522942632E-2"/>
    <s v="CohortAvg"/>
    <n v="0.19297477212617359"/>
    <s v="CohortAvg"/>
    <n v="1.779835330010026E-2"/>
    <s v="CohortAvg_NonZero"/>
    <n v="5.7928724131967656E-6"/>
    <s v="CohortAvg"/>
    <n v="0"/>
    <s v="Zero"/>
    <n v="-1.340565651064787E-2"/>
    <s v="CohortAvg"/>
    <n v="-1.2469163401020159E-4"/>
    <s v="CohortAvg"/>
    <n v="0"/>
    <n v="-104797.85"/>
    <n v="-52028.47"/>
    <n v="49218.99"/>
    <n v="54474.49"/>
    <n v="17.73"/>
    <n v="-41029.99"/>
    <n v="-381.64"/>
    <n v="2898548.29"/>
    <n v="5.0972999999999997E-2"/>
    <n v="1.1053999999999999"/>
    <n v="5.6347000000000001E-2"/>
    <s v="DonorCohort:202101+Seasonal(1.105)"/>
    <n v="163325.82999999999"/>
    <n v="137316.29999999999"/>
    <n v="26009.53"/>
    <x v="1"/>
    <n v="54474.49"/>
    <n v="0.78500000000000003"/>
    <n v="0.24"/>
    <n v="42762.48"/>
    <n v="42762.48"/>
    <n v="13073.88"/>
    <n v="94553.82"/>
    <n v="3006173.36"/>
    <n v="3.1453000000000002E-2"/>
    <n v="68772.009999999995"/>
    <n v="68789.740000000005"/>
    <n v="110310.85"/>
    <n v="179100.58"/>
    <n v="2719447.71"/>
    <s v="Forecast"/>
  </r>
  <r>
    <x v="2"/>
    <x v="2"/>
    <s v="202412"/>
    <n v="12"/>
    <n v="2570195.2799999998"/>
    <n v="-2.4948255388529701E-2"/>
    <s v="CohortAvg"/>
    <n v="-1.6532942413851611E-2"/>
    <s v="CohortAvg"/>
    <n v="0.19293908369890519"/>
    <s v="CohortAvg"/>
    <n v="2.391876736323284E-2"/>
    <s v="CohortAvg_NonZero"/>
    <n v="5.6091299758847092E-6"/>
    <s v="CohortAvg"/>
    <n v="0"/>
    <s v="Zero"/>
    <n v="-1.564496757191422E-2"/>
    <s v="CohortAvg"/>
    <n v="-1.4497921334769281E-4"/>
    <s v="CohortAvg"/>
    <n v="0"/>
    <n v="-64121.89"/>
    <n v="-42492.89"/>
    <n v="41324.26"/>
    <n v="61475.9"/>
    <n v="14.42"/>
    <n v="-40210.620000000003"/>
    <n v="-372.62"/>
    <n v="2443414.44"/>
    <n v="4.6005999999999998E-2"/>
    <n v="1.1053999999999999"/>
    <n v="5.0855999999999998E-2"/>
    <s v="DonorCohort:202101+Seasonal(1.105)"/>
    <n v="124263.02"/>
    <n v="99376.95"/>
    <n v="24886.07"/>
    <x v="1"/>
    <n v="61475.9"/>
    <n v="0.78500000000000003"/>
    <n v="0.24"/>
    <n v="48258.58"/>
    <n v="48258.58"/>
    <n v="14754.22"/>
    <n v="51118.37"/>
    <n v="2508719.38"/>
    <n v="2.0375999999999998E-2"/>
    <n v="73144.649999999994"/>
    <n v="73159.070000000007"/>
    <n v="124488.7"/>
    <n v="197647.77"/>
    <n v="2245766.67"/>
    <s v="Forecast"/>
  </r>
  <r>
    <x v="2"/>
    <x v="2"/>
    <s v="202501"/>
    <n v="11"/>
    <n v="4661404.7699999996"/>
    <n v="-2.8458689040916411E-2"/>
    <s v="CohortAvg"/>
    <n v="-1.703834054478295E-2"/>
    <s v="CohortAvg"/>
    <n v="0.1948003951235896"/>
    <s v="CohortAvg"/>
    <n v="1.1977116625265559E-2"/>
    <s v="CohortAvg_NonZero"/>
    <n v="3.7552225730191761E-4"/>
    <s v="CohortAvg"/>
    <n v="0"/>
    <s v="Zero"/>
    <n v="-1.83550995629333E-2"/>
    <s v="CohortAvg"/>
    <n v="-1.6314158670920691E-4"/>
    <s v="CohortAvg"/>
    <n v="0"/>
    <n v="-132657.47"/>
    <n v="-79422.600000000006"/>
    <n v="75670.289999999994"/>
    <n v="55830.19"/>
    <n v="1750.46"/>
    <n v="-85560.55"/>
    <n v="-760.47"/>
    <n v="4467414.34"/>
    <n v="3.9648000000000003E-2"/>
    <n v="1.1053999999999999"/>
    <n v="4.3827999999999999E-2"/>
    <s v="DonorCohort:202101+Seasonal(1.105)"/>
    <n v="195799.62"/>
    <n v="149567.9"/>
    <n v="46231.71"/>
    <x v="1"/>
    <n v="55830.19"/>
    <n v="0.78500000000000003"/>
    <n v="0.24"/>
    <n v="43826.7"/>
    <n v="43826.7"/>
    <n v="13399.25"/>
    <n v="105741.21"/>
    <n v="4605574.58"/>
    <n v="2.2959E-2"/>
    <n v="90058.41"/>
    <n v="91808.87"/>
    <n v="113056.13"/>
    <n v="204865"/>
    <n v="4262549.33"/>
    <s v="Forecast"/>
  </r>
  <r>
    <x v="2"/>
    <x v="2"/>
    <s v="202502"/>
    <n v="10"/>
    <n v="4818397.7"/>
    <n v="-3.2957809184791423E-2"/>
    <s v="CohortAvg"/>
    <n v="-1.747776422193947E-2"/>
    <s v="CohortAvg"/>
    <n v="0.2013909107313005"/>
    <s v="CohortAvg"/>
    <n v="7.9645373695133598E-3"/>
    <s v="CohortAvg_NonZero"/>
    <n v="0"/>
    <s v="CohortAvg"/>
    <n v="0"/>
    <s v="Zero"/>
    <n v="-2.105576122973199E-2"/>
    <s v="CohortAvg"/>
    <n v="-1.924944744200385E-4"/>
    <s v="CohortAvg"/>
    <n v="0"/>
    <n v="-158803.82999999999"/>
    <n v="-84214.82"/>
    <n v="80865.13"/>
    <n v="38376.31"/>
    <n v="0"/>
    <n v="-101455.03"/>
    <n v="-927.51"/>
    <n v="4617867.8600000003"/>
    <n v="3.2902000000000001E-2"/>
    <n v="1.1053999999999999"/>
    <n v="3.6371000000000001E-2"/>
    <s v="DonorCohort:202101+Seasonal(1.105)"/>
    <n v="167957.4"/>
    <n v="99510.06"/>
    <n v="68447.34"/>
    <x v="1"/>
    <n v="38376.31"/>
    <n v="0.78500000000000003"/>
    <n v="0.24"/>
    <n v="30125.4"/>
    <n v="30125.4"/>
    <n v="9210.31"/>
    <n v="69384.649999999994"/>
    <n v="4780021.3899999997"/>
    <n v="1.4515999999999999E-2"/>
    <n v="98572.75"/>
    <n v="98572.75"/>
    <n v="77712.02"/>
    <n v="176284.77"/>
    <n v="4441583.09"/>
    <s v="Forecast"/>
  </r>
  <r>
    <x v="2"/>
    <x v="2"/>
    <s v="202503"/>
    <n v="9"/>
    <n v="5876365.8799999999"/>
    <n v="-2.2306208573240359E-2"/>
    <s v="CohortAvg"/>
    <n v="-1.6875069183797688E-2"/>
    <s v="CohortAvg"/>
    <n v="0.20059894134725639"/>
    <s v="CohortAvg"/>
    <n v="7.1848262480383477E-3"/>
    <s v="CohortAvg_NonZero"/>
    <n v="2.7287346020118069E-7"/>
    <s v="CohortAvg"/>
    <n v="0"/>
    <s v="Zero"/>
    <n v="0"/>
    <s v="CohortAvg"/>
    <n v="0"/>
    <s v="CohortAvg"/>
    <n v="0"/>
    <n v="-131079.44"/>
    <n v="-99164.08"/>
    <n v="98232.73"/>
    <n v="42220.67"/>
    <n v="1.6"/>
    <n v="0"/>
    <n v="0"/>
    <n v="5702132.8200000003"/>
    <n v="2.1177000000000001E-2"/>
    <n v="1.1053999999999999"/>
    <n v="2.341E-2"/>
    <s v="DonorCohort:202101+Seasonal(1.105)"/>
    <n v="133486.60999999999"/>
    <n v="88712.41"/>
    <n v="44774.2"/>
    <x v="1"/>
    <n v="42220.67"/>
    <n v="0.78500000000000003"/>
    <n v="0.24"/>
    <n v="33143.22"/>
    <n v="33143.22"/>
    <n v="10132.959999999999"/>
    <n v="55569.19"/>
    <n v="5834145.21"/>
    <n v="9.5250000000000005E-3"/>
    <n v="77917.429999999993"/>
    <n v="77919.03"/>
    <n v="85496.85"/>
    <n v="163415.88"/>
    <n v="5538716.9299999997"/>
    <s v="Forecast"/>
  </r>
  <r>
    <x v="2"/>
    <x v="2"/>
    <s v="202504"/>
    <n v="8"/>
    <n v="7425193.5"/>
    <n v="-2.4067242441858899E-2"/>
    <s v="CohortAvg"/>
    <n v="-1.6665771459956999E-2"/>
    <s v="CohortAvg"/>
    <n v="0.19620169766326481"/>
    <s v="CohortAvg"/>
    <n v="3.260907177009143E-3"/>
    <s v="CohortAvg_NonZero"/>
    <n v="0"/>
    <s v="CohortAvg"/>
    <n v="0"/>
    <s v="Zero"/>
    <n v="0"/>
    <s v="CohortAvg"/>
    <n v="0"/>
    <s v="CohortAvg"/>
    <n v="0"/>
    <n v="-178703.93"/>
    <n v="-123746.58"/>
    <n v="121402.96"/>
    <n v="24212.87"/>
    <n v="0"/>
    <n v="0"/>
    <n v="0"/>
    <n v="7219933.0899999999"/>
    <n v="1.5480000000000001E-2"/>
    <n v="1.1053999999999999"/>
    <n v="1.7111999999999999E-2"/>
    <s v="DonorCohort:202101+Seasonal(1.105)"/>
    <n v="123550.58"/>
    <n v="95430.23"/>
    <n v="28120.35"/>
    <x v="1"/>
    <n v="24212.87"/>
    <n v="0.78500000000000003"/>
    <n v="0.24"/>
    <n v="19007.099999999999"/>
    <n v="19007.099999999999"/>
    <n v="5811.09"/>
    <n v="76423.13"/>
    <n v="7400980.6399999997"/>
    <n v="1.0326E-2"/>
    <n v="47127.45"/>
    <n v="47127.45"/>
    <n v="49031.06"/>
    <n v="96158.5"/>
    <n v="7123774.5899999999"/>
    <s v="Forecast"/>
  </r>
  <r>
    <x v="2"/>
    <x v="2"/>
    <s v="202505"/>
    <n v="7"/>
    <n v="7133694.5899999999"/>
    <n v="-2.0160529807176031E-2"/>
    <s v="CohortAvg"/>
    <n v="-1.2180188556450819E-2"/>
    <s v="CohortAvg"/>
    <n v="0.1424915597300771"/>
    <s v="CohortAvg"/>
    <n v="0"/>
    <s v="CohortAvg_NoData_ERROR"/>
    <n v="0"/>
    <s v="CohortAvg"/>
    <n v="0"/>
    <s v="Zero"/>
    <n v="0"/>
    <s v="CohortAvg"/>
    <n v="0"/>
    <s v="CohortAvg"/>
    <n v="0"/>
    <n v="-143819.06"/>
    <n v="-86889.75"/>
    <n v="84707.61"/>
    <n v="0"/>
    <n v="0"/>
    <n v="0"/>
    <n v="0"/>
    <n v="6987693.3899999997"/>
    <n v="1.3179E-2"/>
    <n v="1.1053999999999999"/>
    <n v="1.4567999999999999E-2"/>
    <s v="DonorCohort:202101+Seasonal(1.105)"/>
    <n v="101800.07"/>
    <n v="64275.66"/>
    <n v="37524.410000000003"/>
    <x v="1"/>
    <n v="0"/>
    <n v="0.78500000000000003"/>
    <n v="0.24"/>
    <n v="0"/>
    <n v="0"/>
    <n v="0"/>
    <n v="64275.66"/>
    <n v="7133694.5899999999"/>
    <n v="9.0100000000000006E-3"/>
    <n v="37524.410000000003"/>
    <n v="37524.410000000003"/>
    <n v="0"/>
    <n v="37524.410000000003"/>
    <n v="6950168.9800000004"/>
    <s v="Forecast"/>
  </r>
  <r>
    <x v="2"/>
    <x v="2"/>
    <s v="202506"/>
    <n v="6"/>
    <n v="7014553.3499999996"/>
    <n v="-1.2571986307391311E-2"/>
    <s v="CohortAvg"/>
    <n v="-1.018185812609335E-2"/>
    <s v="CohortAvg"/>
    <n v="0.1237757451119125"/>
    <s v="CohortAvg"/>
    <n v="0"/>
    <s v="CohortAvg_NoData_ERROR"/>
    <n v="0"/>
    <s v="CohortAvg"/>
    <n v="0"/>
    <s v="Zero"/>
    <n v="0"/>
    <s v="CohortAvg"/>
    <n v="0"/>
    <s v="CohortAvg"/>
    <n v="0"/>
    <n v="-88186.87"/>
    <n v="-71421.19"/>
    <n v="72352.63"/>
    <n v="0"/>
    <n v="0"/>
    <n v="0"/>
    <n v="0"/>
    <n v="6927297.9199999999"/>
    <n v="9.2390000000000007E-3"/>
    <n v="1.1053999999999999"/>
    <n v="1.0213E-2"/>
    <s v="DonorCohort:202101+Seasonal(1.105)"/>
    <n v="70750.899999999994"/>
    <n v="43875.31"/>
    <n v="26875.59"/>
    <x v="1"/>
    <n v="0"/>
    <n v="0.78500000000000003"/>
    <n v="0.24"/>
    <n v="0"/>
    <n v="0"/>
    <n v="0"/>
    <n v="43875.31"/>
    <n v="7014553.3499999996"/>
    <n v="6.2550000000000001E-3"/>
    <n v="26875.59"/>
    <n v="26875.59"/>
    <n v="0"/>
    <n v="26875.59"/>
    <n v="6900422.3300000001"/>
    <s v="Forecast"/>
  </r>
  <r>
    <x v="2"/>
    <x v="2"/>
    <s v="202507"/>
    <n v="5"/>
    <n v="8680064.7200000007"/>
    <n v="-8.1712077692364746E-3"/>
    <s v="CohortAvg"/>
    <n v="-8.5878901119640343E-3"/>
    <s v="CohortAvg"/>
    <n v="9.4623719238669718E-2"/>
    <s v="CohortAvg"/>
    <n v="0"/>
    <s v="CohortAvg_NoData_ERROR"/>
    <n v="0"/>
    <s v="CohortAvg"/>
    <n v="0"/>
    <s v="Zero"/>
    <n v="0"/>
    <s v="CohortAvg"/>
    <n v="0"/>
    <s v="CohortAvg"/>
    <n v="0"/>
    <n v="-70926.61"/>
    <n v="-74543.44"/>
    <n v="68445"/>
    <n v="0"/>
    <n v="0"/>
    <n v="0"/>
    <n v="0"/>
    <n v="8603039.6699999999"/>
    <n v="6.4140000000000004E-3"/>
    <n v="1.1053999999999999"/>
    <n v="7.0899999999999999E-3"/>
    <s v="DonorCohort:202101+Seasonal(1.105)"/>
    <n v="60996.95"/>
    <n v="29321.27"/>
    <n v="31675.68"/>
    <x v="1"/>
    <n v="0"/>
    <n v="0.78500000000000003"/>
    <n v="0.24"/>
    <n v="0"/>
    <n v="0"/>
    <n v="0"/>
    <n v="29321.27"/>
    <n v="8680064.7200000007"/>
    <n v="3.3779999999999999E-3"/>
    <n v="31675.68"/>
    <n v="31675.68"/>
    <n v="0"/>
    <n v="31675.68"/>
    <n v="8571363.9900000002"/>
    <s v="Forecast"/>
  </r>
  <r>
    <x v="2"/>
    <x v="2"/>
    <s v="202508"/>
    <n v="4"/>
    <n v="7533596.419999999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7533596.4199999999"/>
    <n v="3.4640000000000001E-3"/>
    <n v="1.1053999999999999"/>
    <n v="3.8289999999999999E-3"/>
    <s v="DonorCohort:202101+Seasonal(1.105)"/>
    <n v="28846.84"/>
    <n v="17342.75"/>
    <n v="11504.09"/>
    <x v="1"/>
    <n v="0"/>
    <n v="0.78500000000000003"/>
    <n v="0.24"/>
    <n v="0"/>
    <n v="0"/>
    <n v="0"/>
    <n v="17342.75"/>
    <n v="7533596.4199999999"/>
    <n v="2.3019999999999998E-3"/>
    <n v="11504.09"/>
    <n v="11504.09"/>
    <n v="0"/>
    <n v="11504.09"/>
    <n v="7522092.3300000001"/>
    <s v="Forecast"/>
  </r>
  <r>
    <x v="2"/>
    <x v="2"/>
    <s v="202509"/>
    <n v="3"/>
    <n v="8727304.429999999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8727304.4299999997"/>
    <n v="2.3609999999999998E-3"/>
    <n v="1.1053999999999999"/>
    <n v="2.6090000000000002E-3"/>
    <s v="DonorCohort:202101+Seasonal(1.105)"/>
    <n v="22773.599999999999"/>
    <n v="11223.28"/>
    <n v="11550.32"/>
    <x v="1"/>
    <n v="0"/>
    <n v="0.78500000000000003"/>
    <n v="0.24"/>
    <n v="0"/>
    <n v="0"/>
    <n v="0"/>
    <n v="11223.28"/>
    <n v="8727304.4299999997"/>
    <n v="1.286E-3"/>
    <n v="11550.32"/>
    <n v="11550.32"/>
    <n v="0"/>
    <n v="11550.32"/>
    <n v="8715754.1099999994"/>
    <s v="Forecast"/>
  </r>
  <r>
    <x v="2"/>
    <x v="3"/>
    <s v="201912"/>
    <n v="72"/>
    <n v="59492.22"/>
    <n v="-7.9974186024370768E-3"/>
    <s v="CohortAvg"/>
    <n v="-6.7669712348060798E-4"/>
    <s v="CohortAvg"/>
    <n v="0"/>
    <s v="CohortAvg"/>
    <n v="2.6572348057766801E-2"/>
    <s v="CohortAvg_NonZero"/>
    <n v="6.1409801174894088E-6"/>
    <s v="CohortAvg"/>
    <n v="0"/>
    <s v="Zero"/>
    <n v="0"/>
    <s v="CohortAvg"/>
    <n v="0"/>
    <s v="CohortAvg"/>
    <n v="0"/>
    <n v="-475.78"/>
    <n v="-40.26"/>
    <n v="0"/>
    <n v="1580.85"/>
    <n v="0.37"/>
    <n v="0"/>
    <n v="0"/>
    <n v="57394.97"/>
    <n v="0.988676"/>
    <n v="1.0192000000000001"/>
    <n v="1.007692"/>
    <s v="CohortAvg+Seasonal(1.019)"/>
    <n v="57836.47"/>
    <n v="65146.18"/>
    <n v="-7309.71"/>
    <x v="1"/>
    <n v="1580.85"/>
    <n v="0.78500000000000003"/>
    <n v="0.24"/>
    <n v="1240.97"/>
    <n v="1240.97"/>
    <n v="379.4"/>
    <n v="63905.21"/>
    <n v="57911.38"/>
    <n v="1.1034999999999999"/>
    <n v="-6068.74"/>
    <n v="-6068.38"/>
    <n v="3201.22"/>
    <n v="-2867.16"/>
    <n v="60262.13"/>
    <s v="Forecast"/>
  </r>
  <r>
    <x v="2"/>
    <x v="3"/>
    <s v="202001"/>
    <n v="71"/>
    <n v="2042.22"/>
    <n v="-0.5"/>
    <s v="CohortAvg"/>
    <n v="-1.6928251388866931E-4"/>
    <s v="CohortAvg"/>
    <n v="0"/>
    <s v="CohortAvg"/>
    <n v="1.824472975804527E-2"/>
    <s v="CohortAvg_NonZero"/>
    <n v="0"/>
    <s v="CohortAvg"/>
    <n v="0"/>
    <s v="Zero"/>
    <n v="0"/>
    <s v="CohortAvg"/>
    <n v="0"/>
    <s v="CohortAvg"/>
    <n v="0"/>
    <n v="-1021.11"/>
    <n v="-0.35"/>
    <n v="0"/>
    <n v="37.26"/>
    <n v="0"/>
    <n v="0"/>
    <n v="0"/>
    <n v="983.51"/>
    <n v="0.81446799999999997"/>
    <n v="1.0192000000000001"/>
    <n v="0.83013400000000004"/>
    <s v="CohortAvg+Seasonal(1.019)"/>
    <n v="816.44"/>
    <n v="1784.09"/>
    <n v="-967.65"/>
    <x v="1"/>
    <n v="37.26"/>
    <n v="0.78500000000000003"/>
    <n v="0.24"/>
    <n v="29.25"/>
    <n v="29.25"/>
    <n v="8.94"/>
    <n v="1754.84"/>
    <n v="2004.97"/>
    <n v="0.87524800000000003"/>
    <n v="-938.4"/>
    <n v="-938.4"/>
    <n v="75.45"/>
    <n v="-862.95"/>
    <n v="1846.45"/>
    <s v="Forecast"/>
  </r>
  <r>
    <x v="2"/>
    <x v="3"/>
    <s v="202101"/>
    <n v="59"/>
    <n v="1778444.44"/>
    <n v="-0.1087767242320478"/>
    <s v="CohortAvg"/>
    <n v="-9.4400556993079494E-3"/>
    <s v="CohortAvg"/>
    <n v="0.1142907895574376"/>
    <s v="CohortAvg"/>
    <n v="6.6496078926431418E-3"/>
    <s v="CohortAvg_NonZero"/>
    <n v="0"/>
    <s v="CohortAvg"/>
    <n v="0"/>
    <s v="Zero"/>
    <n v="-1.264905768516637E-3"/>
    <s v="CohortAvg"/>
    <n v="-1.3626114296491389E-5"/>
    <s v="CohortAvg"/>
    <n v="0"/>
    <n v="-193453.36"/>
    <n v="-16788.61"/>
    <n v="16938.32"/>
    <n v="11825.96"/>
    <n v="0"/>
    <n v="-2249.56"/>
    <n v="-24.23"/>
    <n v="1573314.82"/>
    <n v="0.27634300000000001"/>
    <n v="1.0192000000000001"/>
    <n v="0.28165800000000002"/>
    <s v="CohortAvg+Seasonal(1.019)"/>
    <n v="443136.4"/>
    <n v="538234.26"/>
    <n v="-95097.86"/>
    <x v="1"/>
    <n v="11825.96"/>
    <n v="0.78500000000000003"/>
    <n v="0.24"/>
    <n v="9283.3799999999992"/>
    <n v="9283.3799999999992"/>
    <n v="2838.23"/>
    <n v="528950.88"/>
    <n v="1766618.48"/>
    <n v="0.29941400000000001"/>
    <n v="-85814.48"/>
    <n v="-85814.48"/>
    <n v="23947.57"/>
    <n v="-61866.91"/>
    <n v="1635181.74"/>
    <s v="Forecast"/>
  </r>
  <r>
    <x v="2"/>
    <x v="3"/>
    <s v="202201"/>
    <n v="39"/>
    <n v="388438.67"/>
    <n v="-8.8441251840807422E-2"/>
    <s v="CohortAvg"/>
    <n v="-1.0662729307495509E-2"/>
    <s v="CohortAvg"/>
    <n v="0.1157064205285068"/>
    <s v="CohortAvg"/>
    <n v="2.391848855127781E-2"/>
    <s v="CohortAvg_NonZero"/>
    <n v="6.686814400253075E-4"/>
    <s v="CohortAvg"/>
    <n v="0"/>
    <s v="Zero"/>
    <n v="-2.147432181870326E-3"/>
    <s v="CohortAvg"/>
    <n v="-1.934629015484976E-5"/>
    <s v="CohortAvg"/>
    <n v="0"/>
    <n v="-34354"/>
    <n v="-4141.82"/>
    <n v="3745.4"/>
    <n v="9290.8700000000008"/>
    <n v="259.74"/>
    <n v="-834.15"/>
    <n v="-7.51"/>
    <n v="344137.65"/>
    <n v="0.314276"/>
    <n v="1.0192000000000001"/>
    <n v="0.32032100000000002"/>
    <s v="CohortTrend+Seasonal(1.019)"/>
    <n v="110234.5"/>
    <n v="131760.95999999999"/>
    <n v="-21526.46"/>
    <x v="1"/>
    <n v="9290.8700000000008"/>
    <n v="0.78500000000000003"/>
    <n v="0.24"/>
    <n v="7293.33"/>
    <n v="7293.33"/>
    <n v="2229.81"/>
    <n v="124467.63"/>
    <n v="379147.81"/>
    <n v="0.32828299999999999"/>
    <n v="-14233.13"/>
    <n v="-13973.39"/>
    <n v="18814"/>
    <n v="4840.62"/>
    <n v="339297.04"/>
    <s v="Forecast"/>
  </r>
  <r>
    <x v="2"/>
    <x v="3"/>
    <s v="202301"/>
    <n v="30"/>
    <n v="4174111.98"/>
    <n v="-7.0284370350360725E-2"/>
    <s v="CohortAvg"/>
    <n v="-1.6111383042091601E-2"/>
    <s v="CohortAvg"/>
    <n v="0.19305383536733259"/>
    <s v="CohortAvg"/>
    <n v="2.0527124145917511E-2"/>
    <s v="CohortAvg_NonZero"/>
    <n v="3.0460732813901561E-5"/>
    <s v="CohortAvg"/>
    <n v="0"/>
    <s v="Zero"/>
    <n v="-2.911498068359354E-3"/>
    <s v="CohortAvg"/>
    <n v="-2.777461285960753E-5"/>
    <s v="CohortAvg"/>
    <n v="0"/>
    <n v="-293374.83"/>
    <n v="-67250.720000000001"/>
    <n v="67152.36"/>
    <n v="85682.51"/>
    <n v="127.15"/>
    <n v="-12152.92"/>
    <n v="-115.93"/>
    <n v="3794829.13"/>
    <n v="0.218306"/>
    <n v="1.0192000000000001"/>
    <n v="0.22250500000000001"/>
    <s v="CohortTrend+Seasonal(1.019)"/>
    <n v="844368.39"/>
    <n v="972489.23"/>
    <n v="-128120.84"/>
    <x v="1"/>
    <n v="85682.51"/>
    <n v="0.78500000000000003"/>
    <n v="0.24"/>
    <n v="67260.77"/>
    <n v="67260.77"/>
    <n v="20563.8"/>
    <n v="905228.45"/>
    <n v="4088429.47"/>
    <n v="0.221412"/>
    <n v="-60860.07"/>
    <n v="-60732.92"/>
    <n v="173507.09"/>
    <n v="112774.17"/>
    <n v="3682054.96"/>
    <s v="Forecast"/>
  </r>
  <r>
    <x v="2"/>
    <x v="3"/>
    <s v="202404"/>
    <n v="20"/>
    <n v="1028060.38"/>
    <n v="-4.9142962006224221E-2"/>
    <s v="CohortAvg"/>
    <n v="-1.745817674585342E-2"/>
    <s v="CohortAvg"/>
    <n v="0.1949880087969687"/>
    <s v="CohortAvg"/>
    <n v="5.2838848524866179E-2"/>
    <s v="CohortAvg_NonZero"/>
    <n v="1.085736002800668E-5"/>
    <s v="CohortAvg"/>
    <n v="0"/>
    <s v="Zero"/>
    <n v="-1.052833248150804E-2"/>
    <s v="CohortAvg"/>
    <n v="-1.129817965800059E-4"/>
    <s v="CohortAvg"/>
    <n v="0"/>
    <n v="-50521.93"/>
    <n v="-17948.060000000001"/>
    <n v="16704.95"/>
    <n v="54321.53"/>
    <n v="11.16"/>
    <n v="-10823.76"/>
    <n v="-116.15"/>
    <n v="921962.65"/>
    <n v="0.13977999999999999"/>
    <n v="1.0192000000000001"/>
    <n v="0.14246900000000001"/>
    <s v="CohortTrend+Seasonal(1.019)"/>
    <n v="131351.14000000001"/>
    <n v="82040.55"/>
    <n v="49310.59"/>
    <x v="1"/>
    <n v="54321.53"/>
    <n v="0.78500000000000003"/>
    <n v="0.24"/>
    <n v="42642.400000000001"/>
    <n v="42642.400000000001"/>
    <n v="13037.17"/>
    <n v="39398.15"/>
    <n v="973738.85"/>
    <n v="4.0460999999999997E-2"/>
    <n v="91952.99"/>
    <n v="91964.15"/>
    <n v="110001.09"/>
    <n v="201965.24"/>
    <n v="719997.41"/>
    <s v="Forecast"/>
  </r>
  <r>
    <x v="2"/>
    <x v="3"/>
    <s v="202405"/>
    <n v="19"/>
    <n v="904593.47"/>
    <n v="-5.1378814983358667E-2"/>
    <s v="CohortAvg"/>
    <n v="-1.794183377299665E-2"/>
    <s v="CohortAvg"/>
    <n v="0.20293077044266361"/>
    <s v="CohortAvg"/>
    <n v="4.1226520445522677E-2"/>
    <s v="CohortAvg_NonZero"/>
    <n v="1.462715364562664E-5"/>
    <s v="CohortAvg"/>
    <n v="0"/>
    <s v="Zero"/>
    <n v="-1.3074327479712241E-2"/>
    <s v="CohortAvg"/>
    <n v="-1.173769237441355E-4"/>
    <s v="CohortAvg"/>
    <n v="0"/>
    <n v="-46476.94"/>
    <n v="-16230.07"/>
    <n v="15297.49"/>
    <n v="37293.24"/>
    <n v="13.23"/>
    <n v="-11826.95"/>
    <n v="-106.18"/>
    <n v="819877.48"/>
    <n v="7.1835999999999997E-2"/>
    <n v="1.0192000000000001"/>
    <n v="7.3218000000000005E-2"/>
    <s v="DonorCohort:202101+Seasonal(1.019)"/>
    <n v="60029.55"/>
    <n v="61976.39"/>
    <n v="-1946.84"/>
    <x v="1"/>
    <n v="37293.24"/>
    <n v="0.78500000000000003"/>
    <n v="0.24"/>
    <n v="29275.19"/>
    <n v="29275.19"/>
    <n v="8950.3799999999992"/>
    <n v="32701.200000000001"/>
    <n v="867300.23"/>
    <n v="3.7705000000000002E-2"/>
    <n v="27328.36"/>
    <n v="27341.59"/>
    <n v="75518.81"/>
    <n v="102860.4"/>
    <n v="717017.08"/>
    <s v="Forecast"/>
  </r>
  <r>
    <x v="2"/>
    <x v="3"/>
    <s v="202406"/>
    <n v="18"/>
    <n v="1085551.53"/>
    <n v="-4.8969566152959297E-2"/>
    <s v="CohortAvg"/>
    <n v="-1.817050169294452E-2"/>
    <s v="CohortAvg"/>
    <n v="0.2065153031664137"/>
    <s v="CohortAvg"/>
    <n v="3.5057838092787882E-2"/>
    <s v="CohortAvg_NonZero"/>
    <n v="9.8799434003080277E-6"/>
    <s v="CohortAvg"/>
    <n v="0"/>
    <s v="Zero"/>
    <n v="-1.6005281832245508E-2"/>
    <s v="CohortAvg"/>
    <n v="-1.486015351786019E-4"/>
    <s v="CohortAvg"/>
    <n v="0"/>
    <n v="-53158.99"/>
    <n v="-19725.02"/>
    <n v="18681.919999999998"/>
    <n v="38057.089999999997"/>
    <n v="10.73"/>
    <n v="-17374.560000000001"/>
    <n v="-161.31"/>
    <n v="993281.63"/>
    <n v="6.1674E-2"/>
    <n v="1.0192000000000001"/>
    <n v="6.2861E-2"/>
    <s v="DonorCohort:202101+Seasonal(1.019)"/>
    <n v="62438.35"/>
    <n v="70836.539999999994"/>
    <n v="-8398.19"/>
    <x v="1"/>
    <n v="38057.089999999997"/>
    <n v="0.78500000000000003"/>
    <n v="0.24"/>
    <n v="29874.82"/>
    <n v="29874.82"/>
    <n v="9133.7000000000007"/>
    <n v="40961.72"/>
    <n v="1047494.44"/>
    <n v="3.9104E-2"/>
    <n v="21476.63"/>
    <n v="21487.35"/>
    <n v="77065.61"/>
    <n v="98552.960000000006"/>
    <n v="894728.67"/>
    <s v="Forecast"/>
  </r>
  <r>
    <x v="2"/>
    <x v="3"/>
    <s v="202407"/>
    <n v="17"/>
    <n v="1053520.26"/>
    <n v="-6.1054183013408848E-2"/>
    <s v="CohortAvg"/>
    <n v="-1.8704783972636509E-2"/>
    <s v="CohortAvg"/>
    <n v="0.210288600624844"/>
    <s v="CohortAvg"/>
    <n v="2.58801561515727E-2"/>
    <s v="CohortAvg_NonZero"/>
    <n v="1.519539801245895E-5"/>
    <s v="CohortAvg"/>
    <n v="0"/>
    <s v="Zero"/>
    <n v="-1.776068101592846E-2"/>
    <s v="CohortAvg"/>
    <n v="-2.0391126043406619E-4"/>
    <s v="CohortAvg"/>
    <n v="0"/>
    <n v="-64321.82"/>
    <n v="-19705.87"/>
    <n v="18461.939999999999"/>
    <n v="27265.27"/>
    <n v="16.010000000000002"/>
    <n v="-18711.240000000002"/>
    <n v="-214.82"/>
    <n v="960673.24"/>
    <n v="5.8741000000000002E-2"/>
    <n v="1.0192000000000001"/>
    <n v="5.9871000000000001E-2"/>
    <s v="DonorCohort:202101+Seasonal(1.019)"/>
    <n v="57516.02"/>
    <n v="64236.71"/>
    <n v="-6720.7"/>
    <x v="1"/>
    <n v="27265.27"/>
    <n v="0.78500000000000003"/>
    <n v="0.24"/>
    <n v="21403.24"/>
    <n v="21403.24"/>
    <n v="6543.66"/>
    <n v="42833.48"/>
    <n v="1026254.99"/>
    <n v="4.1737999999999997E-2"/>
    <n v="14682.54"/>
    <n v="14698.55"/>
    <n v="55212.17"/>
    <n v="69910.720000000001"/>
    <n v="890762.52"/>
    <s v="Forecast"/>
  </r>
  <r>
    <x v="2"/>
    <x v="3"/>
    <s v="202408"/>
    <n v="16"/>
    <n v="1194011.48"/>
    <n v="-4.7372637574014449E-2"/>
    <s v="CohortAvg"/>
    <n v="-1.8988259500642431E-2"/>
    <s v="CohortAvg"/>
    <n v="0.21600178072295911"/>
    <s v="CohortAvg"/>
    <n v="2.7781927987568501E-2"/>
    <s v="CohortAvg_NonZero"/>
    <n v="1.6385202806223881E-5"/>
    <s v="CohortAvg"/>
    <n v="0"/>
    <s v="Zero"/>
    <n v="-1.6527333088531972E-2"/>
    <s v="CohortAvg"/>
    <n v="-1.6828507564286291E-4"/>
    <s v="CohortAvg"/>
    <n v="0"/>
    <n v="-56563.47"/>
    <n v="-22672.2"/>
    <n v="21492.38"/>
    <n v="33171.94"/>
    <n v="19.559999999999999"/>
    <n v="-19733.830000000002"/>
    <n v="-200.93"/>
    <n v="1103076.69"/>
    <n v="5.4886999999999998E-2"/>
    <n v="1.0192000000000001"/>
    <n v="5.5943E-2"/>
    <s v="DonorCohort:202101+Seasonal(1.019)"/>
    <n v="61709.54"/>
    <n v="67754.720000000001"/>
    <n v="-6045.17"/>
    <x v="1"/>
    <n v="33171.94"/>
    <n v="0.78500000000000003"/>
    <n v="0.24"/>
    <n v="26039.97"/>
    <n v="26039.97"/>
    <n v="7961.27"/>
    <n v="41714.74"/>
    <n v="1160839.54"/>
    <n v="3.5935000000000002E-2"/>
    <n v="19994.8"/>
    <n v="20014.37"/>
    <n v="67173.179999999993"/>
    <n v="87187.55"/>
    <n v="1015889.14"/>
    <s v="Forecast"/>
  </r>
  <r>
    <x v="2"/>
    <x v="3"/>
    <s v="202409"/>
    <n v="15"/>
    <n v="1071515.5900000001"/>
    <n v="-6.2597074410703488E-2"/>
    <s v="CohortAvg"/>
    <n v="-1.9473281356440018E-2"/>
    <s v="CohortAvg"/>
    <n v="0.21312317799825339"/>
    <s v="CohortAvg"/>
    <n v="2.924164050531726E-2"/>
    <s v="CohortAvg_NonZero"/>
    <n v="1.396182268757876E-5"/>
    <s v="CohortAvg"/>
    <n v="0"/>
    <s v="Zero"/>
    <n v="-1.927926606966757E-2"/>
    <s v="CohortAvg"/>
    <n v="-1.8337842358242081E-4"/>
    <s v="CohortAvg"/>
    <n v="0"/>
    <n v="-67073.740000000005"/>
    <n v="-20865.919999999998"/>
    <n v="19030.400000000001"/>
    <n v="31332.87"/>
    <n v="14.96"/>
    <n v="-20658.03"/>
    <n v="-196.49"/>
    <n v="971258.49"/>
    <n v="5.1081000000000001E-2"/>
    <n v="1.0192000000000001"/>
    <n v="5.2063999999999999E-2"/>
    <s v="DonorCohort:202101+Seasonal(1.019)"/>
    <n v="50567.57"/>
    <n v="51253.58"/>
    <n v="-686.01"/>
    <x v="1"/>
    <n v="31332.87"/>
    <n v="0.78500000000000003"/>
    <n v="0.24"/>
    <n v="24596.31"/>
    <n v="24596.31"/>
    <n v="7519.89"/>
    <n v="26657.27"/>
    <n v="1040182.72"/>
    <n v="2.5627E-2"/>
    <n v="23910.29"/>
    <n v="23925.25"/>
    <n v="63449.07"/>
    <n v="87374.32"/>
    <n v="883884.17"/>
    <s v="Forecast"/>
  </r>
  <r>
    <x v="2"/>
    <x v="3"/>
    <s v="202410"/>
    <n v="14"/>
    <n v="1033332.1"/>
    <n v="-4.9640368436557787E-2"/>
    <s v="CohortAvg"/>
    <n v="-1.9402809481328481E-2"/>
    <s v="CohortAvg"/>
    <n v="0.2162901110606554"/>
    <s v="CohortAvg"/>
    <n v="2.973036752959754E-2"/>
    <s v="CohortAvg_NonZero"/>
    <n v="6.9867317027389096E-6"/>
    <s v="CohortAvg"/>
    <n v="0"/>
    <s v="Zero"/>
    <n v="-2.774926352954693E-2"/>
    <s v="CohortAvg"/>
    <n v="-2.7648883233106228E-4"/>
    <s v="CohortAvg"/>
    <n v="0"/>
    <n v="-51294.99"/>
    <n v="-20049.55"/>
    <n v="18624.96"/>
    <n v="30721.34"/>
    <n v="7.22"/>
    <n v="-28674.2"/>
    <n v="-285.7"/>
    <n v="949883.96"/>
    <n v="4.3057999999999999E-2"/>
    <n v="1.0192000000000001"/>
    <n v="4.3887000000000002E-2"/>
    <s v="DonorCohort:202101+Seasonal(1.019)"/>
    <n v="41687.18"/>
    <n v="43651.55"/>
    <n v="-1964.37"/>
    <x v="1"/>
    <n v="30721.34"/>
    <n v="0.78500000000000003"/>
    <n v="0.24"/>
    <n v="24116.25"/>
    <n v="24116.25"/>
    <n v="7373.12"/>
    <n v="19535.3"/>
    <n v="1002610.76"/>
    <n v="1.9484000000000001E-2"/>
    <n v="22151.88"/>
    <n v="22159.1"/>
    <n v="62210.720000000001"/>
    <n v="84369.82"/>
    <n v="865514.14"/>
    <s v="Forecast"/>
  </r>
  <r>
    <x v="2"/>
    <x v="3"/>
    <s v="202411"/>
    <n v="13"/>
    <n v="1160280.69"/>
    <n v="-5.1038251304282148E-2"/>
    <s v="CohortAvg"/>
    <n v="-1.9644306090178611E-2"/>
    <s v="CohortAvg"/>
    <n v="0.2250421633498651"/>
    <s v="CohortAvg"/>
    <n v="2.500744374575388E-2"/>
    <s v="CohortAvg_NonZero"/>
    <n v="3.9807127110765878E-6"/>
    <s v="CohortAvg"/>
    <n v="0"/>
    <s v="Zero"/>
    <n v="-3.2872350396579722E-2"/>
    <s v="CohortAvg"/>
    <n v="-3.3320830438195832E-4"/>
    <s v="CohortAvg"/>
    <n v="0"/>
    <n v="-59218.7"/>
    <n v="-22792.91"/>
    <n v="21759.34"/>
    <n v="29015.65"/>
    <n v="4.62"/>
    <n v="-38141.15"/>
    <n v="-386.62"/>
    <n v="1071008.1499999999"/>
    <n v="3.8026999999999998E-2"/>
    <n v="1.0192000000000001"/>
    <n v="3.8758000000000001E-2"/>
    <s v="DonorCohort:202101+Seasonal(1.019)"/>
    <n v="41510.57"/>
    <n v="43611.68"/>
    <n v="-2101.11"/>
    <x v="1"/>
    <n v="29015.65"/>
    <n v="0.78500000000000003"/>
    <n v="0.24"/>
    <n v="22777.29"/>
    <n v="22777.29"/>
    <n v="6963.76"/>
    <n v="20834.39"/>
    <n v="1131265.03"/>
    <n v="1.8416999999999999E-2"/>
    <n v="20676.18"/>
    <n v="20680.8"/>
    <n v="58756.7"/>
    <n v="79437.5"/>
    <n v="991570.65"/>
    <s v="Forecast"/>
  </r>
  <r>
    <x v="2"/>
    <x v="3"/>
    <s v="202412"/>
    <n v="12"/>
    <n v="1234846.77"/>
    <n v="-5.0708638167518423E-2"/>
    <s v="CohortAvg"/>
    <n v="-2.0186024677393489E-2"/>
    <s v="CohortAvg"/>
    <n v="0.22764401045281929"/>
    <s v="CohortAvg"/>
    <n v="2.4722942406418189E-2"/>
    <s v="CohortAvg_NonZero"/>
    <n v="9.7907729836095354E-6"/>
    <s v="CohortAvg"/>
    <n v="0"/>
    <s v="Zero"/>
    <n v="-4.4918402745549778E-2"/>
    <s v="CohortAvg"/>
    <n v="-4.9435231997427091E-4"/>
    <s v="CohortAvg"/>
    <n v="0"/>
    <n v="-62617.4"/>
    <n v="-24926.65"/>
    <n v="23425.46"/>
    <n v="30529.05"/>
    <n v="12.09"/>
    <n v="-55467.34"/>
    <n v="-610.45000000000005"/>
    <n v="1140187.05"/>
    <n v="3.3834999999999997E-2"/>
    <n v="1.0192000000000001"/>
    <n v="3.4486000000000003E-2"/>
    <s v="DonorCohort:202101+Seasonal(1.019)"/>
    <n v="39320.769999999997"/>
    <n v="39011.35"/>
    <n v="309.43"/>
    <x v="1"/>
    <n v="30529.05"/>
    <n v="0.78500000000000003"/>
    <n v="0.24"/>
    <n v="23965.3"/>
    <n v="23965.3"/>
    <n v="7326.97"/>
    <n v="15046.05"/>
    <n v="1204317.73"/>
    <n v="1.2493000000000001E-2"/>
    <n v="24274.73"/>
    <n v="24286.82"/>
    <n v="61821.32"/>
    <n v="86108.14"/>
    <n v="1054078.9099999999"/>
    <s v="Forecast"/>
  </r>
  <r>
    <x v="2"/>
    <x v="3"/>
    <s v="202501"/>
    <n v="11"/>
    <n v="1975260.09"/>
    <n v="-4.9715335434058892E-2"/>
    <s v="CohortAvg"/>
    <n v="-2.0301913543351501E-2"/>
    <s v="CohortAvg"/>
    <n v="0.22809439585100899"/>
    <s v="CohortAvg"/>
    <n v="1.1122878561364119E-2"/>
    <s v="CohortAvg_NonZero"/>
    <n v="2.1366178326707932E-5"/>
    <s v="CohortAvg"/>
    <n v="0"/>
    <s v="Zero"/>
    <n v="-5.1410285099941631E-2"/>
    <s v="CohortAvg"/>
    <n v="-5.90715100191964E-4"/>
    <s v="CohortAvg"/>
    <n v="0"/>
    <n v="-98200.72"/>
    <n v="-40101.56"/>
    <n v="37545.480000000003"/>
    <n v="21970.58"/>
    <n v="42.2"/>
    <n v="-101548.68"/>
    <n v="-1166.82"/>
    <n v="1852490.51"/>
    <n v="2.8438999999999999E-2"/>
    <n v="1.0192000000000001"/>
    <n v="2.8986000000000001E-2"/>
    <s v="DonorCohort:202101+Seasonal(1.019)"/>
    <n v="53695.77"/>
    <n v="46888.75"/>
    <n v="6807.02"/>
    <x v="1"/>
    <n v="21970.58"/>
    <n v="0.78500000000000003"/>
    <n v="0.24"/>
    <n v="17246.900000000001"/>
    <n v="17246.900000000001"/>
    <n v="5272.94"/>
    <n v="29641.85"/>
    <n v="1953289.52"/>
    <n v="1.5174999999999999E-2"/>
    <n v="24053.919999999998"/>
    <n v="24096.12"/>
    <n v="44490.42"/>
    <n v="68586.539999999994"/>
    <n v="1783903.97"/>
    <s v="Forecast"/>
  </r>
  <r>
    <x v="2"/>
    <x v="3"/>
    <s v="202502"/>
    <n v="10"/>
    <n v="2151691.4900000002"/>
    <n v="-5.1175699349649183E-2"/>
    <s v="CohortAvg"/>
    <n v="-1.994145570460704E-2"/>
    <s v="CohortAvg"/>
    <n v="0.2365507695413071"/>
    <s v="CohortAvg"/>
    <n v="1.3625002385223579E-2"/>
    <s v="CohortAvg_NonZero"/>
    <n v="2.3797549068817951E-4"/>
    <s v="CohortAvg"/>
    <n v="0"/>
    <s v="Zero"/>
    <n v="-5.5796431515434272E-2"/>
    <s v="CohortAvg"/>
    <n v="-7.2553134875667519E-4"/>
    <s v="CohortAvg"/>
    <n v="0"/>
    <n v="-110114.32"/>
    <n v="-42907.86"/>
    <n v="42415.360000000001"/>
    <n v="29316.799999999999"/>
    <n v="512.04999999999995"/>
    <n v="-120056.71"/>
    <n v="-1561.12"/>
    <n v="2011255.82"/>
    <n v="2.1368999999999999E-2"/>
    <n v="1.0192000000000001"/>
    <n v="2.1780000000000001E-2"/>
    <s v="DonorCohort:202101+Seasonal(1.019)"/>
    <n v="43804.42"/>
    <n v="44475.01"/>
    <n v="-670.59"/>
    <x v="1"/>
    <n v="29316.799999999999"/>
    <n v="0.78500000000000003"/>
    <n v="0.24"/>
    <n v="23013.69"/>
    <n v="23013.69"/>
    <n v="7036.03"/>
    <n v="21461.32"/>
    <n v="2122374.69"/>
    <n v="1.0111999999999999E-2"/>
    <n v="22343.1"/>
    <n v="22855.15"/>
    <n v="59366.52"/>
    <n v="82221.67"/>
    <n v="1929034.15"/>
    <s v="Forecast"/>
  </r>
  <r>
    <x v="2"/>
    <x v="3"/>
    <s v="202503"/>
    <n v="9"/>
    <n v="2392203.19"/>
    <n v="-4.6574276980029639E-2"/>
    <s v="CohortAvg"/>
    <n v="-2.1786253590182741E-2"/>
    <s v="CohortAvg"/>
    <n v="0.25408153563246583"/>
    <s v="CohortAvg"/>
    <n v="4.6176837495393924E-3"/>
    <s v="CohortAvg_NonZero"/>
    <n v="1.215969063008281E-6"/>
    <s v="CohortAvg"/>
    <n v="0"/>
    <s v="Zero"/>
    <n v="0"/>
    <s v="CohortAvg"/>
    <n v="0"/>
    <s v="CohortAvg"/>
    <n v="0"/>
    <n v="-111415.13"/>
    <n v="-52117.15"/>
    <n v="50651.22"/>
    <n v="11046.44"/>
    <n v="2.91"/>
    <n v="0"/>
    <n v="0"/>
    <n v="2268272.79"/>
    <n v="1.8606999999999999E-2"/>
    <n v="1.0192000000000001"/>
    <n v="1.8964999999999999E-2"/>
    <s v="DonorCohort:202101+Seasonal(1.019)"/>
    <n v="43016.74"/>
    <n v="43171.6"/>
    <n v="-154.85"/>
    <x v="1"/>
    <n v="11046.44"/>
    <n v="0.78500000000000003"/>
    <n v="0.24"/>
    <n v="8671.4500000000007"/>
    <n v="8671.4500000000007"/>
    <n v="2651.15"/>
    <n v="34500.14"/>
    <n v="2381156.75"/>
    <n v="1.4489E-2"/>
    <n v="8516.6"/>
    <n v="8519.51"/>
    <n v="22369.040000000001"/>
    <n v="30888.55"/>
    <n v="2237384.2400000002"/>
    <s v="Forecast"/>
  </r>
  <r>
    <x v="2"/>
    <x v="3"/>
    <s v="202504"/>
    <n v="8"/>
    <n v="2126380.2200000002"/>
    <n v="-5.3847283922234007E-2"/>
    <s v="CohortAvg"/>
    <n v="-2.168418738578641E-2"/>
    <s v="CohortAvg"/>
    <n v="0.25219585728011329"/>
    <s v="CohortAvg"/>
    <n v="2.1791689037598898E-3"/>
    <s v="CohortAvg_NonZero"/>
    <n v="1.530889685372438E-6"/>
    <s v="CohortAvg"/>
    <n v="0"/>
    <s v="Zero"/>
    <n v="0"/>
    <s v="CohortAvg"/>
    <n v="0"/>
    <s v="CohortAvg"/>
    <n v="0"/>
    <n v="-114499.8"/>
    <n v="-46108.83"/>
    <n v="44688.69"/>
    <n v="4633.74"/>
    <n v="3.26"/>
    <n v="0"/>
    <n v="0"/>
    <n v="2005823.28"/>
    <n v="1.6244999999999999E-2"/>
    <n v="1.0192000000000001"/>
    <n v="1.6558E-2"/>
    <s v="DonorCohort:202101+Seasonal(1.019)"/>
    <n v="33212.300000000003"/>
    <n v="29336.06"/>
    <n v="3876.24"/>
    <x v="1"/>
    <n v="4633.74"/>
    <n v="0.78500000000000003"/>
    <n v="0.24"/>
    <n v="3637.49"/>
    <n v="3637.49"/>
    <n v="1112.0999999999999"/>
    <n v="25698.57"/>
    <n v="2121746.4700000002"/>
    <n v="1.2112E-2"/>
    <n v="7513.73"/>
    <n v="7516.98"/>
    <n v="9383.33"/>
    <n v="16900.310000000001"/>
    <n v="1988922.98"/>
    <s v="Forecast"/>
  </r>
  <r>
    <x v="2"/>
    <x v="3"/>
    <s v="202505"/>
    <n v="7"/>
    <n v="2354649.7599999998"/>
    <n v="-3.6280090957890518E-2"/>
    <s v="CohortAvg"/>
    <n v="-1.5803450168026111E-2"/>
    <s v="CohortAvg"/>
    <n v="0.17884249558810211"/>
    <s v="CohortAvg"/>
    <n v="0"/>
    <s v="CohortAvg_NoData_ERROR"/>
    <n v="0"/>
    <s v="CohortAvg"/>
    <n v="0"/>
    <s v="Zero"/>
    <n v="0"/>
    <s v="CohortAvg"/>
    <n v="0"/>
    <s v="CohortAvg"/>
    <n v="0"/>
    <n v="-85426.91"/>
    <n v="-37211.589999999997"/>
    <n v="35092.620000000003"/>
    <n v="0"/>
    <n v="0"/>
    <n v="0"/>
    <n v="0"/>
    <n v="2267103.88"/>
    <n v="1.2418999999999999E-2"/>
    <n v="1.0192000000000001"/>
    <n v="1.2658000000000001E-2"/>
    <s v="DonorCohort:202101+Seasonal(1.019)"/>
    <n v="28697.13"/>
    <n v="27780.59"/>
    <n v="916.54"/>
    <x v="1"/>
    <n v="0"/>
    <n v="0.78500000000000003"/>
    <n v="0.24"/>
    <n v="0"/>
    <n v="0"/>
    <n v="0"/>
    <n v="27780.59"/>
    <n v="2354649.7599999998"/>
    <n v="1.1797999999999999E-2"/>
    <n v="916.54"/>
    <n v="916.54"/>
    <n v="0"/>
    <n v="916.54"/>
    <n v="2266187.34"/>
    <s v="Forecast"/>
  </r>
  <r>
    <x v="2"/>
    <x v="3"/>
    <s v="202506"/>
    <n v="6"/>
    <n v="2691299.87"/>
    <n v="-3.3605826247996538E-2"/>
    <s v="CohortAvg"/>
    <n v="-1.4158445719519431E-2"/>
    <s v="CohortAvg"/>
    <n v="0.16026567957277121"/>
    <s v="CohortAvg"/>
    <n v="0"/>
    <s v="CohortAvg_NoData_ERROR"/>
    <n v="0"/>
    <s v="CohortAvg"/>
    <n v="0"/>
    <s v="Zero"/>
    <n v="0"/>
    <s v="CohortAvg"/>
    <n v="0"/>
    <s v="CohortAvg"/>
    <n v="0"/>
    <n v="-90443.36"/>
    <n v="-38104.620000000003"/>
    <n v="35943.58"/>
    <n v="0"/>
    <n v="0"/>
    <n v="0"/>
    <n v="0"/>
    <n v="2598695.4700000002"/>
    <n v="1.0621E-2"/>
    <n v="1.0192000000000001"/>
    <n v="1.0825E-2"/>
    <s v="DonorCohort:202101+Seasonal(1.019)"/>
    <n v="28130.46"/>
    <n v="20483.25"/>
    <n v="7647.2"/>
    <x v="1"/>
    <n v="0"/>
    <n v="0.78500000000000003"/>
    <n v="0.24"/>
    <n v="0"/>
    <n v="0"/>
    <n v="0"/>
    <n v="20483.25"/>
    <n v="2691299.87"/>
    <n v="7.6109999999999997E-3"/>
    <n v="7647.2"/>
    <n v="7647.2"/>
    <n v="0"/>
    <n v="7647.2"/>
    <n v="2591048.27"/>
    <s v="Forecast"/>
  </r>
  <r>
    <x v="2"/>
    <x v="3"/>
    <s v="202507"/>
    <n v="5"/>
    <n v="3125154.64"/>
    <n v="-1.9882640643906251E-2"/>
    <s v="CohortAvg"/>
    <n v="-1.193971584704278E-2"/>
    <s v="CohortAvg"/>
    <n v="0.12919057837193079"/>
    <s v="CohortAvg"/>
    <n v="0"/>
    <s v="CohortAvg_NoData_ERROR"/>
    <n v="0"/>
    <s v="CohortAvg"/>
    <n v="0"/>
    <s v="Zero"/>
    <n v="0"/>
    <s v="CohortAvg"/>
    <n v="0"/>
    <s v="CohortAvg"/>
    <n v="0"/>
    <n v="-62136.33"/>
    <n v="-37313.46"/>
    <n v="33645.040000000001"/>
    <n v="0"/>
    <n v="0"/>
    <n v="0"/>
    <n v="0"/>
    <n v="3059349.9"/>
    <n v="6.8510000000000003E-3"/>
    <n v="1.0192000000000001"/>
    <n v="6.9829999999999996E-3"/>
    <s v="DonorCohort:202101+Seasonal(1.019)"/>
    <n v="21363.49"/>
    <n v="14874.44"/>
    <n v="6489.05"/>
    <x v="1"/>
    <n v="0"/>
    <n v="0.78500000000000003"/>
    <n v="0.24"/>
    <n v="0"/>
    <n v="0"/>
    <n v="0"/>
    <n v="14874.44"/>
    <n v="3125154.64"/>
    <n v="4.7600000000000003E-3"/>
    <n v="6489.05"/>
    <n v="6489.05"/>
    <n v="0"/>
    <n v="6489.05"/>
    <n v="3052860.85"/>
    <s v="Forecast"/>
  </r>
  <r>
    <x v="2"/>
    <x v="3"/>
    <s v="202508"/>
    <n v="4"/>
    <n v="3257214.86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257214.86"/>
    <n v="4.2849999999999997E-3"/>
    <n v="1.0192000000000001"/>
    <n v="4.3670000000000002E-3"/>
    <s v="DonorCohort:202101+Seasonal(1.019)"/>
    <n v="14224"/>
    <n v="10491.25"/>
    <n v="3732.75"/>
    <x v="1"/>
    <n v="0"/>
    <n v="0.78500000000000003"/>
    <n v="0.24"/>
    <n v="0"/>
    <n v="0"/>
    <n v="0"/>
    <n v="10491.25"/>
    <n v="3257214.86"/>
    <n v="3.2209999999999999E-3"/>
    <n v="3732.75"/>
    <n v="3732.75"/>
    <n v="0"/>
    <n v="3732.75"/>
    <n v="3253482.11"/>
    <s v="Forecast"/>
  </r>
  <r>
    <x v="2"/>
    <x v="3"/>
    <s v="202509"/>
    <n v="3"/>
    <n v="3314123.2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314123.22"/>
    <n v="2.8990000000000001E-3"/>
    <n v="1.0192000000000001"/>
    <n v="2.9550000000000002E-3"/>
    <s v="DonorCohort:202101+Seasonal(1.019)"/>
    <n v="9793.9"/>
    <n v="5792.75"/>
    <n v="4001.15"/>
    <x v="1"/>
    <n v="0"/>
    <n v="0.78500000000000003"/>
    <n v="0.24"/>
    <n v="0"/>
    <n v="0"/>
    <n v="0"/>
    <n v="5792.75"/>
    <n v="3314123.22"/>
    <n v="1.748E-3"/>
    <n v="4001.15"/>
    <n v="4001.15"/>
    <n v="0"/>
    <n v="4001.15"/>
    <n v="3310122.07"/>
    <s v="Forecast"/>
  </r>
  <r>
    <x v="2"/>
    <x v="4"/>
    <s v="202101"/>
    <n v="57"/>
    <n v="2719203.89"/>
    <n v="-0.12964034255208079"/>
    <s v="CohortAvg"/>
    <n v="-9.3576682863329968E-3"/>
    <s v="CohortAvg"/>
    <n v="0.10261777868276729"/>
    <s v="CohortAvg"/>
    <n v="3.8254408417127343E-2"/>
    <s v="CohortAvg_NonZero"/>
    <n v="0"/>
    <s v="CohortAvg"/>
    <n v="0"/>
    <s v="Zero"/>
    <n v="0"/>
    <s v="CohortAvg"/>
    <n v="0"/>
    <s v="CohortAvg"/>
    <n v="0"/>
    <n v="-352518.52"/>
    <n v="-25445.41"/>
    <n v="23253.22"/>
    <n v="104021.54"/>
    <n v="0"/>
    <n v="0"/>
    <n v="0"/>
    <n v="2260471.64"/>
    <n v="0.17033000000000001"/>
    <n v="1.0286999999999999"/>
    <n v="0.17522399999999999"/>
    <s v="CohortAvg+Seasonal(1.029)"/>
    <n v="396088.27"/>
    <n v="400493.2"/>
    <n v="-4404.93"/>
    <x v="1"/>
    <n v="104021.54"/>
    <n v="0.78500000000000003"/>
    <n v="0.24"/>
    <n v="81656.91"/>
    <n v="81656.91"/>
    <n v="24965.17"/>
    <n v="318836.28999999998"/>
    <n v="2615182.35"/>
    <n v="0.121917"/>
    <n v="77251.98"/>
    <n v="77251.98"/>
    <n v="210643.61"/>
    <n v="287895.59000000003"/>
    <n v="1972576.06"/>
    <s v="Forecast"/>
  </r>
  <r>
    <x v="2"/>
    <x v="4"/>
    <s v="202201"/>
    <n v="39"/>
    <n v="98390.32"/>
    <n v="-8.750897453499995E-2"/>
    <s v="CohortAvg"/>
    <n v="-9.4096025270855865E-3"/>
    <s v="CohortAvg"/>
    <n v="0.1025928318632495"/>
    <s v="CohortAvg"/>
    <n v="3.7386948921409487E-2"/>
    <s v="CohortAvg_NonZero"/>
    <n v="3.7067633216247422E-8"/>
    <s v="CohortAvg"/>
    <n v="0"/>
    <s v="Zero"/>
    <n v="0"/>
    <s v="CohortAvg"/>
    <n v="0"/>
    <s v="CohortAvg"/>
    <n v="0"/>
    <n v="-8610.0400000000009"/>
    <n v="-925.81"/>
    <n v="841.18"/>
    <n v="3678.51"/>
    <n v="0"/>
    <n v="0"/>
    <n v="0"/>
    <n v="86017.13"/>
    <n v="4.3083000000000003E-2"/>
    <n v="1.0286999999999999"/>
    <n v="4.4320999999999999E-2"/>
    <s v="CohortTrend+Seasonal(1.029)"/>
    <n v="3812.38"/>
    <n v="3700.51"/>
    <n v="111.87"/>
    <x v="1"/>
    <n v="3678.51"/>
    <n v="0.78500000000000003"/>
    <n v="0.24"/>
    <n v="2887.63"/>
    <n v="2887.63"/>
    <n v="882.84"/>
    <n v="812.87"/>
    <n v="94711.81"/>
    <n v="8.5830000000000004E-3"/>
    <n v="2999.5"/>
    <n v="2999.51"/>
    <n v="7448.99"/>
    <n v="10448.5"/>
    <n v="75568.63"/>
    <s v="Forecast"/>
  </r>
  <r>
    <x v="2"/>
    <x v="4"/>
    <s v="202405"/>
    <n v="19"/>
    <n v="4668.8900000000003"/>
    <n v="-1.6430202164299121E-2"/>
    <s v="CohortAvg"/>
    <n v="-1.0429928671170799E-2"/>
    <s v="CohortAvg"/>
    <n v="0.1216059365361372"/>
    <s v="CohortAvg"/>
    <n v="0"/>
    <s v="CohortAvg_NoData_ERROR"/>
    <n v="0"/>
    <s v="CohortAvg"/>
    <n v="0"/>
    <s v="Zero"/>
    <n v="0"/>
    <s v="CohortAvg"/>
    <n v="0"/>
    <s v="CohortAvg"/>
    <n v="0"/>
    <n v="-76.709999999999994"/>
    <n v="-48.7"/>
    <n v="47.31"/>
    <n v="0"/>
    <n v="0"/>
    <n v="0"/>
    <n v="0"/>
    <n v="4590.8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4668.8900000000003"/>
    <n v="0"/>
    <n v="0"/>
    <n v="0"/>
    <n v="0"/>
    <n v="0"/>
    <n v="4590.8"/>
    <s v="Forecast"/>
  </r>
  <r>
    <x v="2"/>
    <x v="4"/>
    <s v="202407"/>
    <n v="17"/>
    <n v="2783.63"/>
    <n v="-5.1237350604429237E-2"/>
    <s v="CohortAvg"/>
    <n v="-1.046629007417482E-2"/>
    <s v="CohortAvg"/>
    <n v="0.12057935145123121"/>
    <s v="CohortAvg"/>
    <n v="0"/>
    <s v="CohortAvg_NoData_ERROR"/>
    <n v="0"/>
    <s v="CohortAvg"/>
    <n v="0"/>
    <s v="Zero"/>
    <n v="0"/>
    <s v="CohortAvg"/>
    <n v="0"/>
    <s v="CohortAvg"/>
    <n v="0"/>
    <n v="-142.63"/>
    <n v="-29.13"/>
    <n v="27.97"/>
    <n v="0"/>
    <n v="0"/>
    <n v="0"/>
    <n v="0"/>
    <n v="2639.84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2783.63"/>
    <n v="0"/>
    <n v="0"/>
    <n v="0"/>
    <n v="0"/>
    <n v="0"/>
    <n v="2639.84"/>
    <s v="Forecast"/>
  </r>
  <r>
    <x v="2"/>
    <x v="4"/>
    <s v="202409"/>
    <n v="15"/>
    <n v="9354.9599999999991"/>
    <n v="-4.1823948000554528E-2"/>
    <s v="CohortAvg"/>
    <n v="-1.043617414638898E-2"/>
    <s v="CohortAvg"/>
    <n v="0.12088747613387001"/>
    <s v="CohortAvg"/>
    <n v="0"/>
    <s v="CohortAvg_NoData_ERROR"/>
    <n v="0"/>
    <s v="CohortAvg"/>
    <n v="0"/>
    <s v="Zero"/>
    <n v="0"/>
    <s v="CohortAvg"/>
    <n v="0"/>
    <s v="CohortAvg"/>
    <n v="0"/>
    <n v="-391.26"/>
    <n v="-97.63"/>
    <n v="94.24"/>
    <n v="0"/>
    <n v="0"/>
    <n v="0"/>
    <n v="0"/>
    <n v="8960.31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9354.9599999999991"/>
    <n v="0"/>
    <n v="0"/>
    <n v="0"/>
    <n v="0"/>
    <n v="0"/>
    <n v="8960.31"/>
    <s v="Forecast"/>
  </r>
  <r>
    <x v="2"/>
    <x v="4"/>
    <s v="202504"/>
    <n v="8"/>
    <n v="4540.55"/>
    <n v="-1.288832141084457E-2"/>
    <s v="CohortAvg"/>
    <n v="-1.042929868121978E-2"/>
    <s v="CohortAvg"/>
    <n v="0.1231112772902932"/>
    <s v="CohortAvg"/>
    <n v="0"/>
    <s v="CohortAvg_NoData_ERROR"/>
    <n v="0"/>
    <s v="CohortAvg"/>
    <n v="0"/>
    <s v="Zero"/>
    <n v="0"/>
    <s v="CohortAvg"/>
    <n v="0"/>
    <s v="CohortAvg"/>
    <n v="0"/>
    <n v="-58.52"/>
    <n v="-47.35"/>
    <n v="46.58"/>
    <n v="0"/>
    <n v="0"/>
    <n v="0"/>
    <n v="0"/>
    <n v="4481.25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4540.55"/>
    <n v="0"/>
    <n v="0"/>
    <n v="0"/>
    <n v="0"/>
    <n v="0"/>
    <n v="4481.25"/>
    <s v="Forecast"/>
  </r>
  <r>
    <x v="2"/>
    <x v="4"/>
    <s v="202507"/>
    <n v="5"/>
    <n v="9843.27"/>
    <n v="-5.8435711683026796E-3"/>
    <s v="CohortAvg"/>
    <n v="-5.7763171498750789E-3"/>
    <s v="CohortAvg"/>
    <n v="6.8733606833008276E-2"/>
    <s v="CohortAvg"/>
    <n v="0"/>
    <s v="CohortAvg_NoData_ERROR"/>
    <n v="0"/>
    <s v="CohortAvg"/>
    <n v="0"/>
    <s v="Zero"/>
    <n v="0"/>
    <s v="CohortAvg"/>
    <n v="0"/>
    <s v="CohortAvg"/>
    <n v="0"/>
    <n v="-57.52"/>
    <n v="-56.86"/>
    <n v="56.38"/>
    <n v="0"/>
    <n v="0"/>
    <n v="0"/>
    <n v="0"/>
    <n v="9785.27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9843.27"/>
    <n v="0"/>
    <n v="0"/>
    <n v="0"/>
    <n v="0"/>
    <n v="0"/>
    <n v="9785.27"/>
    <s v="Forecast"/>
  </r>
  <r>
    <x v="2"/>
    <x v="4"/>
    <s v="202508"/>
    <n v="4"/>
    <n v="30052.6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0052.62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30052.62"/>
    <n v="0"/>
    <n v="0"/>
    <n v="0"/>
    <n v="0"/>
    <n v="0"/>
    <n v="30052.62"/>
    <s v="Forecast"/>
  </r>
  <r>
    <x v="2"/>
    <x v="4"/>
    <s v="202509"/>
    <n v="3"/>
    <n v="24414.84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4414.84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3"/>
    <x v="0"/>
    <s v="201912"/>
    <n v="73"/>
    <n v="360532.16"/>
    <n v="5.0130768422703281E-3"/>
    <s v="CohortAvg"/>
    <n v="1.9719876901843742E-3"/>
    <s v="CohortAvg"/>
    <n v="0"/>
    <s v="CohortAvg"/>
    <n v="2.9949277982418251E-2"/>
    <s v="CohortAvg_NonZero"/>
    <n v="6.7050174749859167E-4"/>
    <s v="CohortAvg"/>
    <n v="0"/>
    <s v="Zero"/>
    <n v="0"/>
    <s v="CohortAvg"/>
    <n v="0"/>
    <s v="CohortAvg"/>
    <n v="0"/>
    <n v="1807.38"/>
    <n v="710.96"/>
    <n v="0"/>
    <n v="0"/>
    <n v="241.74"/>
    <n v="0"/>
    <n v="0"/>
    <n v="357772.08"/>
    <n v="0.99603600000000003"/>
    <n v="1.0859000000000001"/>
    <n v="1.0816239999999999"/>
    <s v="CohortAvg+Seasonal(1.086)"/>
    <n v="386974.99"/>
    <n v="370938.89"/>
    <n v="16036.1"/>
    <x v="0"/>
    <n v="0"/>
    <n v="0.78500000000000003"/>
    <n v="0.24"/>
    <n v="0"/>
    <n v="0"/>
    <n v="0"/>
    <n v="370938.89"/>
    <n v="360532.16"/>
    <n v="1.0288649999999999"/>
    <n v="16036.1"/>
    <n v="16277.84"/>
    <n v="0"/>
    <n v="16277.84"/>
    <n v="341494.24"/>
    <s v="Forecast"/>
  </r>
  <r>
    <x v="3"/>
    <x v="0"/>
    <s v="202001"/>
    <n v="72"/>
    <n v="88146.15"/>
    <n v="3.5295728968647702E-2"/>
    <s v="CohortAvg"/>
    <n v="1.5101347533119549E-3"/>
    <s v="CohortAvg"/>
    <n v="0"/>
    <s v="CohortAvg"/>
    <n v="1.2315387120503009E-2"/>
    <s v="CohortAvg_NonZero"/>
    <n v="0"/>
    <s v="CohortAvg"/>
    <n v="0"/>
    <s v="Zero"/>
    <n v="0"/>
    <s v="CohortAvg"/>
    <n v="0"/>
    <s v="CohortAvg"/>
    <n v="0"/>
    <n v="3111.18"/>
    <n v="133.11000000000001"/>
    <n v="0"/>
    <n v="0"/>
    <n v="0"/>
    <n v="0"/>
    <n v="0"/>
    <n v="84901.86"/>
    <n v="0.99834100000000003"/>
    <n v="1.0859000000000001"/>
    <n v="1.0841270000000001"/>
    <s v="CohortAvg+Seasonal(1.086)"/>
    <n v="92044.41"/>
    <n v="90904.67"/>
    <n v="1139.75"/>
    <x v="0"/>
    <n v="0"/>
    <n v="0.78500000000000003"/>
    <n v="0.24"/>
    <n v="0"/>
    <n v="0"/>
    <n v="0"/>
    <n v="90904.67"/>
    <n v="88146.15"/>
    <n v="1.0312950000000001"/>
    <n v="1139.75"/>
    <n v="1139.75"/>
    <n v="0"/>
    <n v="1139.75"/>
    <n v="83762.11"/>
    <s v="Forecast"/>
  </r>
  <r>
    <x v="3"/>
    <x v="0"/>
    <s v="202101"/>
    <n v="60"/>
    <n v="793004.46"/>
    <n v="2.1182309212175181E-3"/>
    <s v="CohortAvg"/>
    <n v="-1.2482108935498589E-3"/>
    <s v="CohortAvg"/>
    <n v="0"/>
    <s v="CohortAvg"/>
    <n v="1.545219005588039E-2"/>
    <s v="CohortAvg_NonZero"/>
    <n v="5.8274719071091938E-4"/>
    <s v="CohortAvg"/>
    <n v="0"/>
    <s v="Zero"/>
    <n v="0"/>
    <s v="CohortAvg"/>
    <n v="0"/>
    <s v="CohortAvg"/>
    <n v="0"/>
    <n v="1679.77"/>
    <n v="-989.84"/>
    <n v="0"/>
    <n v="0"/>
    <n v="462.12"/>
    <n v="0"/>
    <n v="0"/>
    <n v="789872.73"/>
    <n v="0.94939399999999996"/>
    <n v="1.0859000000000001"/>
    <n v="1.0309740000000001"/>
    <s v="CohortAvg+Seasonal(1.086)"/>
    <n v="814338.06"/>
    <n v="775591.18"/>
    <n v="38746.879999999997"/>
    <x v="0"/>
    <n v="0"/>
    <n v="0.78500000000000003"/>
    <n v="0.24"/>
    <n v="0"/>
    <n v="0"/>
    <n v="0"/>
    <n v="775591.18"/>
    <n v="793004.46"/>
    <n v="0.97804100000000005"/>
    <n v="38746.879999999997"/>
    <n v="39209"/>
    <n v="0"/>
    <n v="39209"/>
    <n v="750663.74"/>
    <s v="Forecast"/>
  </r>
  <r>
    <x v="3"/>
    <x v="0"/>
    <s v="202201"/>
    <n v="40"/>
    <n v="856811.05"/>
    <n v="-0.11374810098913241"/>
    <s v="CohortAvg"/>
    <n v="-8.9566396251615429E-3"/>
    <s v="CohortAvg"/>
    <n v="5.8411603387799417E-2"/>
    <s v="CohortAvg"/>
    <n v="3.6027145547130407E-2"/>
    <s v="CohortAvg_NonZero"/>
    <n v="3.26863667751891E-3"/>
    <s v="CohortAvg"/>
    <n v="0"/>
    <s v="Zero"/>
    <n v="-8.5799271924649008E-4"/>
    <s v="CohortAvg"/>
    <n v="-1.9305182765358399E-5"/>
    <s v="CohortAvg"/>
    <n v="0"/>
    <n v="-97460.63"/>
    <n v="-7674.15"/>
    <n v="4170.6400000000003"/>
    <n v="0"/>
    <n v="2800.6"/>
    <n v="-735.14"/>
    <n v="-16.54"/>
    <n v="753046.31"/>
    <n v="0.57603700000000002"/>
    <n v="1.0859000000000001"/>
    <n v="0.62553499999999995"/>
    <s v="CohortAvg+Seasonal(1.086)"/>
    <n v="471057.12"/>
    <n v="531617.03"/>
    <n v="-60559.91"/>
    <x v="0"/>
    <n v="0"/>
    <n v="0.78500000000000003"/>
    <n v="0.24"/>
    <n v="0"/>
    <n v="0"/>
    <n v="0"/>
    <n v="531617.03"/>
    <n v="856811.05"/>
    <n v="0.62046000000000001"/>
    <n v="-60559.91"/>
    <n v="-57759.31"/>
    <n v="0"/>
    <n v="-57759.31"/>
    <n v="810805.62"/>
    <s v="Forecast"/>
  </r>
  <r>
    <x v="3"/>
    <x v="0"/>
    <s v="202301"/>
    <n v="31"/>
    <n v="5388136.0599999996"/>
    <n v="-7.2522540434883001E-2"/>
    <s v="CohortAvg"/>
    <n v="-1.7676788022219211E-2"/>
    <s v="CohortAvg"/>
    <n v="0.2068536822652281"/>
    <s v="CohortAvg"/>
    <n v="5.4315193598991028E-2"/>
    <s v="CohortAvg_NonZero"/>
    <n v="1.9395861930360779E-4"/>
    <s v="CohortAvg"/>
    <n v="0"/>
    <s v="Zero"/>
    <n v="-5.4324289791516803E-3"/>
    <s v="CohortAvg"/>
    <n v="-9.1828678249926399E-5"/>
    <s v="CohortAvg"/>
    <n v="0"/>
    <n v="-390761.32"/>
    <n v="-95244.94"/>
    <n v="92879.65"/>
    <n v="0"/>
    <n v="1045.08"/>
    <n v="-29270.67"/>
    <n v="-494.79"/>
    <n v="4993964.38"/>
    <n v="0.49698300000000001"/>
    <n v="1.0859000000000001"/>
    <n v="0.53968799999999995"/>
    <s v="CohortTrend+Seasonal(1.086)"/>
    <n v="2695183.4"/>
    <n v="2668985.8199999998"/>
    <n v="26197.58"/>
    <x v="0"/>
    <n v="0"/>
    <n v="0.78500000000000003"/>
    <n v="0.24"/>
    <n v="0"/>
    <n v="0"/>
    <n v="0"/>
    <n v="2668985.8199999998"/>
    <n v="5388136.0599999996"/>
    <n v="0.49534499999999998"/>
    <n v="26197.58"/>
    <n v="27242.65"/>
    <n v="0"/>
    <n v="27242.65"/>
    <n v="4966721.7300000004"/>
    <s v="Forecast"/>
  </r>
  <r>
    <x v="3"/>
    <x v="0"/>
    <s v="202404"/>
    <n v="21"/>
    <n v="1038770.48"/>
    <n v="-7.0268482708958011E-2"/>
    <s v="CohortAvg"/>
    <n v="-2.437773729689793E-2"/>
    <s v="CohortAvg"/>
    <n v="0.26217034766214109"/>
    <s v="CohortAvg"/>
    <n v="9.7409512000109486E-2"/>
    <s v="CohortAvg_NonZero"/>
    <n v="1.2416714750227659E-4"/>
    <s v="CohortAvg"/>
    <n v="0"/>
    <s v="Zero"/>
    <n v="-9.3295996941459586E-3"/>
    <s v="CohortAvg"/>
    <n v="1.8692360657014811E-4"/>
    <s v="CohortAvg"/>
    <n v="0"/>
    <n v="-72992.83"/>
    <n v="-25322.87"/>
    <n v="22694.57"/>
    <n v="0"/>
    <n v="128.97999999999999"/>
    <n v="-9691.31"/>
    <n v="194.17"/>
    <n v="963020.37"/>
    <n v="0.32118999999999998"/>
    <n v="1.0859000000000001"/>
    <n v="0.34878900000000002"/>
    <s v="CohortTrend+Seasonal(1.086)"/>
    <n v="335891.3"/>
    <n v="333935.64"/>
    <n v="1955.66"/>
    <x v="0"/>
    <n v="0"/>
    <n v="0.78500000000000003"/>
    <n v="0.24"/>
    <n v="0"/>
    <n v="0"/>
    <n v="0"/>
    <n v="333935.64"/>
    <n v="1038770.48"/>
    <n v="0.32147199999999998"/>
    <n v="1955.66"/>
    <n v="2084.64"/>
    <n v="0"/>
    <n v="2084.64"/>
    <n v="960935.72"/>
    <s v="Forecast"/>
  </r>
  <r>
    <x v="3"/>
    <x v="0"/>
    <s v="202405"/>
    <n v="20"/>
    <n v="1298736.54"/>
    <n v="-5.9996500840097833E-2"/>
    <s v="CohortAvg"/>
    <n v="-2.4476357458776559E-2"/>
    <s v="CohortAvg"/>
    <n v="0.26942652021637342"/>
    <s v="CohortAvg"/>
    <n v="9.5380436677719949E-2"/>
    <s v="CohortAvg_NonZero"/>
    <n v="1.6196767814209031E-4"/>
    <s v="CohortAvg"/>
    <n v="0"/>
    <s v="Zero"/>
    <n v="-1.341668346239285E-2"/>
    <s v="CohortAvg"/>
    <n v="-2.4727981372680668E-4"/>
    <s v="CohortAvg"/>
    <n v="0"/>
    <n v="-77919.649999999994"/>
    <n v="-31788.34"/>
    <n v="29159.51"/>
    <n v="0"/>
    <n v="210.35"/>
    <n v="-17424.740000000002"/>
    <n v="-321.14999999999998"/>
    <n v="1217977.7"/>
    <n v="0.29460799999999998"/>
    <n v="1.0859000000000001"/>
    <n v="0.31992399999999999"/>
    <s v="CohortTrend+Seasonal(1.086)"/>
    <n v="389659.78"/>
    <n v="255890.49"/>
    <n v="133769.29"/>
    <x v="0"/>
    <n v="0"/>
    <n v="0.78500000000000003"/>
    <n v="0.24"/>
    <n v="0"/>
    <n v="0"/>
    <n v="0"/>
    <n v="255890.49"/>
    <n v="1298736.54"/>
    <n v="0.19703000000000001"/>
    <n v="133769.29"/>
    <n v="133979.64000000001"/>
    <n v="0"/>
    <n v="133979.64000000001"/>
    <n v="1083998.06"/>
    <s v="Forecast"/>
  </r>
  <r>
    <x v="3"/>
    <x v="0"/>
    <s v="202406"/>
    <n v="19"/>
    <n v="1814173.37"/>
    <n v="-5.6687286143783377E-2"/>
    <s v="CohortAvg"/>
    <n v="-2.578182813142843E-2"/>
    <s v="CohortAvg"/>
    <n v="0.28810112062285448"/>
    <s v="CohortAvg"/>
    <n v="6.3181390653922975E-2"/>
    <s v="CohortAvg_NonZero"/>
    <n v="4.774711367810293E-5"/>
    <s v="CohortAvg"/>
    <n v="0"/>
    <s v="Zero"/>
    <n v="-1.2861448910663509E-2"/>
    <s v="CohortAvg"/>
    <n v="-2.5764767926327031E-4"/>
    <s v="CohortAvg"/>
    <n v="0"/>
    <n v="-102840.56"/>
    <n v="-46772.71"/>
    <n v="43555.45"/>
    <n v="0"/>
    <n v="86.62"/>
    <n v="-23332.9"/>
    <n v="-467.42"/>
    <n v="1708028.93"/>
    <n v="0.190751"/>
    <n v="1.0859000000000001"/>
    <n v="0.20714199999999999"/>
    <s v="DonorCohort:202101+Seasonal(1.086)"/>
    <n v="353804.33"/>
    <n v="331238.53000000003"/>
    <n v="22565.8"/>
    <x v="0"/>
    <n v="0"/>
    <n v="0.78500000000000003"/>
    <n v="0.24"/>
    <n v="0"/>
    <n v="0"/>
    <n v="0"/>
    <n v="331238.53000000003"/>
    <n v="1814173.37"/>
    <n v="0.182584"/>
    <n v="22565.8"/>
    <n v="22652.42"/>
    <n v="0"/>
    <n v="22652.42"/>
    <n v="1685376.5"/>
    <s v="Forecast"/>
  </r>
  <r>
    <x v="3"/>
    <x v="0"/>
    <s v="202407"/>
    <n v="18"/>
    <n v="1923245.64"/>
    <n v="-5.6296784467677163E-2"/>
    <s v="CohortAvg"/>
    <n v="-2.6834932601563319E-2"/>
    <s v="CohortAvg"/>
    <n v="0.29631694168948131"/>
    <s v="CohortAvg"/>
    <n v="6.9284121868647242E-2"/>
    <s v="CohortAvg_NonZero"/>
    <n v="6.5886487084617675E-5"/>
    <s v="CohortAvg"/>
    <n v="0"/>
    <s v="Zero"/>
    <n v="-1.545371467517905E-2"/>
    <s v="CohortAvg"/>
    <n v="-1.764860376473738E-4"/>
    <s v="CohortAvg"/>
    <n v="0"/>
    <n v="-108272.55"/>
    <n v="-51610.17"/>
    <n v="47490.86"/>
    <n v="0"/>
    <n v="126.72"/>
    <n v="-29721.29"/>
    <n v="-339.43"/>
    <n v="1810727.07"/>
    <n v="0.17676500000000001"/>
    <n v="1.0859000000000001"/>
    <n v="0.19195400000000001"/>
    <s v="DonorCohort:202101+Seasonal(1.086)"/>
    <n v="347576.09"/>
    <n v="356120.77"/>
    <n v="-8544.68"/>
    <x v="0"/>
    <n v="0"/>
    <n v="0.78500000000000003"/>
    <n v="0.24"/>
    <n v="0"/>
    <n v="0"/>
    <n v="0"/>
    <n v="356120.77"/>
    <n v="1923245.64"/>
    <n v="0.185167"/>
    <n v="-8544.68"/>
    <n v="-8417.9599999999991"/>
    <n v="0"/>
    <n v="-8417.9599999999991"/>
    <n v="1819145.03"/>
    <s v="Forecast"/>
  </r>
  <r>
    <x v="3"/>
    <x v="0"/>
    <s v="202408"/>
    <n v="17"/>
    <n v="1952896.56"/>
    <n v="-6.5098907976377726E-2"/>
    <s v="CohortAvg"/>
    <n v="-2.6604597723130952E-2"/>
    <s v="CohortAvg"/>
    <n v="0.29016295613270149"/>
    <s v="CohortAvg"/>
    <n v="8.2348754480886271E-2"/>
    <s v="CohortAvg_NonZero"/>
    <n v="1.367821547597046E-4"/>
    <s v="CohortAvg"/>
    <n v="0"/>
    <s v="Zero"/>
    <n v="-1.8593785659673401E-2"/>
    <s v="CohortAvg"/>
    <n v="-3.7258014842420838E-4"/>
    <s v="CohortAvg"/>
    <n v="0"/>
    <n v="-127131.43"/>
    <n v="-51956.03"/>
    <n v="47221.52"/>
    <n v="0"/>
    <n v="267.12"/>
    <n v="-36311.74"/>
    <n v="-727.61"/>
    <n v="1820763.5"/>
    <n v="0.17926500000000001"/>
    <n v="1.0859000000000001"/>
    <n v="0.19466900000000001"/>
    <s v="DonorCohort:202101+Seasonal(1.086)"/>
    <n v="354446.69"/>
    <n v="385257.51"/>
    <n v="-30810.83"/>
    <x v="0"/>
    <n v="0"/>
    <n v="0.78500000000000003"/>
    <n v="0.24"/>
    <n v="0"/>
    <n v="0"/>
    <n v="0"/>
    <n v="385257.51"/>
    <n v="1952896.56"/>
    <n v="0.19727500000000001"/>
    <n v="-30810.83"/>
    <n v="-30543.7"/>
    <n v="0"/>
    <n v="-30543.7"/>
    <n v="1851307.21"/>
    <s v="Forecast"/>
  </r>
  <r>
    <x v="3"/>
    <x v="0"/>
    <s v="202409"/>
    <n v="16"/>
    <n v="1885817.39"/>
    <n v="-6.8541341111722109E-2"/>
    <s v="CohortAvg"/>
    <n v="-2.879810257660418E-2"/>
    <s v="CohortAvg"/>
    <n v="0.30521548765980078"/>
    <s v="CohortAvg"/>
    <n v="8.955719523537635E-2"/>
    <s v="CohortAvg_NonZero"/>
    <n v="3.1904888294222752E-4"/>
    <s v="CohortAvg"/>
    <n v="0"/>
    <s v="Zero"/>
    <n v="-2.4747821897768099E-2"/>
    <s v="CohortAvg"/>
    <n v="4.2323292796445452E-4"/>
    <s v="CohortAvg"/>
    <n v="0"/>
    <n v="-129256.45"/>
    <n v="-54307.96"/>
    <n v="47965.06"/>
    <n v="0"/>
    <n v="601.66999999999996"/>
    <n v="-46669.87"/>
    <n v="798.14"/>
    <n v="1749616.36"/>
    <n v="0.19098799999999999"/>
    <n v="1.0859000000000001"/>
    <n v="0.207399"/>
    <s v="DonorCohort:202101+Seasonal(1.086)"/>
    <n v="362868.73"/>
    <n v="366923.17"/>
    <n v="-4054.44"/>
    <x v="0"/>
    <n v="0"/>
    <n v="0.78500000000000003"/>
    <n v="0.24"/>
    <n v="0"/>
    <n v="0"/>
    <n v="0"/>
    <n v="366923.17"/>
    <n v="1885817.39"/>
    <n v="0.19456999999999999"/>
    <n v="-4054.44"/>
    <n v="-3452.78"/>
    <n v="0"/>
    <n v="-3452.78"/>
    <n v="1753069.14"/>
    <s v="Forecast"/>
  </r>
  <r>
    <x v="3"/>
    <x v="0"/>
    <s v="202410"/>
    <n v="15"/>
    <n v="2547251.4900000002"/>
    <n v="-6.3525979308311262E-2"/>
    <s v="CohortAvg"/>
    <n v="-2.9580441370670459E-2"/>
    <s v="CohortAvg"/>
    <n v="0.31006572855915487"/>
    <s v="CohortAvg"/>
    <n v="7.7944063741348088E-2"/>
    <s v="CohortAvg_NonZero"/>
    <n v="8.7925176159347522E-5"/>
    <s v="CohortAvg"/>
    <n v="0"/>
    <s v="Zero"/>
    <n v="-2.6525182035800218E-2"/>
    <s v="CohortAvg"/>
    <n v="-4.3621882390997658E-4"/>
    <s v="CohortAvg"/>
    <n v="0"/>
    <n v="-161816.65"/>
    <n v="-75348.820000000007"/>
    <n v="65817.95"/>
    <n v="0"/>
    <n v="223.97"/>
    <n v="-67566.31"/>
    <n v="-1111.1600000000001"/>
    <n v="2375680"/>
    <n v="0.18836900000000001"/>
    <n v="1.0859000000000001"/>
    <n v="0.20455499999999999"/>
    <s v="DonorCohort:202101+Seasonal(1.086)"/>
    <n v="485957.49"/>
    <n v="431490.5"/>
    <n v="54466.99"/>
    <x v="0"/>
    <n v="0"/>
    <n v="0.78500000000000003"/>
    <n v="0.24"/>
    <n v="0"/>
    <n v="0"/>
    <n v="0"/>
    <n v="431490.5"/>
    <n v="2547251.4900000002"/>
    <n v="0.16939499999999999"/>
    <n v="54466.99"/>
    <n v="54690.96"/>
    <n v="0"/>
    <n v="54690.96"/>
    <n v="2320989.04"/>
    <s v="Forecast"/>
  </r>
  <r>
    <x v="3"/>
    <x v="0"/>
    <s v="202411"/>
    <n v="14"/>
    <n v="2726973.2"/>
    <n v="-6.7033299686938386E-2"/>
    <s v="CohortAvg"/>
    <n v="-3.0483253540920088E-2"/>
    <s v="CohortAvg"/>
    <n v="0.3305917992636716"/>
    <s v="CohortAvg"/>
    <n v="7.5739725502565025E-2"/>
    <s v="CohortAvg_NonZero"/>
    <n v="5.1084782871275288E-5"/>
    <s v="CohortAvg"/>
    <n v="0"/>
    <s v="Zero"/>
    <n v="-2.8134646152862701E-2"/>
    <s v="CohortAvg"/>
    <n v="-5.6882783914912328E-4"/>
    <s v="CohortAvg"/>
    <n v="0"/>
    <n v="-182798.01"/>
    <n v="-83127.02"/>
    <n v="75126.25"/>
    <n v="0"/>
    <n v="139.31"/>
    <n v="-76722.429999999993"/>
    <n v="-1551.18"/>
    <n v="2536035.12"/>
    <n v="0.163996"/>
    <n v="1.0859000000000001"/>
    <n v="0.178088"/>
    <s v="DonorCohort:202101+Seasonal(1.086)"/>
    <n v="451637"/>
    <n v="519004.9"/>
    <n v="-67367.899999999994"/>
    <x v="0"/>
    <n v="0"/>
    <n v="0.78500000000000003"/>
    <n v="0.24"/>
    <n v="0"/>
    <n v="0"/>
    <n v="0"/>
    <n v="519004.9"/>
    <n v="2726973.2"/>
    <n v="0.19032299999999999"/>
    <n v="-67367.899999999994"/>
    <n v="-67228.59"/>
    <n v="0"/>
    <n v="-67228.59"/>
    <n v="2603263.71"/>
    <s v="Forecast"/>
  </r>
  <r>
    <x v="3"/>
    <x v="0"/>
    <s v="202412"/>
    <n v="13"/>
    <n v="2998921.57"/>
    <n v="-6.4526586880275918E-2"/>
    <s v="CohortAvg"/>
    <n v="-3.1916423194112017E-2"/>
    <s v="CohortAvg"/>
    <n v="0.34342173267857129"/>
    <s v="CohortAvg"/>
    <n v="6.8129227722811478E-2"/>
    <s v="CohortAvg_NonZero"/>
    <n v="4.391131540487492E-5"/>
    <s v="CohortAvg"/>
    <n v="0"/>
    <s v="Zero"/>
    <n v="-3.719774939667337E-2"/>
    <s v="CohortAvg"/>
    <n v="-5.9494735418958236E-4"/>
    <s v="CohortAvg"/>
    <n v="0"/>
    <n v="-193510.17"/>
    <n v="-95714.85"/>
    <n v="85824.57"/>
    <n v="0"/>
    <n v="131.69"/>
    <n v="-111553.13"/>
    <n v="-1784.2"/>
    <n v="2795389.43"/>
    <n v="0.184257"/>
    <n v="1.0859000000000001"/>
    <n v="0.20008999999999999"/>
    <s v="DonorCohort:202101+Seasonal(1.086)"/>
    <n v="559329.52"/>
    <n v="553649.63"/>
    <n v="5679.89"/>
    <x v="0"/>
    <n v="0"/>
    <n v="0.78500000000000003"/>
    <n v="0.24"/>
    <n v="0"/>
    <n v="0"/>
    <n v="0"/>
    <n v="553649.63"/>
    <n v="2998921.57"/>
    <n v="0.184616"/>
    <n v="5679.89"/>
    <n v="5811.58"/>
    <n v="0"/>
    <n v="5811.58"/>
    <n v="2789577.85"/>
    <s v="Forecast"/>
  </r>
  <r>
    <x v="3"/>
    <x v="0"/>
    <s v="202501"/>
    <n v="12"/>
    <n v="3418010.09"/>
    <n v="-6.1741331011392182E-2"/>
    <s v="CohortAvg"/>
    <n v="-3.1569250124671822E-2"/>
    <s v="CohortAvg"/>
    <n v="0.34971056642835369"/>
    <s v="CohortAvg"/>
    <n v="5.6421191124226527E-2"/>
    <s v="CohortAvg_NonZero"/>
    <n v="7.7405866878704963E-5"/>
    <s v="CohortAvg"/>
    <n v="0"/>
    <s v="Zero"/>
    <n v="-4.596804288740447E-2"/>
    <s v="CohortAvg"/>
    <n v="-8.9503965950194907E-4"/>
    <s v="CohortAvg"/>
    <n v="0"/>
    <n v="-211032.49"/>
    <n v="-107904.02"/>
    <n v="99609.52"/>
    <n v="0"/>
    <n v="264.57"/>
    <n v="-157119.23000000001"/>
    <n v="-3059.25"/>
    <n v="3198418.53"/>
    <n v="0.178732"/>
    <n v="1.0859000000000001"/>
    <n v="0.19409100000000001"/>
    <s v="DonorCohort:202101+Seasonal(1.086)"/>
    <n v="620783.31999999995"/>
    <n v="546896.49"/>
    <n v="73886.83"/>
    <x v="0"/>
    <n v="0"/>
    <n v="0.78500000000000003"/>
    <n v="0.24"/>
    <n v="0"/>
    <n v="0"/>
    <n v="0"/>
    <n v="546896.49"/>
    <n v="3418010.09"/>
    <n v="0.16000400000000001"/>
    <n v="73886.83"/>
    <n v="74151.399999999994"/>
    <n v="0"/>
    <n v="74151.399999999994"/>
    <n v="3124267.13"/>
    <s v="Forecast"/>
  </r>
  <r>
    <x v="3"/>
    <x v="0"/>
    <s v="202502"/>
    <n v="11"/>
    <n v="4799880.16"/>
    <n v="-6.1979047170351423E-2"/>
    <s v="CohortAvg"/>
    <n v="-3.2552656768389407E-2"/>
    <s v="CohortAvg"/>
    <n v="0.37035395124831538"/>
    <s v="CohortAvg"/>
    <n v="3.2304369861059369E-2"/>
    <s v="CohortAvg_NonZero"/>
    <n v="8.8117358231335123E-5"/>
    <s v="CohortAvg"/>
    <n v="0"/>
    <s v="Zero"/>
    <n v="-7.1028806709355297E-2"/>
    <s v="CohortAvg"/>
    <n v="-1.53580329072429E-3"/>
    <s v="CohortAvg"/>
    <n v="0"/>
    <n v="-297492"/>
    <n v="-156248.85"/>
    <n v="148137.88"/>
    <n v="0"/>
    <n v="422.95"/>
    <n v="-340929.76"/>
    <n v="-7371.67"/>
    <n v="4493854.24"/>
    <n v="0.15490499999999999"/>
    <n v="1.0859000000000001"/>
    <n v="0.168216"/>
    <s v="DonorCohort:202101+Seasonal(1.086)"/>
    <n v="755937.01"/>
    <n v="676685.62"/>
    <n v="79251.399999999994"/>
    <x v="0"/>
    <n v="0"/>
    <n v="0.78500000000000003"/>
    <n v="0.24"/>
    <n v="0"/>
    <n v="0"/>
    <n v="0"/>
    <n v="676685.62"/>
    <n v="4799880.16"/>
    <n v="0.14097999999999999"/>
    <n v="79251.399999999994"/>
    <n v="79674.350000000006"/>
    <n v="0"/>
    <n v="79674.350000000006"/>
    <n v="4414179.8899999997"/>
    <s v="Forecast"/>
  </r>
  <r>
    <x v="3"/>
    <x v="0"/>
    <s v="202503"/>
    <n v="10"/>
    <n v="6242056.6200000001"/>
    <n v="-5.4571671140115553E-2"/>
    <s v="CohortAvg"/>
    <n v="-3.4864857313990347E-2"/>
    <s v="CohortAvg"/>
    <n v="0.42847394608878159"/>
    <s v="CohortAvg"/>
    <n v="2.337347755521256E-2"/>
    <s v="CohortAvg_NonZero"/>
    <n v="8.0009787793287838E-6"/>
    <s v="CohortAvg"/>
    <n v="0"/>
    <s v="Zero"/>
    <n v="0"/>
    <s v="CohortAvg"/>
    <n v="0"/>
    <s v="CohortAvg"/>
    <n v="0"/>
    <n v="-340639.46"/>
    <n v="-217628.41"/>
    <n v="222879.89"/>
    <n v="0"/>
    <n v="49.94"/>
    <n v="0"/>
    <n v="0"/>
    <n v="5906618.6900000004"/>
    <n v="0.136487"/>
    <n v="1.0859000000000001"/>
    <n v="0.14821500000000001"/>
    <s v="DonorCohort:202101+Seasonal(1.086)"/>
    <n v="875447.94"/>
    <n v="774100.22"/>
    <n v="101347.72"/>
    <x v="0"/>
    <n v="0"/>
    <n v="0.78500000000000003"/>
    <n v="0.24"/>
    <n v="0"/>
    <n v="0"/>
    <n v="0"/>
    <n v="774100.22"/>
    <n v="6242056.6200000001"/>
    <n v="0.124014"/>
    <n v="101347.72"/>
    <n v="101397.67"/>
    <n v="0"/>
    <n v="101397.67"/>
    <n v="5805221.0199999996"/>
    <s v="Forecast"/>
  </r>
  <r>
    <x v="3"/>
    <x v="0"/>
    <s v="202504"/>
    <n v="9"/>
    <n v="7806161.6299999999"/>
    <n v="-5.2843942198981343E-2"/>
    <s v="CohortAvg"/>
    <n v="-3.6840385182920612E-2"/>
    <s v="CohortAvg"/>
    <n v="0.43953999416786033"/>
    <s v="CohortAvg"/>
    <n v="1.013329171740706E-2"/>
    <s v="CohortAvg_NonZero"/>
    <n v="2.4142393976561009E-6"/>
    <s v="CohortAvg"/>
    <n v="0"/>
    <s v="Zero"/>
    <n v="0"/>
    <s v="CohortAvg"/>
    <n v="0"/>
    <s v="CohortAvg"/>
    <n v="0"/>
    <n v="-412508.35"/>
    <n v="-287582"/>
    <n v="285926.69"/>
    <n v="0"/>
    <n v="18.850000000000001"/>
    <n v="0"/>
    <n v="0"/>
    <n v="7391979.1200000001"/>
    <n v="0.120061"/>
    <n v="1.0859000000000001"/>
    <n v="0.13037799999999999"/>
    <s v="DonorCohort:202101+Seasonal(1.086)"/>
    <n v="963751.47"/>
    <n v="836768.83"/>
    <n v="126982.64"/>
    <x v="0"/>
    <n v="0"/>
    <n v="0.78500000000000003"/>
    <n v="0.24"/>
    <n v="0"/>
    <n v="0"/>
    <n v="0"/>
    <n v="836768.83"/>
    <n v="7806161.6299999999"/>
    <n v="0.107193"/>
    <n v="126982.64"/>
    <n v="127001.49"/>
    <n v="0"/>
    <n v="127001.49"/>
    <n v="7264977.6299999999"/>
    <s v="Forecast"/>
  </r>
  <r>
    <x v="3"/>
    <x v="0"/>
    <s v="202505"/>
    <n v="8"/>
    <n v="9314634.8399999999"/>
    <n v="-3.429004880306559E-2"/>
    <s v="CohortAvg"/>
    <n v="-2.6957639231872051E-2"/>
    <s v="CohortAvg"/>
    <n v="0.32500752697768631"/>
    <s v="CohortAvg"/>
    <n v="0"/>
    <s v="CohortAvg_NoData_ERROR"/>
    <n v="6.8131303365555426E-7"/>
    <s v="CohortAvg"/>
    <n v="0"/>
    <s v="Zero"/>
    <n v="0"/>
    <s v="CohortAvg"/>
    <n v="0"/>
    <s v="CohortAvg"/>
    <n v="0"/>
    <n v="-319399.28000000003"/>
    <n v="-251100.57"/>
    <n v="252277.2"/>
    <n v="0"/>
    <n v="6.35"/>
    <n v="0"/>
    <n v="0"/>
    <n v="8996405.8499999996"/>
    <n v="0.10377699999999999"/>
    <n v="1.0859000000000001"/>
    <n v="0.112695"/>
    <s v="DonorCohort:202101+Seasonal(1.086)"/>
    <n v="1013845.63"/>
    <n v="829688.68"/>
    <n v="184156.95"/>
    <x v="0"/>
    <n v="0"/>
    <n v="0.78500000000000003"/>
    <n v="0.24"/>
    <n v="0"/>
    <n v="0"/>
    <n v="0"/>
    <n v="829688.68"/>
    <n v="9314634.8399999999"/>
    <n v="8.9074E-2"/>
    <n v="184156.95"/>
    <n v="184163.29"/>
    <n v="0"/>
    <n v="184163.29"/>
    <n v="8812242.5500000007"/>
    <s v="Forecast"/>
  </r>
  <r>
    <x v="3"/>
    <x v="0"/>
    <s v="202506"/>
    <n v="7"/>
    <n v="10422718.779999999"/>
    <n v="-3.1124487657890339E-2"/>
    <s v="CohortAvg"/>
    <n v="-2.6313536441018959E-2"/>
    <s v="CohortAvg"/>
    <n v="0.31634967820204468"/>
    <s v="CohortAvg"/>
    <n v="0"/>
    <s v="CohortAvg_NoData_ERROR"/>
    <n v="0"/>
    <s v="CohortAvg"/>
    <n v="0"/>
    <s v="Zero"/>
    <n v="0"/>
    <s v="CohortAvg"/>
    <n v="0"/>
    <s v="CohortAvg"/>
    <n v="0"/>
    <n v="-324401.78000000003"/>
    <n v="-274258.59000000003"/>
    <n v="274768.64000000001"/>
    <n v="0"/>
    <n v="0"/>
    <n v="0"/>
    <n v="0"/>
    <n v="10098827.060000001"/>
    <n v="8.6235000000000006E-2"/>
    <n v="1.0859000000000001"/>
    <n v="9.3645000000000006E-2"/>
    <s v="DonorCohort:202101+Seasonal(1.086)"/>
    <n v="945703.73"/>
    <n v="807782.81"/>
    <n v="137920.93"/>
    <x v="0"/>
    <n v="0"/>
    <n v="0.78500000000000003"/>
    <n v="0.24"/>
    <n v="0"/>
    <n v="0"/>
    <n v="0"/>
    <n v="807782.81"/>
    <n v="10422718.779999999"/>
    <n v="7.7502000000000001E-2"/>
    <n v="137920.93"/>
    <n v="137920.93"/>
    <n v="0"/>
    <n v="137920.93"/>
    <n v="9960906.1300000008"/>
    <s v="Forecast"/>
  </r>
  <r>
    <x v="3"/>
    <x v="0"/>
    <s v="202507"/>
    <n v="6"/>
    <n v="13195867.82"/>
    <n v="-2.7224967463926459E-2"/>
    <s v="CohortAvg"/>
    <n v="-2.5654424793548888E-2"/>
    <s v="CohortAvg"/>
    <n v="0.28732770086201209"/>
    <s v="CohortAvg"/>
    <n v="0"/>
    <s v="CohortAvg_NoData_ERROR"/>
    <n v="8.3301419202540859E-6"/>
    <s v="CohortAvg"/>
    <n v="0"/>
    <s v="Zero"/>
    <n v="0"/>
    <s v="CohortAvg"/>
    <n v="0"/>
    <s v="CohortAvg"/>
    <n v="0"/>
    <n v="-359257.07"/>
    <n v="-338532.4"/>
    <n v="315961.53000000003"/>
    <n v="0"/>
    <n v="109.92"/>
    <n v="0"/>
    <n v="0"/>
    <n v="12813929.949999999"/>
    <n v="7.5032000000000001E-2"/>
    <n v="1.0859000000000001"/>
    <n v="8.1479999999999997E-2"/>
    <s v="DonorCohort:202101+Seasonal(1.086)"/>
    <n v="1044072.77"/>
    <n v="730375.25"/>
    <n v="313697.52"/>
    <x v="0"/>
    <n v="0"/>
    <n v="0.78500000000000003"/>
    <n v="0.24"/>
    <n v="0"/>
    <n v="0"/>
    <n v="0"/>
    <n v="730375.25"/>
    <n v="13195867.82"/>
    <n v="5.5349000000000002E-2"/>
    <n v="313697.52"/>
    <n v="313807.45"/>
    <n v="0"/>
    <n v="313807.45"/>
    <n v="12500122.51"/>
    <s v="Forecast"/>
  </r>
  <r>
    <x v="3"/>
    <x v="0"/>
    <s v="202508"/>
    <n v="5"/>
    <n v="10582346.66"/>
    <n v="-2.4553618851110431E-2"/>
    <s v="CohortAvg"/>
    <n v="-1.6397162280456248E-2"/>
    <s v="CohortAvg"/>
    <n v="0.23077009738404219"/>
    <s v="CohortAvg"/>
    <n v="0"/>
    <s v="CohortAvg_NoData_ERROR"/>
    <n v="5.7216616491468051E-6"/>
    <s v="CohortAvg"/>
    <n v="0"/>
    <s v="Zero"/>
    <n v="0"/>
    <s v="CohortAvg"/>
    <n v="0"/>
    <s v="CohortAvg"/>
    <n v="0"/>
    <n v="-259834.91"/>
    <n v="-173520.46"/>
    <n v="203507.43"/>
    <n v="0"/>
    <n v="60.55"/>
    <n v="0"/>
    <n v="0"/>
    <n v="10352438.18"/>
    <n v="5.3585000000000001E-2"/>
    <n v="1.0859000000000001"/>
    <n v="5.8188999999999998E-2"/>
    <s v="DonorCohort:202101+Seasonal(1.086)"/>
    <n v="602400.85"/>
    <n v="367629.59"/>
    <n v="234771.26"/>
    <x v="0"/>
    <n v="0"/>
    <n v="0.78500000000000003"/>
    <n v="0.24"/>
    <n v="0"/>
    <n v="0"/>
    <n v="0"/>
    <n v="367629.59"/>
    <n v="10582346.66"/>
    <n v="3.474E-2"/>
    <n v="234771.26"/>
    <n v="234831.81"/>
    <n v="0"/>
    <n v="234831.81"/>
    <n v="10117606.369999999"/>
    <s v="Forecast"/>
  </r>
  <r>
    <x v="3"/>
    <x v="0"/>
    <s v="202509"/>
    <n v="4"/>
    <n v="11481431.49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1481431.49"/>
    <n v="3.3633000000000003E-2"/>
    <n v="1.0859000000000001"/>
    <n v="3.6523E-2"/>
    <s v="DonorCohort:202101+Seasonal(1.086)"/>
    <n v="419333.3"/>
    <n v="264806.76"/>
    <n v="154526.54"/>
    <x v="0"/>
    <n v="0"/>
    <n v="0.78500000000000003"/>
    <n v="0.24"/>
    <n v="0"/>
    <n v="0"/>
    <n v="0"/>
    <n v="264806.76"/>
    <n v="11481431.49"/>
    <n v="2.3064000000000001E-2"/>
    <n v="154526.54"/>
    <n v="154526.54"/>
    <n v="0"/>
    <n v="154526.54"/>
    <n v="11326904.949999999"/>
    <s v="Forecast"/>
  </r>
  <r>
    <x v="3"/>
    <x v="1"/>
    <s v="202301"/>
    <n v="26"/>
    <n v="1054284.1499999999"/>
    <n v="-1.6371970732178241E-2"/>
    <s v="CohortAvg"/>
    <n v="-7.0282117299139179E-3"/>
    <s v="CohortAvg"/>
    <n v="0.1059103550037554"/>
    <s v="CohortAvg"/>
    <n v="2.352389233735977E-2"/>
    <s v="CohortAvg_NonZero"/>
    <n v="0"/>
    <s v="CohortAvg"/>
    <n v="0"/>
    <s v="Zero"/>
    <n v="0"/>
    <s v="CohortAvg"/>
    <n v="0"/>
    <s v="CohortAvg"/>
    <n v="0"/>
    <n v="-17260.71"/>
    <n v="-7409.73"/>
    <n v="9304.9699999999993"/>
    <n v="0"/>
    <n v="0"/>
    <n v="0"/>
    <n v="0"/>
    <n v="1038918.67"/>
    <n v="0.26715800000000001"/>
    <n v="0.7379"/>
    <n v="0.19713800000000001"/>
    <s v="CohortTrend+Seasonal(0.738)"/>
    <n v="204810.66"/>
    <n v="185046.11"/>
    <n v="19764.55"/>
    <x v="0"/>
    <n v="0"/>
    <n v="0.78500000000000003"/>
    <n v="0.24"/>
    <n v="0"/>
    <n v="0"/>
    <n v="0"/>
    <n v="185046.11"/>
    <n v="1054284.1499999999"/>
    <n v="0.17551800000000001"/>
    <n v="19764.55"/>
    <n v="19764.55"/>
    <n v="0"/>
    <n v="19764.55"/>
    <n v="1019154.12"/>
    <s v="Forecast"/>
  </r>
  <r>
    <x v="3"/>
    <x v="1"/>
    <s v="202404"/>
    <n v="21"/>
    <n v="259940.94"/>
    <n v="-5.2106656318963863E-2"/>
    <s v="CohortAvg"/>
    <n v="-1.501267380579316E-2"/>
    <s v="CohortAvg"/>
    <n v="0.1587345988309477"/>
    <s v="CohortAvg"/>
    <n v="5.0851863239572817E-2"/>
    <s v="CohortAvg_NonZero"/>
    <n v="0"/>
    <s v="CohortAvg"/>
    <n v="0"/>
    <s v="Zero"/>
    <n v="0"/>
    <s v="CohortAvg"/>
    <n v="0"/>
    <s v="CohortAvg"/>
    <n v="0"/>
    <n v="-13544.65"/>
    <n v="-3902.41"/>
    <n v="3438.47"/>
    <n v="0"/>
    <n v="0"/>
    <n v="0"/>
    <n v="0"/>
    <n v="245932.35"/>
    <n v="0.166129"/>
    <n v="0.7379"/>
    <n v="0.122588"/>
    <s v="CohortTrend+Seasonal(0.738)"/>
    <n v="30148.32"/>
    <n v="28764.29"/>
    <n v="1384.03"/>
    <x v="0"/>
    <n v="0"/>
    <n v="0.78500000000000003"/>
    <n v="0.24"/>
    <n v="0"/>
    <n v="0"/>
    <n v="0"/>
    <n v="28764.29"/>
    <n v="259940.94"/>
    <n v="0.11065700000000001"/>
    <n v="1384.03"/>
    <n v="1384.03"/>
    <n v="0"/>
    <n v="1384.03"/>
    <n v="244548.32"/>
    <s v="Forecast"/>
  </r>
  <r>
    <x v="3"/>
    <x v="1"/>
    <s v="202405"/>
    <n v="20"/>
    <n v="404512.2"/>
    <n v="-2.182037243418488E-2"/>
    <s v="CohortAvg"/>
    <n v="-1.299087301867065E-2"/>
    <s v="CohortAvg"/>
    <n v="0.1529377322433462"/>
    <s v="CohortAvg"/>
    <n v="6.218223645742476E-2"/>
    <s v="CohortAvg_NonZero"/>
    <n v="4.5973692149074786E-6"/>
    <s v="CohortAvg"/>
    <n v="0"/>
    <s v="Zero"/>
    <n v="0"/>
    <s v="CohortAvg"/>
    <n v="0"/>
    <s v="CohortAvg"/>
    <n v="0"/>
    <n v="-8826.61"/>
    <n v="-5254.97"/>
    <n v="5155.43"/>
    <n v="0"/>
    <n v="1.86"/>
    <n v="0"/>
    <n v="0"/>
    <n v="395584.2"/>
    <n v="0.212899"/>
    <n v="0.7379"/>
    <n v="0.15709999999999999"/>
    <s v="CohortTrend+Seasonal(0.738)"/>
    <n v="62146.25"/>
    <n v="51437.16"/>
    <n v="10709.09"/>
    <x v="0"/>
    <n v="0"/>
    <n v="0.78500000000000003"/>
    <n v="0.24"/>
    <n v="0"/>
    <n v="0"/>
    <n v="0"/>
    <n v="51437.16"/>
    <n v="404512.2"/>
    <n v="0.12715799999999999"/>
    <n v="10709.09"/>
    <n v="10710.95"/>
    <n v="0"/>
    <n v="10710.95"/>
    <n v="384873.25"/>
    <s v="Forecast"/>
  </r>
  <r>
    <x v="3"/>
    <x v="1"/>
    <s v="202406"/>
    <n v="19"/>
    <n v="229231.8"/>
    <n v="-2.0647539337963209E-2"/>
    <s v="CohortAvg"/>
    <n v="-1.516761626345876E-2"/>
    <s v="CohortAvg"/>
    <n v="0.179736774278281"/>
    <s v="CohortAvg"/>
    <n v="5.620844502272148E-2"/>
    <s v="CohortAvg_NonZero"/>
    <n v="0"/>
    <s v="CohortAvg"/>
    <n v="0"/>
    <s v="Zero"/>
    <n v="0"/>
    <s v="CohortAvg"/>
    <n v="0"/>
    <s v="CohortAvg"/>
    <n v="0"/>
    <n v="-4733.07"/>
    <n v="-3476.9"/>
    <n v="3433.45"/>
    <n v="0"/>
    <n v="0"/>
    <n v="0"/>
    <n v="0"/>
    <n v="224455.28"/>
    <n v="0.18524499999999999"/>
    <n v="0.7379"/>
    <n v="0.13669400000000001"/>
    <s v="DonorCohort:202301+Seasonal(0.738)"/>
    <n v="30681.64"/>
    <n v="25239.72"/>
    <n v="5441.92"/>
    <x v="0"/>
    <n v="0"/>
    <n v="0.78500000000000003"/>
    <n v="0.24"/>
    <n v="0"/>
    <n v="0"/>
    <n v="0"/>
    <n v="25239.72"/>
    <n v="229231.8"/>
    <n v="0.110106"/>
    <n v="5441.92"/>
    <n v="5441.92"/>
    <n v="0"/>
    <n v="5441.92"/>
    <n v="219013.36"/>
    <s v="Forecast"/>
  </r>
  <r>
    <x v="3"/>
    <x v="1"/>
    <s v="202407"/>
    <n v="18"/>
    <n v="383755.11"/>
    <n v="-3.9874940917259287E-2"/>
    <s v="CohortAvg"/>
    <n v="-1.5237373248163859E-2"/>
    <s v="CohortAvg"/>
    <n v="0.17160839486856461"/>
    <s v="CohortAvg"/>
    <n v="8.2761551975630093E-2"/>
    <s v="CohortAvg_NonZero"/>
    <n v="0"/>
    <s v="CohortAvg"/>
    <n v="0"/>
    <s v="Zero"/>
    <n v="0"/>
    <s v="CohortAvg"/>
    <n v="0"/>
    <s v="CohortAvg"/>
    <n v="0"/>
    <n v="-15302.21"/>
    <n v="-5847.42"/>
    <n v="5487.97"/>
    <n v="0"/>
    <n v="0"/>
    <n v="0"/>
    <n v="0"/>
    <n v="368093.45"/>
    <n v="0.16040199999999999"/>
    <n v="0.7379"/>
    <n v="0.11836199999999999"/>
    <s v="DonorCohort:202301+Seasonal(0.738)"/>
    <n v="43568.35"/>
    <n v="57943"/>
    <n v="-14374.65"/>
    <x v="0"/>
    <n v="0"/>
    <n v="0.78500000000000003"/>
    <n v="0.24"/>
    <n v="0"/>
    <n v="0"/>
    <n v="0"/>
    <n v="57943"/>
    <n v="383755.11"/>
    <n v="0.15099000000000001"/>
    <n v="-14374.65"/>
    <n v="-14374.65"/>
    <n v="0"/>
    <n v="-14374.65"/>
    <n v="382468.1"/>
    <s v="Forecast"/>
  </r>
  <r>
    <x v="3"/>
    <x v="1"/>
    <s v="202408"/>
    <n v="17"/>
    <n v="454713.26"/>
    <n v="-4.7991881086722331E-2"/>
    <s v="CohortAvg"/>
    <n v="-1.6179083494560251E-2"/>
    <s v="CohortAvg"/>
    <n v="0.18346638442211261"/>
    <s v="CohortAvg"/>
    <n v="0.1104761026857974"/>
    <s v="CohortAvg_NonZero"/>
    <n v="1.469530918315395E-8"/>
    <s v="CohortAvg"/>
    <n v="0"/>
    <s v="Zero"/>
    <n v="0"/>
    <s v="CohortAvg"/>
    <n v="0"/>
    <s v="CohortAvg"/>
    <n v="0"/>
    <n v="-21822.54"/>
    <n v="-7356.84"/>
    <n v="6952.05"/>
    <n v="0"/>
    <n v="0.01"/>
    <n v="0"/>
    <n v="0"/>
    <n v="432485.92"/>
    <n v="0.21996199999999999"/>
    <n v="0.7379"/>
    <n v="0.16231200000000001"/>
    <s v="DonorCohort:202301+Seasonal(0.738)"/>
    <n v="70197.59"/>
    <n v="58162.61"/>
    <n v="12034.98"/>
    <x v="0"/>
    <n v="0"/>
    <n v="0.78500000000000003"/>
    <n v="0.24"/>
    <n v="0"/>
    <n v="0"/>
    <n v="0"/>
    <n v="58162.61"/>
    <n v="454713.26"/>
    <n v="0.127911"/>
    <n v="12034.98"/>
    <n v="12034.99"/>
    <n v="0"/>
    <n v="12034.99"/>
    <n v="420450.93"/>
    <s v="Forecast"/>
  </r>
  <r>
    <x v="3"/>
    <x v="1"/>
    <s v="202409"/>
    <n v="16"/>
    <n v="540971.26"/>
    <n v="-3.3420927663798977E-2"/>
    <s v="CohortAvg"/>
    <n v="-1.5253825697486191E-2"/>
    <s v="CohortAvg"/>
    <n v="0.18396342540299551"/>
    <s v="CohortAvg"/>
    <n v="3.1103136059627869E-2"/>
    <s v="CohortAvg_NonZero"/>
    <n v="0"/>
    <s v="CohortAvg"/>
    <n v="0"/>
    <s v="Zero"/>
    <n v="0"/>
    <s v="CohortAvg"/>
    <n v="0"/>
    <s v="CohortAvg"/>
    <n v="0"/>
    <n v="-18079.759999999998"/>
    <n v="-8251.8799999999992"/>
    <n v="8293.24"/>
    <n v="0"/>
    <n v="0"/>
    <n v="0"/>
    <n v="0"/>
    <n v="522932.86"/>
    <n v="0.18634100000000001"/>
    <n v="0.7379"/>
    <n v="0.13750200000000001"/>
    <s v="DonorCohort:202301+Seasonal(0.738)"/>
    <n v="71904.42"/>
    <n v="52046.14"/>
    <n v="19858.29"/>
    <x v="0"/>
    <n v="0"/>
    <n v="0.78500000000000003"/>
    <n v="0.24"/>
    <n v="0"/>
    <n v="0"/>
    <n v="0"/>
    <n v="52046.14"/>
    <n v="540971.26"/>
    <n v="9.6209000000000003E-2"/>
    <n v="19858.29"/>
    <n v="19858.29"/>
    <n v="0"/>
    <n v="19858.29"/>
    <n v="503074.58"/>
    <s v="Forecast"/>
  </r>
  <r>
    <x v="3"/>
    <x v="1"/>
    <s v="202410"/>
    <n v="15"/>
    <n v="414571.93"/>
    <n v="-1.817416701997605E-2"/>
    <s v="CohortAvg"/>
    <n v="-1.7484079792759458E-2"/>
    <s v="CohortAvg"/>
    <n v="0.18938427645131059"/>
    <s v="CohortAvg"/>
    <n v="3.536536966726643E-2"/>
    <s v="CohortAvg_NonZero"/>
    <n v="6.4473797874104831E-6"/>
    <s v="CohortAvg"/>
    <n v="0"/>
    <s v="Zero"/>
    <n v="0"/>
    <s v="CohortAvg"/>
    <n v="0"/>
    <s v="CohortAvg"/>
    <n v="0"/>
    <n v="-7534.5"/>
    <n v="-7248.41"/>
    <n v="6542.78"/>
    <n v="0"/>
    <n v="2.67"/>
    <n v="0"/>
    <n v="0"/>
    <n v="406329.13"/>
    <n v="0.140157"/>
    <n v="0.7379"/>
    <n v="0.103423"/>
    <s v="DonorCohort:202301+Seasonal(0.738)"/>
    <n v="42023.83"/>
    <n v="35167.22"/>
    <n v="6856.62"/>
    <x v="0"/>
    <n v="0"/>
    <n v="0.78500000000000003"/>
    <n v="0.24"/>
    <n v="0"/>
    <n v="0"/>
    <n v="0"/>
    <n v="35167.22"/>
    <n v="414571.93"/>
    <n v="8.4828000000000001E-2"/>
    <n v="6856.62"/>
    <n v="6859.29"/>
    <n v="0"/>
    <n v="6859.29"/>
    <n v="399469.84"/>
    <s v="Forecast"/>
  </r>
  <r>
    <x v="3"/>
    <x v="1"/>
    <s v="202411"/>
    <n v="14"/>
    <n v="516247.33"/>
    <n v="-3.6330158224091427E-2"/>
    <s v="CohortAvg"/>
    <n v="-1.4829031094262941E-2"/>
    <s v="CohortAvg"/>
    <n v="0.17501982968487961"/>
    <s v="CohortAvg"/>
    <n v="3.7612134253810672E-2"/>
    <s v="CohortAvg_NonZero"/>
    <n v="0"/>
    <s v="CohortAvg"/>
    <n v="0"/>
    <s v="Zero"/>
    <n v="0"/>
    <s v="CohortAvg"/>
    <n v="0"/>
    <s v="CohortAvg"/>
    <n v="0"/>
    <n v="-18755.349999999999"/>
    <n v="-7655.45"/>
    <n v="7529.46"/>
    <n v="0"/>
    <n v="0"/>
    <n v="0"/>
    <n v="0"/>
    <n v="497365.99"/>
    <n v="0.12357700000000001"/>
    <n v="0.7379"/>
    <n v="9.1189000000000006E-2"/>
    <s v="DonorCohort:202301+Seasonal(0.738)"/>
    <n v="45354.21"/>
    <n v="45433.49"/>
    <n v="-79.28"/>
    <x v="0"/>
    <n v="0"/>
    <n v="0.78500000000000003"/>
    <n v="0.24"/>
    <n v="0"/>
    <n v="0"/>
    <n v="0"/>
    <n v="45433.49"/>
    <n v="516247.33"/>
    <n v="8.8007000000000002E-2"/>
    <n v="-79.28"/>
    <n v="-79.28"/>
    <n v="0"/>
    <n v="-79.28"/>
    <n v="497445.27"/>
    <s v="Forecast"/>
  </r>
  <r>
    <x v="3"/>
    <x v="1"/>
    <s v="202412"/>
    <n v="13"/>
    <n v="41390.980000000003"/>
    <n v="-8.6847508408473099E-3"/>
    <s v="CohortAvg"/>
    <n v="-1.260871753789331E-2"/>
    <s v="CohortAvg"/>
    <n v="0.15927023893597941"/>
    <s v="CohortAvg"/>
    <n v="0.2"/>
    <s v="CohortAvg_NonZero"/>
    <n v="0"/>
    <s v="CohortAvg"/>
    <n v="0"/>
    <s v="Zero"/>
    <n v="0"/>
    <s v="CohortAvg"/>
    <n v="0"/>
    <s v="CohortAvg"/>
    <n v="0"/>
    <n v="-359.47"/>
    <n v="-521.89"/>
    <n v="549.36"/>
    <n v="0"/>
    <n v="0"/>
    <n v="0"/>
    <n v="0"/>
    <n v="41058.980000000003"/>
    <n v="0.12820899999999999"/>
    <n v="0.7379"/>
    <n v="9.4606999999999997E-2"/>
    <s v="DonorCohort:202301+Seasonal(0.738)"/>
    <n v="3884.45"/>
    <n v="3013.58"/>
    <n v="870.87"/>
    <x v="0"/>
    <n v="0"/>
    <n v="0.78500000000000003"/>
    <n v="0.24"/>
    <n v="0"/>
    <n v="0"/>
    <n v="0"/>
    <n v="3013.58"/>
    <n v="41390.980000000003"/>
    <n v="7.2807999999999998E-2"/>
    <n v="870.87"/>
    <n v="870.87"/>
    <n v="0"/>
    <n v="870.87"/>
    <n v="40188.11"/>
    <s v="Forecast"/>
  </r>
  <r>
    <x v="3"/>
    <x v="1"/>
    <s v="202501"/>
    <n v="12"/>
    <n v="57735.93"/>
    <n v="-1.504540094094718E-2"/>
    <s v="CohortAvg"/>
    <n v="-1.7453669819785161E-2"/>
    <s v="CohortAvg"/>
    <n v="0.20452226797435441"/>
    <s v="CohortAvg"/>
    <n v="0"/>
    <s v="CohortAvg_NoData_ERROR"/>
    <n v="0"/>
    <s v="CohortAvg"/>
    <n v="0"/>
    <s v="Zero"/>
    <n v="0"/>
    <s v="CohortAvg"/>
    <n v="0"/>
    <s v="CohortAvg"/>
    <n v="0"/>
    <n v="-868.66"/>
    <n v="-1007.7"/>
    <n v="984.02"/>
    <n v="0"/>
    <n v="0"/>
    <n v="0"/>
    <n v="0"/>
    <n v="56843.5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57735.93"/>
    <n v="0"/>
    <n v="0"/>
    <n v="0"/>
    <n v="0"/>
    <n v="0"/>
    <n v="56843.59"/>
    <s v="Forecast"/>
  </r>
  <r>
    <x v="3"/>
    <x v="1"/>
    <s v="202502"/>
    <n v="11"/>
    <n v="122304.18"/>
    <n v="-1.3270912204028819E-2"/>
    <s v="CohortAvg"/>
    <n v="-1.8096938754117251E-2"/>
    <s v="CohortAvg"/>
    <n v="0.19517706704690979"/>
    <s v="CohortAvg"/>
    <n v="0"/>
    <s v="CohortAvg_NoData_ERROR"/>
    <n v="0"/>
    <s v="CohortAvg"/>
    <n v="0"/>
    <s v="Zero"/>
    <n v="0"/>
    <s v="CohortAvg"/>
    <n v="0"/>
    <s v="CohortAvg"/>
    <n v="0"/>
    <n v="-1623.09"/>
    <n v="-2213.33"/>
    <n v="1989.25"/>
    <n v="0"/>
    <n v="0"/>
    <n v="0"/>
    <n v="0"/>
    <n v="120457.01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22304.18"/>
    <n v="0"/>
    <n v="0"/>
    <n v="0"/>
    <n v="0"/>
    <n v="0"/>
    <n v="120457.01"/>
    <s v="Forecast"/>
  </r>
  <r>
    <x v="3"/>
    <x v="1"/>
    <s v="202503"/>
    <n v="10"/>
    <n v="81602.7"/>
    <n v="-9.8345460009482133E-3"/>
    <s v="CohortAvg"/>
    <n v="-1.5096471808359159E-2"/>
    <s v="CohortAvg"/>
    <n v="0.20749235769659569"/>
    <s v="CohortAvg"/>
    <n v="0"/>
    <s v="CohortAvg_NoData_ERROR"/>
    <n v="0"/>
    <s v="CohortAvg"/>
    <n v="0"/>
    <s v="Zero"/>
    <n v="0"/>
    <s v="CohortAvg"/>
    <n v="0"/>
    <s v="CohortAvg"/>
    <n v="0"/>
    <n v="-802.53"/>
    <n v="-1231.9100000000001"/>
    <n v="1410.99"/>
    <n v="0"/>
    <n v="0"/>
    <n v="0"/>
    <n v="0"/>
    <n v="80979.259999999995"/>
    <n v="8.3028000000000005E-2"/>
    <n v="0.7379"/>
    <n v="6.1267000000000002E-2"/>
    <s v="DonorCohort:202301+Seasonal(0.738)"/>
    <n v="4961.3500000000004"/>
    <n v="3648.46"/>
    <n v="1312.89"/>
    <x v="0"/>
    <n v="0"/>
    <n v="0.78500000000000003"/>
    <n v="0.24"/>
    <n v="0"/>
    <n v="0"/>
    <n v="0"/>
    <n v="3648.46"/>
    <n v="81602.7"/>
    <n v="4.471E-2"/>
    <n v="1312.89"/>
    <n v="1312.89"/>
    <n v="0"/>
    <n v="1312.89"/>
    <n v="79666.36"/>
    <s v="Forecast"/>
  </r>
  <r>
    <x v="3"/>
    <x v="1"/>
    <s v="202504"/>
    <n v="9"/>
    <n v="58967.29"/>
    <n v="-2.0565020898685879E-2"/>
    <s v="CohortAvg"/>
    <n v="-1.675229190218281E-2"/>
    <s v="CohortAvg"/>
    <n v="0.20273123730572901"/>
    <s v="CohortAvg"/>
    <n v="0"/>
    <s v="CohortAvg_NoData_ERROR"/>
    <n v="0"/>
    <s v="CohortAvg"/>
    <n v="0"/>
    <s v="Zero"/>
    <n v="0"/>
    <s v="CohortAvg"/>
    <n v="0"/>
    <s v="CohortAvg"/>
    <n v="0"/>
    <n v="-1212.6600000000001"/>
    <n v="-987.84"/>
    <n v="996.21"/>
    <n v="0"/>
    <n v="0"/>
    <n v="0"/>
    <n v="0"/>
    <n v="57763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58967.29"/>
    <n v="0"/>
    <n v="0"/>
    <n v="0"/>
    <n v="0"/>
    <n v="0"/>
    <n v="57763"/>
    <s v="Forecast"/>
  </r>
  <r>
    <x v="3"/>
    <x v="1"/>
    <s v="202505"/>
    <n v="8"/>
    <n v="16193.91"/>
    <n v="-7.5184968067264673E-3"/>
    <s v="CohortAvg"/>
    <n v="-1.227736905831316E-2"/>
    <s v="CohortAvg"/>
    <n v="0.14842856721117301"/>
    <s v="CohortAvg"/>
    <n v="0"/>
    <s v="CohortAvg_NoData_ERROR"/>
    <n v="0"/>
    <s v="CohortAvg"/>
    <n v="0"/>
    <s v="Zero"/>
    <n v="0"/>
    <s v="CohortAvg"/>
    <n v="0"/>
    <s v="CohortAvg"/>
    <n v="0"/>
    <n v="-121.75"/>
    <n v="-198.82"/>
    <n v="200.3"/>
    <n v="0"/>
    <n v="0"/>
    <n v="0"/>
    <n v="0"/>
    <n v="16073.64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6193.91"/>
    <n v="0"/>
    <n v="0"/>
    <n v="0"/>
    <n v="0"/>
    <n v="0"/>
    <n v="16073.64"/>
    <s v="Forecast"/>
  </r>
  <r>
    <x v="3"/>
    <x v="1"/>
    <s v="202506"/>
    <n v="7"/>
    <n v="29472.12"/>
    <n v="-9.8498595652849723E-3"/>
    <s v="CohortAvg"/>
    <n v="-1.1644830303534181E-2"/>
    <s v="CohortAvg"/>
    <n v="0.13529133163935089"/>
    <s v="CohortAvg"/>
    <n v="0"/>
    <s v="CohortAvg_NoData_ERROR"/>
    <n v="0"/>
    <s v="CohortAvg"/>
    <n v="0"/>
    <s v="Zero"/>
    <n v="0"/>
    <s v="CohortAvg"/>
    <n v="0"/>
    <s v="CohortAvg"/>
    <n v="0"/>
    <n v="-290.3"/>
    <n v="-343.2"/>
    <n v="332.28"/>
    <n v="0"/>
    <n v="0"/>
    <n v="0"/>
    <n v="0"/>
    <n v="29170.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29472.12"/>
    <n v="0"/>
    <n v="0"/>
    <n v="0"/>
    <n v="0"/>
    <n v="0"/>
    <n v="29170.9"/>
    <s v="Forecast"/>
  </r>
  <r>
    <x v="3"/>
    <x v="1"/>
    <s v="202507"/>
    <n v="6"/>
    <n v="113463.54"/>
    <n v="-7.1669307278756358E-3"/>
    <s v="CohortAvg"/>
    <n v="-1.156749478819739E-2"/>
    <s v="CohortAvg"/>
    <n v="0.1281427815658861"/>
    <s v="CohortAvg"/>
    <n v="0"/>
    <s v="CohortAvg_NoData_ERROR"/>
    <n v="0"/>
    <s v="CohortAvg"/>
    <n v="0"/>
    <s v="Zero"/>
    <n v="0"/>
    <s v="CohortAvg"/>
    <n v="0"/>
    <s v="CohortAvg"/>
    <n v="0"/>
    <n v="-813.19"/>
    <n v="-1312.49"/>
    <n v="1211.6300000000001"/>
    <n v="0"/>
    <n v="0"/>
    <n v="0"/>
    <n v="0"/>
    <n v="112549.4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13463.54"/>
    <n v="0"/>
    <n v="0"/>
    <n v="0"/>
    <n v="0"/>
    <n v="0"/>
    <n v="112549.49"/>
    <s v="Forecast"/>
  </r>
  <r>
    <x v="3"/>
    <x v="1"/>
    <s v="202508"/>
    <n v="5"/>
    <n v="46868.77"/>
    <n v="-7.5305563653568332E-3"/>
    <s v="CohortAvg"/>
    <n v="-7.5689153733025094E-3"/>
    <s v="CohortAvg"/>
    <n v="9.3174517459444009E-2"/>
    <s v="CohortAvg"/>
    <n v="0"/>
    <s v="CohortAvg_NoData_ERROR"/>
    <n v="0"/>
    <s v="CohortAvg"/>
    <n v="0"/>
    <s v="Zero"/>
    <n v="0"/>
    <s v="CohortAvg"/>
    <n v="0"/>
    <s v="CohortAvg"/>
    <n v="0"/>
    <n v="-352.95"/>
    <n v="-354.75"/>
    <n v="363.91"/>
    <n v="0"/>
    <n v="0"/>
    <n v="0"/>
    <n v="0"/>
    <n v="46524.9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46868.77"/>
    <n v="0"/>
    <n v="0"/>
    <n v="0"/>
    <n v="0"/>
    <n v="0"/>
    <n v="46524.99"/>
    <s v="Forecast"/>
  </r>
  <r>
    <x v="3"/>
    <x v="1"/>
    <s v="202509"/>
    <n v="4"/>
    <n v="15353.3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15353.37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3"/>
    <x v="2"/>
    <s v="202101"/>
    <n v="60"/>
    <n v="1833341.71"/>
    <n v="-0.17024569638816131"/>
    <s v="CohortAvg"/>
    <n v="-1.301222774312215E-2"/>
    <s v="CohortAvg"/>
    <n v="0.13998046253327531"/>
    <s v="CohortAvg"/>
    <n v="1.802224362017861E-2"/>
    <s v="CohortAvg_NonZero"/>
    <n v="0"/>
    <s v="CohortAvg"/>
    <n v="0"/>
    <s v="Zero"/>
    <n v="0"/>
    <s v="CohortAvg"/>
    <n v="0"/>
    <s v="CohortAvg"/>
    <n v="0"/>
    <n v="-312118.53999999998"/>
    <n v="-23855.86"/>
    <n v="21386"/>
    <n v="0"/>
    <n v="0"/>
    <n v="0"/>
    <n v="0"/>
    <n v="1518753.31"/>
    <n v="0.26067299999999999"/>
    <n v="1.1394"/>
    <n v="0.29700300000000002"/>
    <s v="CohortAvg+Seasonal(1.139)"/>
    <n v="451073.76"/>
    <n v="530103.94999999995"/>
    <n v="-79030.19"/>
    <x v="0"/>
    <n v="0"/>
    <n v="0.78500000000000003"/>
    <n v="0.24"/>
    <n v="0"/>
    <n v="0"/>
    <n v="0"/>
    <n v="530103.94999999995"/>
    <n v="1833341.71"/>
    <n v="0.28914600000000001"/>
    <n v="-79030.19"/>
    <n v="-79030.19"/>
    <n v="0"/>
    <n v="-79030.19"/>
    <n v="1597783.5"/>
    <s v="Forecast"/>
  </r>
  <r>
    <x v="3"/>
    <x v="2"/>
    <s v="202201"/>
    <n v="40"/>
    <n v="149155.28"/>
    <n v="-6.943293306497586E-2"/>
    <s v="CohortAvg"/>
    <n v="-1.3251841671786561E-2"/>
    <s v="CohortAvg"/>
    <n v="0.1481159774980555"/>
    <s v="CohortAvg"/>
    <n v="3.1004843875343031E-2"/>
    <s v="CohortAvg_NonZero"/>
    <n v="2.7642408023954368E-7"/>
    <s v="CohortAvg"/>
    <n v="0"/>
    <s v="Zero"/>
    <n v="-1.9322095766516811E-4"/>
    <s v="CohortAvg"/>
    <n v="-8.7235799458777531E-7"/>
    <s v="CohortAvg"/>
    <n v="0"/>
    <n v="-10356.290000000001"/>
    <n v="-1976.58"/>
    <n v="1841.02"/>
    <n v="0"/>
    <n v="0.04"/>
    <n v="-28.82"/>
    <n v="-0.13"/>
    <n v="138663.39000000001"/>
    <n v="0.17494299999999999"/>
    <n v="1.1394"/>
    <n v="0.199325"/>
    <s v="CohortAvg+Seasonal(1.139)"/>
    <n v="27639.07"/>
    <n v="33347.050000000003"/>
    <n v="-5707.98"/>
    <x v="0"/>
    <n v="0"/>
    <n v="0.78500000000000003"/>
    <n v="0.24"/>
    <n v="0"/>
    <n v="0"/>
    <n v="0"/>
    <n v="33347.050000000003"/>
    <n v="149155.28"/>
    <n v="0.22357299999999999"/>
    <n v="-5707.98"/>
    <n v="-5707.94"/>
    <n v="0"/>
    <n v="-5707.94"/>
    <n v="144371.32999999999"/>
    <s v="Forecast"/>
  </r>
  <r>
    <x v="3"/>
    <x v="2"/>
    <s v="202301"/>
    <n v="31"/>
    <n v="10157087.08"/>
    <n v="-4.0897914532724573E-2"/>
    <s v="CohortAvg"/>
    <n v="-1.5355535019562329E-2"/>
    <s v="CohortAvg"/>
    <n v="0.17329023822433209"/>
    <s v="CohortAvg"/>
    <n v="1.8146948671406031E-2"/>
    <s v="CohortAvg_NonZero"/>
    <n v="1.3518019717149771E-6"/>
    <s v="CohortAvg"/>
    <n v="0"/>
    <s v="Zero"/>
    <n v="-2.5979507837384681E-3"/>
    <s v="CohortAvg"/>
    <n v="-7.8868296123429635E-6"/>
    <s v="CohortAvg"/>
    <n v="0"/>
    <n v="-415403.68"/>
    <n v="-155967.51"/>
    <n v="146677"/>
    <n v="0"/>
    <n v="13.73"/>
    <n v="-26387.61"/>
    <n v="-80.11"/>
    <n v="9732379.1699999999"/>
    <n v="0.175536"/>
    <n v="1.1394"/>
    <n v="0.20000100000000001"/>
    <s v="CohortTrend+Seasonal(1.139)"/>
    <n v="1946481.27"/>
    <n v="1893423.16"/>
    <n v="53058.11"/>
    <x v="0"/>
    <n v="0"/>
    <n v="0.78500000000000003"/>
    <n v="0.24"/>
    <n v="0"/>
    <n v="0"/>
    <n v="0"/>
    <n v="1893423.16"/>
    <n v="10157087.08"/>
    <n v="0.186414"/>
    <n v="53058.11"/>
    <n v="53071.839999999997"/>
    <n v="0"/>
    <n v="53071.839999999997"/>
    <n v="9679307.3300000001"/>
    <s v="Forecast"/>
  </r>
  <r>
    <x v="3"/>
    <x v="2"/>
    <s v="202404"/>
    <n v="21"/>
    <n v="2594492.9300000002"/>
    <n v="-3.9571645028602512E-2"/>
    <s v="CohortAvg"/>
    <n v="-1.5717346784788241E-2"/>
    <s v="CohortAvg"/>
    <n v="0.17693964555293529"/>
    <s v="CohortAvg"/>
    <n v="2.2233122013651501E-2"/>
    <s v="CohortAvg_NonZero"/>
    <n v="4.9567747949655544E-6"/>
    <s v="CohortAvg"/>
    <n v="0"/>
    <s v="Zero"/>
    <n v="-3.8829007621904799E-3"/>
    <s v="CohortAvg"/>
    <n v="-2.9300909087936149E-5"/>
    <s v="CohortAvg"/>
    <n v="0"/>
    <n v="-102668.35"/>
    <n v="-40778.550000000003"/>
    <n v="38255.72"/>
    <n v="0"/>
    <n v="12.86"/>
    <n v="-10074.16"/>
    <n v="-76.02"/>
    <n v="2489288.89"/>
    <n v="0.130075"/>
    <n v="1.1394"/>
    <n v="0.148203"/>
    <s v="CohortTrend+Seasonal(1.139)"/>
    <n v="368921.04"/>
    <n v="357902.03"/>
    <n v="11019.02"/>
    <x v="0"/>
    <n v="0"/>
    <n v="0.78500000000000003"/>
    <n v="0.24"/>
    <n v="0"/>
    <n v="0"/>
    <n v="0"/>
    <n v="357902.03"/>
    <n v="2594492.9300000002"/>
    <n v="0.13794699999999999"/>
    <n v="11019.02"/>
    <n v="11031.88"/>
    <n v="0"/>
    <n v="11031.88"/>
    <n v="2478257.0099999998"/>
    <s v="Forecast"/>
  </r>
  <r>
    <x v="3"/>
    <x v="2"/>
    <s v="202405"/>
    <n v="20"/>
    <n v="2444416.9300000002"/>
    <n v="-2.2648758434497891E-2"/>
    <s v="CohortAvg"/>
    <n v="-1.5199223407365891E-2"/>
    <s v="CohortAvg"/>
    <n v="0.17589949723966231"/>
    <s v="CohortAvg"/>
    <n v="2.7713929084939651E-2"/>
    <s v="CohortAvg_NonZero"/>
    <n v="6.3672207485761189E-6"/>
    <s v="CohortAvg"/>
    <n v="0"/>
    <s v="Zero"/>
    <n v="-5.973604305429551E-3"/>
    <s v="CohortAvg"/>
    <n v="-4.2367795740502709E-5"/>
    <s v="CohortAvg"/>
    <n v="0"/>
    <n v="-55363.01"/>
    <n v="-37153.24"/>
    <n v="35830.980000000003"/>
    <n v="0"/>
    <n v="15.56"/>
    <n v="-14601.98"/>
    <n v="-103.56"/>
    <n v="2387716.09"/>
    <n v="0.11032"/>
    <n v="1.1394"/>
    <n v="0.125695"/>
    <s v="CohortTrend+Seasonal(1.139)"/>
    <n v="300123.96999999997"/>
    <n v="259518.89"/>
    <n v="40605.08"/>
    <x v="0"/>
    <n v="0"/>
    <n v="0.78500000000000003"/>
    <n v="0.24"/>
    <n v="0"/>
    <n v="0"/>
    <n v="0"/>
    <n v="259518.89"/>
    <n v="2444416.9300000002"/>
    <n v="0.106168"/>
    <n v="40605.08"/>
    <n v="40620.639999999999"/>
    <n v="0"/>
    <n v="40620.639999999999"/>
    <n v="2347095.4500000002"/>
    <s v="Forecast"/>
  </r>
  <r>
    <x v="3"/>
    <x v="2"/>
    <s v="202406"/>
    <n v="19"/>
    <n v="2219445.02"/>
    <n v="-2.9335901055732042E-2"/>
    <s v="CohortAvg"/>
    <n v="-1.492907784780154E-2"/>
    <s v="CohortAvg"/>
    <n v="0.17449430559224399"/>
    <s v="CohortAvg"/>
    <n v="4.9153456178871943E-2"/>
    <s v="CohortAvg_NonZero"/>
    <n v="5.2484387021745892E-6"/>
    <s v="CohortAvg"/>
    <n v="0"/>
    <s v="Zero"/>
    <n v="-5.2042121131925913E-3"/>
    <s v="CohortAvg"/>
    <n v="-5.984908518589608E-5"/>
    <s v="CohortAvg"/>
    <n v="0"/>
    <n v="-65109.42"/>
    <n v="-33134.269999999997"/>
    <n v="32273.38"/>
    <n v="0"/>
    <n v="11.65"/>
    <n v="-11550.46"/>
    <n v="-132.83000000000001"/>
    <n v="2153463.06"/>
    <n v="9.6042000000000002E-2"/>
    <n v="1.1394"/>
    <n v="0.109427"/>
    <s v="DonorCohort:202101+Seasonal(1.139)"/>
    <n v="235648"/>
    <n v="203627.42"/>
    <n v="32020.57"/>
    <x v="0"/>
    <n v="0"/>
    <n v="0.78500000000000003"/>
    <n v="0.24"/>
    <n v="0"/>
    <n v="0"/>
    <n v="0"/>
    <n v="203627.42"/>
    <n v="2219445.02"/>
    <n v="9.1746999999999995E-2"/>
    <n v="32020.57"/>
    <n v="32032.22"/>
    <n v="0"/>
    <n v="32032.22"/>
    <n v="2121430.84"/>
    <s v="Forecast"/>
  </r>
  <r>
    <x v="3"/>
    <x v="2"/>
    <s v="202407"/>
    <n v="18"/>
    <n v="3883329.99"/>
    <n v="-2.7376796033210089E-2"/>
    <s v="CohortAvg"/>
    <n v="-1.5552475071205839E-2"/>
    <s v="CohortAvg"/>
    <n v="0.1777703210880609"/>
    <s v="CohortAvg"/>
    <n v="2.6980810791276729E-2"/>
    <s v="CohortAvg_NonZero"/>
    <n v="8.0580360576048302E-6"/>
    <s v="CohortAvg"/>
    <n v="0"/>
    <s v="Zero"/>
    <n v="-5.6915954524399794E-3"/>
    <s v="CohortAvg"/>
    <n v="-5.2381718768804911E-5"/>
    <s v="CohortAvg"/>
    <n v="0"/>
    <n v="-106313.13"/>
    <n v="-60395.39"/>
    <n v="57528.4"/>
    <n v="0"/>
    <n v="31.29"/>
    <n v="-22102.34"/>
    <n v="-203.42"/>
    <n v="3774118.58"/>
    <n v="8.2997000000000001E-2"/>
    <n v="1.1394"/>
    <n v="9.4563999999999995E-2"/>
    <s v="DonorCohort:202101+Seasonal(1.139)"/>
    <n v="356894.66"/>
    <n v="332506.12"/>
    <n v="24388.54"/>
    <x v="0"/>
    <n v="0"/>
    <n v="0.78500000000000003"/>
    <n v="0.24"/>
    <n v="0"/>
    <n v="0"/>
    <n v="0"/>
    <n v="332506.12"/>
    <n v="3883329.99"/>
    <n v="8.5624000000000006E-2"/>
    <n v="24388.54"/>
    <n v="24419.83"/>
    <n v="0"/>
    <n v="24419.83"/>
    <n v="3749698.75"/>
    <s v="Forecast"/>
  </r>
  <r>
    <x v="3"/>
    <x v="2"/>
    <s v="202408"/>
    <n v="17"/>
    <n v="2691373.77"/>
    <n v="-2.5792053173627611E-2"/>
    <s v="CohortAvg"/>
    <n v="-1.640080970216979E-2"/>
    <s v="CohortAvg"/>
    <n v="0.1897594760806994"/>
    <s v="CohortAvg"/>
    <n v="1.7984362682428291E-2"/>
    <s v="CohortAvg_NonZero"/>
    <n v="2.0866029729138201E-6"/>
    <s v="CohortAvg"/>
    <n v="0"/>
    <s v="Zero"/>
    <n v="-6.3381746095602272E-3"/>
    <s v="CohortAvg"/>
    <n v="-6.3095190866087209E-5"/>
    <s v="CohortAvg"/>
    <n v="0"/>
    <n v="-69416.06"/>
    <n v="-44140.71"/>
    <n v="42559.47"/>
    <n v="0"/>
    <n v="5.62"/>
    <n v="-17058.400000000001"/>
    <n v="-169.81"/>
    <n v="2620370.86"/>
    <n v="7.7456999999999998E-2"/>
    <n v="1.1394"/>
    <n v="8.8252999999999998E-2"/>
    <s v="DonorCohort:202101+Seasonal(1.139)"/>
    <n v="231254.79"/>
    <n v="225964.79999999999"/>
    <n v="5289.99"/>
    <x v="0"/>
    <n v="0"/>
    <n v="0.78500000000000003"/>
    <n v="0.24"/>
    <n v="0"/>
    <n v="0"/>
    <n v="0"/>
    <n v="225964.79999999999"/>
    <n v="2691373.77"/>
    <n v="8.3959000000000006E-2"/>
    <n v="5289.99"/>
    <n v="5295.61"/>
    <n v="0"/>
    <n v="5295.61"/>
    <n v="2615075.25"/>
    <s v="Forecast"/>
  </r>
  <r>
    <x v="3"/>
    <x v="2"/>
    <s v="202409"/>
    <n v="16"/>
    <n v="2676299.2200000002"/>
    <n v="-3.2409068698945172E-2"/>
    <s v="CohortAvg"/>
    <n v="-1.65670271827934E-2"/>
    <s v="CohortAvg"/>
    <n v="0.18777643393590801"/>
    <s v="CohortAvg"/>
    <n v="2.852214854513014E-2"/>
    <s v="CohortAvg_NonZero"/>
    <n v="1.214001340059568E-5"/>
    <s v="CohortAvg"/>
    <n v="0"/>
    <s v="Zero"/>
    <n v="-1.412731357990432E-2"/>
    <s v="CohortAvg"/>
    <n v="-1.207146959271882E-4"/>
    <s v="CohortAvg"/>
    <n v="0"/>
    <n v="-86736.37"/>
    <n v="-44338.32"/>
    <n v="41878.83"/>
    <n v="0"/>
    <n v="32.49"/>
    <n v="-37808.92"/>
    <n v="-323.07"/>
    <n v="2587070.87"/>
    <n v="7.5951000000000005E-2"/>
    <n v="1.1394"/>
    <n v="8.6537000000000003E-2"/>
    <s v="DonorCohort:202101+Seasonal(1.139)"/>
    <n v="223876.1"/>
    <n v="201630.85"/>
    <n v="22245.25"/>
    <x v="0"/>
    <n v="0"/>
    <n v="0.78500000000000003"/>
    <n v="0.24"/>
    <n v="0"/>
    <n v="0"/>
    <n v="0"/>
    <n v="201630.85"/>
    <n v="2676299.2200000002"/>
    <n v="7.5339000000000003E-2"/>
    <n v="22245.25"/>
    <n v="22277.74"/>
    <n v="0"/>
    <n v="22277.74"/>
    <n v="2564793.13"/>
    <s v="Forecast"/>
  </r>
  <r>
    <x v="3"/>
    <x v="2"/>
    <s v="202410"/>
    <n v="15"/>
    <n v="2608263.4300000002"/>
    <n v="-3.6771665632033233E-2"/>
    <s v="CohortAvg"/>
    <n v="-1.651107135946487E-2"/>
    <s v="CohortAvg"/>
    <n v="0.18481551899047"/>
    <s v="CohortAvg"/>
    <n v="2.2390629200048771E-2"/>
    <s v="CohortAvg_NonZero"/>
    <n v="1.031214984973207E-5"/>
    <s v="CohortAvg"/>
    <n v="0"/>
    <s v="Zero"/>
    <n v="-1.089585752227615E-2"/>
    <s v="CohortAvg"/>
    <n v="-1.3137363713891059E-4"/>
    <s v="CohortAvg"/>
    <n v="0"/>
    <n v="-95910.19"/>
    <n v="-43065.22"/>
    <n v="40170.629999999997"/>
    <n v="0"/>
    <n v="26.9"/>
    <n v="-28419.27"/>
    <n v="-342.66"/>
    <n v="2509431.75"/>
    <n v="6.8154000000000006E-2"/>
    <n v="1.1394"/>
    <n v="7.7651999999999999E-2"/>
    <s v="DonorCohort:202101+Seasonal(1.139)"/>
    <n v="194863.43"/>
    <n v="161525.97"/>
    <n v="33337.46"/>
    <x v="0"/>
    <n v="0"/>
    <n v="0.78500000000000003"/>
    <n v="0.24"/>
    <n v="0"/>
    <n v="0"/>
    <n v="0"/>
    <n v="161525.97"/>
    <n v="2608263.4300000002"/>
    <n v="6.1928999999999998E-2"/>
    <n v="33337.46"/>
    <n v="33364.36"/>
    <n v="0"/>
    <n v="33364.36"/>
    <n v="2476067.39"/>
    <s v="Forecast"/>
  </r>
  <r>
    <x v="3"/>
    <x v="2"/>
    <s v="202411"/>
    <n v="14"/>
    <n v="2898548.29"/>
    <n v="-3.5692232799947432E-2"/>
    <s v="CohortAvg"/>
    <n v="-1.7275111263342201E-2"/>
    <s v="CohortAvg"/>
    <n v="0.19296267508656101"/>
    <s v="CohortAvg"/>
    <n v="1.9245221726223859E-2"/>
    <s v="CohortAvg_NonZero"/>
    <n v="6.7583511487295611E-6"/>
    <s v="CohortAvg"/>
    <n v="0"/>
    <s v="Zero"/>
    <n v="-1.2920267373838419E-2"/>
    <s v="CohortAvg"/>
    <n v="-1.17262763459628E-4"/>
    <s v="CohortAvg"/>
    <n v="0"/>
    <n v="-103455.66"/>
    <n v="-50072.74"/>
    <n v="46609.3"/>
    <n v="0"/>
    <n v="19.59"/>
    <n v="-37450.019999999997"/>
    <n v="-339.89"/>
    <n v="2791609.6"/>
    <n v="5.6022000000000002E-2"/>
    <n v="1.1394"/>
    <n v="6.3829999999999998E-2"/>
    <s v="DonorCohort:202101+Seasonal(1.139)"/>
    <n v="178187.9"/>
    <n v="163325.82999999999"/>
    <n v="14862.07"/>
    <x v="0"/>
    <n v="0"/>
    <n v="0.78500000000000003"/>
    <n v="0.24"/>
    <n v="0"/>
    <n v="0"/>
    <n v="0"/>
    <n v="163325.82999999999"/>
    <n v="2898548.29"/>
    <n v="5.6347000000000001E-2"/>
    <n v="14862.07"/>
    <n v="14881.66"/>
    <n v="0"/>
    <n v="14881.66"/>
    <n v="2776727.94"/>
    <s v="Forecast"/>
  </r>
  <r>
    <x v="3"/>
    <x v="2"/>
    <s v="202412"/>
    <n v="13"/>
    <n v="2443414.44"/>
    <n v="-2.318228850728157E-2"/>
    <s v="CohortAvg"/>
    <n v="-1.6636727739747451E-2"/>
    <s v="CohortAvg"/>
    <n v="0.19292129012726511"/>
    <s v="CohortAvg"/>
    <n v="2.550533131363714E-2"/>
    <s v="CohortAvg_NonZero"/>
    <n v="6.3649884760148038E-6"/>
    <s v="CohortAvg"/>
    <n v="0"/>
    <s v="Zero"/>
    <n v="-1.4356730359830939E-2"/>
    <s v="CohortAvg"/>
    <n v="-1.216470514323871E-4"/>
    <s v="CohortAvg"/>
    <n v="0"/>
    <n v="-56643.94"/>
    <n v="-40650.42"/>
    <n v="39282.22"/>
    <n v="0"/>
    <n v="15.55"/>
    <n v="-35079.440000000002"/>
    <n v="-297.23"/>
    <n v="2385386.75"/>
    <n v="5.0972999999999997E-2"/>
    <n v="1.1394"/>
    <n v="5.8076999999999997E-2"/>
    <s v="DonorCohort:202101+Seasonal(1.139)"/>
    <n v="138537"/>
    <n v="124263.02"/>
    <n v="14273.97"/>
    <x v="0"/>
    <n v="0"/>
    <n v="0.78500000000000003"/>
    <n v="0.24"/>
    <n v="0"/>
    <n v="0"/>
    <n v="0"/>
    <n v="124263.02"/>
    <n v="2443414.44"/>
    <n v="5.0855999999999998E-2"/>
    <n v="14273.97"/>
    <n v="14289.52"/>
    <n v="0"/>
    <n v="14289.52"/>
    <n v="2371097.23"/>
    <s v="Forecast"/>
  </r>
  <r>
    <x v="3"/>
    <x v="2"/>
    <s v="202501"/>
    <n v="12"/>
    <n v="4467414.34"/>
    <n v="-2.9395907985431319E-2"/>
    <s v="CohortAvg"/>
    <n v="-1.7282746766677071E-2"/>
    <s v="CohortAvg"/>
    <n v="0.19450236189166559"/>
    <s v="CohortAvg"/>
    <n v="1.330474931884015E-2"/>
    <s v="CohortAvg_NonZero"/>
    <n v="1.7378190508982521E-4"/>
    <s v="CohortAvg"/>
    <n v="0"/>
    <s v="Zero"/>
    <n v="-1.6338942931583781E-2"/>
    <s v="CohortAvg"/>
    <n v="-1.3933459892004679E-4"/>
    <s v="CohortAvg"/>
    <n v="0"/>
    <n v="-131323.70000000001"/>
    <n v="-77209.19"/>
    <n v="72410.22"/>
    <n v="0"/>
    <n v="776.36"/>
    <n v="-72992.83"/>
    <n v="-622.47"/>
    <n v="4330515.3099999996"/>
    <n v="4.6005999999999998E-2"/>
    <n v="1.1394"/>
    <n v="5.2417999999999999E-2"/>
    <s v="DonorCohort:202101+Seasonal(1.139)"/>
    <n v="226995.36"/>
    <n v="195799.62"/>
    <n v="31195.75"/>
    <x v="0"/>
    <n v="0"/>
    <n v="0.78500000000000003"/>
    <n v="0.24"/>
    <n v="0"/>
    <n v="0"/>
    <n v="0"/>
    <n v="195799.62"/>
    <n v="4467414.34"/>
    <n v="4.3827999999999999E-2"/>
    <n v="31195.75"/>
    <n v="31972.1"/>
    <n v="0"/>
    <n v="31972.1"/>
    <n v="4298543.21"/>
    <s v="Forecast"/>
  </r>
  <r>
    <x v="3"/>
    <x v="2"/>
    <s v="202502"/>
    <n v="11"/>
    <n v="4617867.8600000003"/>
    <n v="-3.3368795154928292E-2"/>
    <s v="CohortAvg"/>
    <n v="-1.7581334605485419E-2"/>
    <s v="CohortAvg"/>
    <n v="0.20093578264780981"/>
    <s v="CohortAvg"/>
    <n v="7.9645373695133598E-3"/>
    <s v="CohortAvg_NonZero"/>
    <n v="0"/>
    <s v="CohortAvg"/>
    <n v="0"/>
    <s v="Zero"/>
    <n v="-2.456505476802065E-2"/>
    <s v="CohortAvg"/>
    <n v="-2.245768868233782E-4"/>
    <s v="CohortAvg"/>
    <n v="0"/>
    <n v="-154092.69"/>
    <n v="-81188.28"/>
    <n v="77324.570000000007"/>
    <n v="0"/>
    <n v="0"/>
    <n v="-113438.18"/>
    <n v="-1037.07"/>
    <n v="4459911.47"/>
    <n v="3.9648000000000003E-2"/>
    <n v="1.1394"/>
    <n v="4.5173999999999999E-2"/>
    <s v="DonorCohort:202101+Seasonal(1.139)"/>
    <n v="201471.9"/>
    <n v="167957.4"/>
    <n v="33514.5"/>
    <x v="0"/>
    <n v="0"/>
    <n v="0.78500000000000003"/>
    <n v="0.24"/>
    <n v="0"/>
    <n v="0"/>
    <n v="0"/>
    <n v="167957.4"/>
    <n v="4617867.8600000003"/>
    <n v="3.6371000000000001E-2"/>
    <n v="33514.5"/>
    <n v="33514.5"/>
    <n v="0"/>
    <n v="33514.5"/>
    <n v="4426396.97"/>
    <s v="Forecast"/>
  </r>
  <r>
    <x v="3"/>
    <x v="2"/>
    <s v="202503"/>
    <n v="10"/>
    <n v="5702132.8200000003"/>
    <n v="-2.2893896082493911E-2"/>
    <s v="CohortAvg"/>
    <n v="-1.6885986207794041E-2"/>
    <s v="CohortAvg"/>
    <n v="0.20075942652413911"/>
    <s v="CohortAvg"/>
    <n v="7.1848262480383477E-3"/>
    <s v="CohortAvg_NonZero"/>
    <n v="3.1835237023471077E-7"/>
    <s v="CohortAvg"/>
    <n v="0"/>
    <s v="Zero"/>
    <n v="0"/>
    <s v="CohortAvg"/>
    <n v="0"/>
    <s v="CohortAvg"/>
    <n v="0"/>
    <n v="-130544.04"/>
    <n v="-96286.14"/>
    <n v="95396.41"/>
    <n v="0"/>
    <n v="1.82"/>
    <n v="0"/>
    <n v="0"/>
    <n v="5570697.2400000002"/>
    <n v="3.2902000000000001E-2"/>
    <n v="1.1394"/>
    <n v="3.7488E-2"/>
    <s v="DonorCohort:202101+Seasonal(1.139)"/>
    <n v="208833.34"/>
    <n v="133486.60999999999"/>
    <n v="75346.73"/>
    <x v="0"/>
    <n v="0"/>
    <n v="0.78500000000000003"/>
    <n v="0.24"/>
    <n v="0"/>
    <n v="0"/>
    <n v="0"/>
    <n v="133486.60999999999"/>
    <n v="5702132.8200000003"/>
    <n v="2.341E-2"/>
    <n v="75346.73"/>
    <n v="75348.539999999994"/>
    <n v="0"/>
    <n v="75348.539999999994"/>
    <n v="5495348.7000000002"/>
    <s v="Forecast"/>
  </r>
  <r>
    <x v="3"/>
    <x v="2"/>
    <s v="202504"/>
    <n v="9"/>
    <n v="7219933.0899999999"/>
    <n v="-2.4272547024052848E-2"/>
    <s v="CohortAvg"/>
    <n v="-1.6755314516138511E-2"/>
    <s v="CohortAvg"/>
    <n v="0.1962828300517675"/>
    <s v="CohortAvg"/>
    <n v="3.260907177009143E-3"/>
    <s v="CohortAvg_NonZero"/>
    <n v="0"/>
    <s v="CohortAvg"/>
    <n v="0"/>
    <s v="Zero"/>
    <n v="0"/>
    <s v="CohortAvg"/>
    <n v="0"/>
    <s v="CohortAvg"/>
    <n v="0"/>
    <n v="-175246.17"/>
    <n v="-120972.25"/>
    <n v="118095.74"/>
    <n v="0"/>
    <n v="0"/>
    <n v="0"/>
    <n v="0"/>
    <n v="7041810.4199999999"/>
    <n v="2.1177000000000001E-2"/>
    <n v="1.1394"/>
    <n v="2.4129000000000001E-2"/>
    <s v="DonorCohort:202101+Seasonal(1.139)"/>
    <n v="169909.38"/>
    <n v="123550.58"/>
    <n v="46358.8"/>
    <x v="0"/>
    <n v="0"/>
    <n v="0.78500000000000003"/>
    <n v="0.24"/>
    <n v="0"/>
    <n v="0"/>
    <n v="0"/>
    <n v="123550.58"/>
    <n v="7219933.0899999999"/>
    <n v="1.7111999999999999E-2"/>
    <n v="46358.8"/>
    <n v="46358.8"/>
    <n v="0"/>
    <n v="46358.8"/>
    <n v="6995451.6200000001"/>
    <s v="Forecast"/>
  </r>
  <r>
    <x v="3"/>
    <x v="2"/>
    <s v="202505"/>
    <n v="8"/>
    <n v="6987693.3899999997"/>
    <n v="-2.0160529807176031E-2"/>
    <s v="CohortAvg"/>
    <n v="-1.2180188556450819E-2"/>
    <s v="CohortAvg"/>
    <n v="0.1424915597300771"/>
    <s v="CohortAvg"/>
    <n v="0"/>
    <s v="CohortAvg_NoData_ERROR"/>
    <n v="0"/>
    <s v="CohortAvg"/>
    <n v="0"/>
    <s v="Zero"/>
    <n v="0"/>
    <s v="CohortAvg"/>
    <n v="0"/>
    <s v="CohortAvg"/>
    <n v="0"/>
    <n v="-140875.6"/>
    <n v="-85111.42"/>
    <n v="82973.94"/>
    <n v="0"/>
    <n v="0"/>
    <n v="0"/>
    <n v="0"/>
    <n v="6844680.3099999996"/>
    <n v="1.5480000000000001E-2"/>
    <n v="1.1394"/>
    <n v="1.7638000000000001E-2"/>
    <s v="DonorCohort:202101+Seasonal(1.139)"/>
    <n v="120725.05"/>
    <n v="101800.07"/>
    <n v="18924.98"/>
    <x v="0"/>
    <n v="0"/>
    <n v="0.78500000000000003"/>
    <n v="0.24"/>
    <n v="0"/>
    <n v="0"/>
    <n v="0"/>
    <n v="101800.07"/>
    <n v="6987693.3899999997"/>
    <n v="1.4567999999999999E-2"/>
    <n v="18924.98"/>
    <n v="18924.98"/>
    <n v="0"/>
    <n v="18924.98"/>
    <n v="6825755.3300000001"/>
    <s v="Forecast"/>
  </r>
  <r>
    <x v="3"/>
    <x v="2"/>
    <s v="202506"/>
    <n v="7"/>
    <n v="6927297.9199999999"/>
    <n v="-1.3829184938130439E-2"/>
    <s v="CohortAvg"/>
    <n v="-1.120004393870268E-2"/>
    <s v="CohortAvg"/>
    <n v="0.1361533196231037"/>
    <s v="CohortAvg"/>
    <n v="0"/>
    <s v="CohortAvg_NoData_ERROR"/>
    <n v="0"/>
    <s v="CohortAvg"/>
    <n v="0"/>
    <s v="Zero"/>
    <n v="0"/>
    <s v="CohortAvg"/>
    <n v="0"/>
    <s v="CohortAvg"/>
    <n v="0"/>
    <n v="-95798.88"/>
    <n v="-77586.039999999994"/>
    <n v="78597.88"/>
    <n v="0"/>
    <n v="0"/>
    <n v="0"/>
    <n v="0"/>
    <n v="6832510.8799999999"/>
    <n v="1.3179E-2"/>
    <n v="1.1394"/>
    <n v="1.5016E-2"/>
    <s v="DonorCohort:202101+Seasonal(1.139)"/>
    <n v="102595.24"/>
    <n v="70750.899999999994"/>
    <n v="31844.34"/>
    <x v="0"/>
    <n v="0"/>
    <n v="0.78500000000000003"/>
    <n v="0.24"/>
    <n v="0"/>
    <n v="0"/>
    <n v="0"/>
    <n v="70750.899999999994"/>
    <n v="6927297.9199999999"/>
    <n v="1.0213E-2"/>
    <n v="31844.34"/>
    <n v="31844.34"/>
    <n v="0"/>
    <n v="31844.34"/>
    <n v="6800666.54"/>
    <s v="Forecast"/>
  </r>
  <r>
    <x v="3"/>
    <x v="2"/>
    <s v="202507"/>
    <n v="6"/>
    <n v="8603039.6699999999"/>
    <n v="-1.0214009711545589E-2"/>
    <s v="CohortAvg"/>
    <n v="-1.073486263995504E-2"/>
    <s v="CohortAvg"/>
    <n v="0.1182796490483371"/>
    <s v="CohortAvg"/>
    <n v="0"/>
    <s v="CohortAvg_NoData_ERROR"/>
    <n v="0"/>
    <s v="CohortAvg"/>
    <n v="0"/>
    <s v="Zero"/>
    <n v="0"/>
    <s v="CohortAvg"/>
    <n v="0"/>
    <s v="CohortAvg"/>
    <n v="0"/>
    <n v="-87871.53"/>
    <n v="-92352.45"/>
    <n v="84797.04"/>
    <n v="0"/>
    <n v="0"/>
    <n v="0"/>
    <n v="0"/>
    <n v="8507612.7300000004"/>
    <n v="9.2390000000000007E-3"/>
    <n v="1.1394"/>
    <n v="1.0527E-2"/>
    <s v="DonorCohort:202101+Seasonal(1.139)"/>
    <n v="89558.84"/>
    <n v="60996.95"/>
    <n v="28561.89"/>
    <x v="0"/>
    <n v="0"/>
    <n v="0.78500000000000003"/>
    <n v="0.24"/>
    <n v="0"/>
    <n v="0"/>
    <n v="0"/>
    <n v="60996.95"/>
    <n v="8603039.6699999999"/>
    <n v="7.0899999999999999E-3"/>
    <n v="28561.89"/>
    <n v="28561.89"/>
    <n v="0"/>
    <n v="28561.89"/>
    <n v="8479050.8399999999"/>
    <s v="Forecast"/>
  </r>
  <r>
    <x v="3"/>
    <x v="2"/>
    <s v="202508"/>
    <n v="5"/>
    <n v="7533596.4199999999"/>
    <n v="-9.9358156742782189E-3"/>
    <s v="CohortAvg"/>
    <n v="-6.0779366874564866E-3"/>
    <s v="CohortAvg"/>
    <n v="9.5790596950816612E-2"/>
    <s v="CohortAvg"/>
    <n v="0"/>
    <s v="CohortAvg_NoData_ERROR"/>
    <n v="1.772389811344258E-5"/>
    <s v="CohortAvg"/>
    <n v="0"/>
    <s v="Zero"/>
    <n v="0"/>
    <s v="CohortAvg"/>
    <n v="0"/>
    <s v="CohortAvg"/>
    <n v="0"/>
    <n v="-74852.429999999993"/>
    <n v="-45788.72"/>
    <n v="60137.31"/>
    <n v="0"/>
    <n v="133.52000000000001"/>
    <n v="0"/>
    <n v="0"/>
    <n v="7472959.0599999996"/>
    <n v="6.4140000000000004E-3"/>
    <n v="1.1394"/>
    <n v="7.3080000000000003E-3"/>
    <s v="DonorCohort:202101+Seasonal(1.139)"/>
    <n v="54611.16"/>
    <n v="28846.84"/>
    <n v="25764.32"/>
    <x v="0"/>
    <n v="0"/>
    <n v="0.78500000000000003"/>
    <n v="0.24"/>
    <n v="0"/>
    <n v="0"/>
    <n v="0"/>
    <n v="28846.84"/>
    <n v="7533596.4199999999"/>
    <n v="3.8289999999999999E-3"/>
    <n v="25764.32"/>
    <n v="25897.85"/>
    <n v="0"/>
    <n v="25897.85"/>
    <n v="7447061.21"/>
    <s v="Forecast"/>
  </r>
  <r>
    <x v="3"/>
    <x v="2"/>
    <s v="202509"/>
    <n v="4"/>
    <n v="8727304.4299999997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8727304.4299999997"/>
    <n v="3.4640000000000001E-3"/>
    <n v="1.1394"/>
    <n v="3.947E-3"/>
    <s v="DonorCohort:202101+Seasonal(1.139)"/>
    <n v="34443.61"/>
    <n v="22773.599999999999"/>
    <n v="11670.01"/>
    <x v="0"/>
    <n v="0"/>
    <n v="0.78500000000000003"/>
    <n v="0.24"/>
    <n v="0"/>
    <n v="0"/>
    <n v="0"/>
    <n v="22773.599999999999"/>
    <n v="8727304.4299999997"/>
    <n v="2.6090000000000002E-3"/>
    <n v="11670.01"/>
    <n v="11670.01"/>
    <n v="0"/>
    <n v="11670.01"/>
    <n v="8715634.4199999999"/>
    <s v="Forecast"/>
  </r>
  <r>
    <x v="3"/>
    <x v="3"/>
    <s v="201912"/>
    <n v="73"/>
    <n v="57394.97"/>
    <n v="-8.431643483747751E-3"/>
    <s v="CohortAvg"/>
    <n v="-6.695947352366124E-4"/>
    <s v="CohortAvg"/>
    <n v="0"/>
    <s v="CohortAvg"/>
    <n v="3.054040757996266E-2"/>
    <s v="CohortAvg_NonZero"/>
    <n v="7.1644768037376433E-6"/>
    <s v="CohortAvg"/>
    <n v="0"/>
    <s v="Zero"/>
    <n v="0"/>
    <s v="CohortAvg"/>
    <n v="0"/>
    <s v="CohortAvg"/>
    <n v="0"/>
    <n v="-483.93"/>
    <n v="-38.43"/>
    <n v="0"/>
    <n v="0"/>
    <n v="0.41"/>
    <n v="0"/>
    <n v="0"/>
    <n v="56872.19"/>
    <n v="0.98897199999999996"/>
    <n v="1.0502"/>
    <n v="1.0386070000000001"/>
    <s v="CohortAvg+Seasonal(1.050)"/>
    <n v="59067.83"/>
    <n v="57836.47"/>
    <n v="1231.3599999999999"/>
    <x v="0"/>
    <n v="0"/>
    <n v="0.78500000000000003"/>
    <n v="0.24"/>
    <n v="0"/>
    <n v="0"/>
    <n v="0"/>
    <n v="57836.47"/>
    <n v="57394.97"/>
    <n v="1.007692"/>
    <n v="1231.3599999999999"/>
    <n v="1231.77"/>
    <n v="0"/>
    <n v="1231.77"/>
    <n v="55640.42"/>
    <s v="Forecast"/>
  </r>
  <r>
    <x v="3"/>
    <x v="3"/>
    <s v="202001"/>
    <n v="72"/>
    <n v="983.51"/>
    <n v="-0.5"/>
    <s v="CohortAvg"/>
    <n v="-1.9749626620344749E-4"/>
    <s v="CohortAvg"/>
    <n v="0"/>
    <s v="CohortAvg"/>
    <n v="1.788494414518791E-2"/>
    <s v="CohortAvg_NonZero"/>
    <n v="0"/>
    <s v="CohortAvg"/>
    <n v="0"/>
    <s v="Zero"/>
    <n v="0"/>
    <s v="CohortAvg"/>
    <n v="0"/>
    <s v="CohortAvg"/>
    <n v="0"/>
    <n v="-491.75"/>
    <n v="-0.19"/>
    <n v="0"/>
    <n v="0"/>
    <n v="0"/>
    <n v="0"/>
    <n v="0"/>
    <n v="491.56"/>
    <n v="0.82684999999999997"/>
    <n v="1.0502"/>
    <n v="0.86834699999999998"/>
    <s v="CohortAvg+Seasonal(1.050)"/>
    <n v="426.84"/>
    <n v="816.44"/>
    <n v="-389.6"/>
    <x v="0"/>
    <n v="0"/>
    <n v="0.78500000000000003"/>
    <n v="0.24"/>
    <n v="0"/>
    <n v="0"/>
    <n v="0"/>
    <n v="816.44"/>
    <n v="983.51"/>
    <n v="0.83013400000000004"/>
    <n v="-389.6"/>
    <n v="-389.6"/>
    <n v="0"/>
    <n v="-389.6"/>
    <n v="881.16"/>
    <s v="Forecast"/>
  </r>
  <r>
    <x v="3"/>
    <x v="3"/>
    <s v="202101"/>
    <n v="60"/>
    <n v="1573314.82"/>
    <n v="-0.1066206022791702"/>
    <s v="CohortAvg"/>
    <n v="-9.2210648733976885E-3"/>
    <s v="CohortAvg"/>
    <n v="0.11390860870920461"/>
    <s v="CohortAvg"/>
    <n v="6.6976031955989848E-3"/>
    <s v="CohortAvg_NonZero"/>
    <n v="0"/>
    <s v="CohortAvg"/>
    <n v="0"/>
    <s v="Zero"/>
    <n v="-1.475723396602743E-3"/>
    <s v="CohortAvg"/>
    <n v="-1.589713334590663E-5"/>
    <s v="CohortAvg"/>
    <n v="0"/>
    <n v="-167747.76999999999"/>
    <n v="-14507.64"/>
    <n v="14934.51"/>
    <n v="0"/>
    <n v="0"/>
    <n v="-2321.7800000000002"/>
    <n v="-25.01"/>
    <n v="1405993.92"/>
    <n v="0.27733099999999999"/>
    <n v="1.0502"/>
    <n v="0.29124899999999998"/>
    <s v="CohortAvg+Seasonal(1.050)"/>
    <n v="409494.66"/>
    <n v="443136.4"/>
    <n v="-33641.74"/>
    <x v="0"/>
    <n v="0"/>
    <n v="0.78500000000000003"/>
    <n v="0.24"/>
    <n v="0"/>
    <n v="0"/>
    <n v="0"/>
    <n v="443136.4"/>
    <n v="1573314.82"/>
    <n v="0.28165800000000002"/>
    <n v="-33641.74"/>
    <n v="-33641.74"/>
    <n v="0"/>
    <n v="-33641.74"/>
    <n v="1439635.66"/>
    <s v="Forecast"/>
  </r>
  <r>
    <x v="3"/>
    <x v="3"/>
    <s v="202201"/>
    <n v="40"/>
    <n v="344137.65"/>
    <n v="-8.8927699348220382E-2"/>
    <s v="CohortAvg"/>
    <n v="-1.067836342473562E-2"/>
    <s v="CohortAvg"/>
    <n v="0.1157779320794623"/>
    <s v="CohortAvg"/>
    <n v="2.654627867911501E-2"/>
    <s v="CohortAvg_NonZero"/>
    <n v="6.8932604370829933E-4"/>
    <s v="CohortAvg"/>
    <n v="0"/>
    <s v="Zero"/>
    <n v="-1.274958209086699E-3"/>
    <s v="CohortAvg"/>
    <n v="-1.004902003614453E-5"/>
    <s v="CohortAvg"/>
    <n v="0"/>
    <n v="-30603.37"/>
    <n v="-3674.83"/>
    <n v="3320.3"/>
    <n v="0"/>
    <n v="237.22"/>
    <n v="-438.76"/>
    <n v="-3.46"/>
    <n v="312942.53000000003"/>
    <n v="0.29838199999999998"/>
    <n v="1.0502"/>
    <n v="0.313357"/>
    <s v="CohortAvg+Seasonal(1.050)"/>
    <n v="98062.8"/>
    <n v="110234.5"/>
    <n v="-12171.69"/>
    <x v="0"/>
    <n v="0"/>
    <n v="0.78500000000000003"/>
    <n v="0.24"/>
    <n v="0"/>
    <n v="0"/>
    <n v="0"/>
    <n v="110234.5"/>
    <n v="344137.65"/>
    <n v="0.32032100000000002"/>
    <n v="-12171.69"/>
    <n v="-11934.47"/>
    <n v="0"/>
    <n v="-11934.47"/>
    <n v="324877"/>
    <s v="Forecast"/>
  </r>
  <r>
    <x v="3"/>
    <x v="3"/>
    <s v="202301"/>
    <n v="31"/>
    <n v="3794829.13"/>
    <n v="-7.1409834081405707E-2"/>
    <s v="CohortAvg"/>
    <n v="-1.6150459216746051E-2"/>
    <s v="CohortAvg"/>
    <n v="0.19147290623310739"/>
    <s v="CohortAvg"/>
    <n v="2.222665895979779E-2"/>
    <s v="CohortAvg_NonZero"/>
    <n v="3.5537521616218489E-5"/>
    <s v="CohortAvg"/>
    <n v="0"/>
    <s v="Zero"/>
    <n v="-3.1935171841706322E-3"/>
    <s v="CohortAvg"/>
    <n v="-2.8690107674453831E-5"/>
    <s v="CohortAvg"/>
    <n v="0"/>
    <n v="-270988.12"/>
    <n v="-61288.23"/>
    <n v="60550.58"/>
    <n v="0"/>
    <n v="134.86000000000001"/>
    <n v="-12118.85"/>
    <n v="-108.87"/>
    <n v="3522968.5"/>
    <n v="0.226886"/>
    <n v="1.0502"/>
    <n v="0.23827300000000001"/>
    <s v="CohortTrend+Seasonal(1.050)"/>
    <n v="839426.72"/>
    <n v="844368.39"/>
    <n v="-4941.67"/>
    <x v="0"/>
    <n v="0"/>
    <n v="0.78500000000000003"/>
    <n v="0.24"/>
    <n v="0"/>
    <n v="0"/>
    <n v="0"/>
    <n v="844368.39"/>
    <n v="3794829.13"/>
    <n v="0.22250500000000001"/>
    <n v="-4941.67"/>
    <n v="-4806.8100000000004"/>
    <n v="0"/>
    <n v="-4806.8100000000004"/>
    <n v="3527775.31"/>
    <s v="Forecast"/>
  </r>
  <r>
    <x v="3"/>
    <x v="3"/>
    <s v="202404"/>
    <n v="21"/>
    <n v="921962.65"/>
    <n v="-4.9099151077968077E-2"/>
    <s v="CohortAvg"/>
    <n v="-1.7474503686570692E-2"/>
    <s v="CohortAvg"/>
    <n v="0.19438061820859101"/>
    <s v="CohortAvg"/>
    <n v="5.3911545475189782E-2"/>
    <s v="CohortAvg_NonZero"/>
    <n v="1.0500711936719401E-5"/>
    <s v="CohortAvg"/>
    <n v="0"/>
    <s v="Zero"/>
    <n v="-1.1707001059722151E-2"/>
    <s v="CohortAvg"/>
    <n v="-1.2670499329050749E-4"/>
    <s v="CohortAvg"/>
    <n v="0"/>
    <n v="-45267.58"/>
    <n v="-16110.84"/>
    <n v="14934.31"/>
    <n v="0"/>
    <n v="9.68"/>
    <n v="-10793.42"/>
    <n v="-116.82"/>
    <n v="875508.85"/>
    <n v="0.14480299999999999"/>
    <n v="1.0502"/>
    <n v="0.15207100000000001"/>
    <s v="CohortTrend+Seasonal(1.050)"/>
    <n v="133139.21"/>
    <n v="131351.14000000001"/>
    <n v="1788.07"/>
    <x v="0"/>
    <n v="0"/>
    <n v="0.78500000000000003"/>
    <n v="0.24"/>
    <n v="0"/>
    <n v="0"/>
    <n v="0"/>
    <n v="131351.14000000001"/>
    <n v="921962.65"/>
    <n v="0.14246900000000001"/>
    <n v="1788.07"/>
    <n v="1797.75"/>
    <n v="0"/>
    <n v="1797.75"/>
    <n v="873711.1"/>
    <s v="Forecast"/>
  </r>
  <r>
    <x v="3"/>
    <x v="3"/>
    <s v="202405"/>
    <n v="20"/>
    <n v="819877.48"/>
    <n v="-5.1675406605390418E-2"/>
    <s v="CohortAvg"/>
    <n v="-1.795117691610024E-2"/>
    <s v="CohortAvg"/>
    <n v="0.20262929975062899"/>
    <s v="CohortAvg"/>
    <n v="4.1082782284566237E-2"/>
    <s v="CohortAvg_NonZero"/>
    <n v="1.706501258656442E-5"/>
    <s v="CohortAvg"/>
    <n v="0"/>
    <s v="Zero"/>
    <n v="-1.276025262979872E-2"/>
    <s v="CohortAvg"/>
    <n v="-1.1622297625847549E-4"/>
    <s v="CohortAvg"/>
    <n v="0"/>
    <n v="-42367.5"/>
    <n v="-14717.77"/>
    <n v="13844.27"/>
    <n v="0"/>
    <n v="13.99"/>
    <n v="-10461.84"/>
    <n v="-95.29"/>
    <n v="776622.49"/>
    <n v="0.123209"/>
    <n v="1.0502"/>
    <n v="0.12939300000000001"/>
    <s v="CohortTrend+Seasonal(1.050)"/>
    <n v="100489.48"/>
    <n v="60029.55"/>
    <n v="40459.93"/>
    <x v="0"/>
    <n v="0"/>
    <n v="0.78500000000000003"/>
    <n v="0.24"/>
    <n v="0"/>
    <n v="0"/>
    <n v="0"/>
    <n v="60029.55"/>
    <n v="819877.48"/>
    <n v="7.3218000000000005E-2"/>
    <n v="40459.93"/>
    <n v="40473.919999999998"/>
    <n v="0"/>
    <n v="40473.919999999998"/>
    <n v="736148.57"/>
    <s v="Forecast"/>
  </r>
  <r>
    <x v="3"/>
    <x v="3"/>
    <s v="202406"/>
    <n v="19"/>
    <n v="993281.63"/>
    <n v="-4.9061467839594468E-2"/>
    <s v="CohortAvg"/>
    <n v="-1.8202075952677269E-2"/>
    <s v="CohortAvg"/>
    <n v="0.20599488729705659"/>
    <s v="CohortAvg"/>
    <n v="3.501161684051194E-2"/>
    <s v="CohortAvg_NonZero"/>
    <n v="1.1526600633692699E-5"/>
    <s v="CohortAvg"/>
    <n v="0"/>
    <s v="Zero"/>
    <n v="-1.590801344137547E-2"/>
    <s v="CohortAvg"/>
    <n v="-1.408102072470345E-4"/>
    <s v="CohortAvg"/>
    <n v="0"/>
    <n v="-48731.85"/>
    <n v="-18079.79"/>
    <n v="17050.91"/>
    <n v="0"/>
    <n v="11.45"/>
    <n v="-15801.14"/>
    <n v="-139.86000000000001"/>
    <n v="943509.45"/>
    <n v="7.1835999999999997E-2"/>
    <n v="1.0502"/>
    <n v="7.5440999999999994E-2"/>
    <s v="DonorCohort:202101+Seasonal(1.050)"/>
    <n v="71179.539999999994"/>
    <n v="62438.35"/>
    <n v="8741.19"/>
    <x v="0"/>
    <n v="0"/>
    <n v="0.78500000000000003"/>
    <n v="0.24"/>
    <n v="0"/>
    <n v="0"/>
    <n v="0"/>
    <n v="62438.35"/>
    <n v="993281.63"/>
    <n v="6.2861E-2"/>
    <n v="8741.19"/>
    <n v="8752.64"/>
    <n v="0"/>
    <n v="8752.64"/>
    <n v="934756.81"/>
    <s v="Forecast"/>
  </r>
  <r>
    <x v="3"/>
    <x v="3"/>
    <s v="202407"/>
    <n v="18"/>
    <n v="960673.24"/>
    <n v="-6.3161608086686735E-2"/>
    <s v="CohortAvg"/>
    <n v="-1.8743949417311039E-2"/>
    <s v="CohortAvg"/>
    <n v="0.20996616368597401"/>
    <s v="CohortAvg"/>
    <n v="2.471150664643651E-2"/>
    <s v="CohortAvg_NonZero"/>
    <n v="1.6896215304252619E-5"/>
    <s v="CohortAvg"/>
    <n v="0"/>
    <s v="Zero"/>
    <n v="-1.835818223732583E-2"/>
    <s v="CohortAvg"/>
    <n v="-2.117010352910093E-4"/>
    <s v="CohortAvg"/>
    <n v="0"/>
    <n v="-60677.67"/>
    <n v="-18006.810000000001"/>
    <n v="16809.07"/>
    <n v="0"/>
    <n v="16.23"/>
    <n v="-17636.21"/>
    <n v="-203.38"/>
    <n v="898781.6"/>
    <n v="6.1674E-2"/>
    <n v="1.0502"/>
    <n v="6.4769999999999994E-2"/>
    <s v="DonorCohort:202101+Seasonal(1.050)"/>
    <n v="58213.81"/>
    <n v="57516.02"/>
    <n v="697.79"/>
    <x v="0"/>
    <n v="0"/>
    <n v="0.78500000000000003"/>
    <n v="0.24"/>
    <n v="0"/>
    <n v="0"/>
    <n v="0"/>
    <n v="57516.02"/>
    <n v="960673.24"/>
    <n v="5.9871000000000001E-2"/>
    <n v="697.79"/>
    <n v="714.02"/>
    <n v="0"/>
    <n v="714.02"/>
    <n v="898067.58"/>
    <s v="Forecast"/>
  </r>
  <r>
    <x v="3"/>
    <x v="3"/>
    <s v="202408"/>
    <n v="17"/>
    <n v="1103076.69"/>
    <n v="-4.8618416140277981E-2"/>
    <s v="CohortAvg"/>
    <n v="-1.9157249182616749E-2"/>
    <s v="CohortAvg"/>
    <n v="0.2160519176371799"/>
    <s v="CohortAvg"/>
    <n v="2.8569332515274201E-2"/>
    <s v="CohortAvg_NonZero"/>
    <n v="1.8907996646592241E-5"/>
    <s v="CohortAvg"/>
    <n v="0"/>
    <s v="Zero"/>
    <n v="-1.5489801084519439E-2"/>
    <s v="CohortAvg"/>
    <n v="-1.507205626106492E-4"/>
    <s v="CohortAvg"/>
    <n v="0"/>
    <n v="-53629.84"/>
    <n v="-21131.919999999998"/>
    <n v="19860.150000000001"/>
    <n v="0"/>
    <n v="20.86"/>
    <n v="-17086.439999999999"/>
    <n v="-166.26"/>
    <n v="1048154.23"/>
    <n v="5.8741000000000002E-2"/>
    <n v="1.0502"/>
    <n v="6.1689000000000001E-2"/>
    <s v="DonorCohort:202101+Seasonal(1.050)"/>
    <n v="64659.31"/>
    <n v="61709.54"/>
    <n v="2949.77"/>
    <x v="0"/>
    <n v="0"/>
    <n v="0.78500000000000003"/>
    <n v="0.24"/>
    <n v="0"/>
    <n v="0"/>
    <n v="0"/>
    <n v="61709.54"/>
    <n v="1103076.69"/>
    <n v="5.5943E-2"/>
    <n v="2949.77"/>
    <n v="2970.63"/>
    <n v="0"/>
    <n v="2970.63"/>
    <n v="1045183.6"/>
    <s v="Forecast"/>
  </r>
  <r>
    <x v="3"/>
    <x v="3"/>
    <s v="202409"/>
    <n v="16"/>
    <n v="971258.49"/>
    <n v="-6.57783730231669E-2"/>
    <s v="CohortAvg"/>
    <n v="-1.9753852054636829E-2"/>
    <s v="CohortAvg"/>
    <n v="0.21284904724259779"/>
    <s v="CohortAvg"/>
    <n v="3.0390669144150589E-2"/>
    <s v="CohortAvg_NonZero"/>
    <n v="1.449904330292049E-5"/>
    <s v="CohortAvg"/>
    <n v="0"/>
    <s v="Zero"/>
    <n v="-2.0618207599408189E-2"/>
    <s v="CohortAvg"/>
    <n v="-1.942062143961221E-4"/>
    <s v="CohortAvg"/>
    <n v="0"/>
    <n v="-63887.8"/>
    <n v="-19186.099999999999"/>
    <n v="17227.62"/>
    <n v="0"/>
    <n v="14.08"/>
    <n v="-20025.61"/>
    <n v="-188.62"/>
    <n v="905398.13"/>
    <n v="5.4886999999999998E-2"/>
    <n v="1.0502"/>
    <n v="5.7641999999999999E-2"/>
    <s v="DonorCohort:202101+Seasonal(1.050)"/>
    <n v="52189"/>
    <n v="50567.57"/>
    <n v="1621.44"/>
    <x v="0"/>
    <n v="0"/>
    <n v="0.78500000000000003"/>
    <n v="0.24"/>
    <n v="0"/>
    <n v="0"/>
    <n v="0"/>
    <n v="50567.57"/>
    <n v="971258.49"/>
    <n v="5.2063999999999999E-2"/>
    <n v="1621.44"/>
    <n v="1635.52"/>
    <n v="0"/>
    <n v="1635.52"/>
    <n v="903762.61"/>
    <s v="Forecast"/>
  </r>
  <r>
    <x v="3"/>
    <x v="3"/>
    <s v="202410"/>
    <n v="15"/>
    <n v="949883.96"/>
    <n v="-4.9371680961423567E-2"/>
    <s v="CohortAvg"/>
    <n v="-1.9641667987540051E-2"/>
    <s v="CohortAvg"/>
    <n v="0.21624417152387229"/>
    <s v="CohortAvg"/>
    <n v="3.131453038159418E-2"/>
    <s v="CohortAvg_NonZero"/>
    <n v="8.151186986528729E-6"/>
    <s v="CohortAvg"/>
    <n v="0"/>
    <s v="Zero"/>
    <n v="-2.7870182240532421E-2"/>
    <s v="CohortAvg"/>
    <n v="-2.7373503754581178E-4"/>
    <s v="CohortAvg"/>
    <n v="0"/>
    <n v="-46897.37"/>
    <n v="-18657.310000000001"/>
    <n v="17117.240000000002"/>
    <n v="0"/>
    <n v="7.74"/>
    <n v="-26473.439999999999"/>
    <n v="-260.02"/>
    <n v="901438.79"/>
    <n v="5.1081000000000001E-2"/>
    <n v="1.0502"/>
    <n v="5.3644999999999998E-2"/>
    <s v="DonorCohort:202101+Seasonal(1.050)"/>
    <n v="48357.77"/>
    <n v="41687.18"/>
    <n v="6670.59"/>
    <x v="0"/>
    <n v="0"/>
    <n v="0.78500000000000003"/>
    <n v="0.24"/>
    <n v="0"/>
    <n v="0"/>
    <n v="0"/>
    <n v="41687.18"/>
    <n v="949883.96"/>
    <n v="4.3887000000000002E-2"/>
    <n v="6670.59"/>
    <n v="6678.34"/>
    <n v="0"/>
    <n v="6678.34"/>
    <n v="894760.45"/>
    <s v="Forecast"/>
  </r>
  <r>
    <x v="3"/>
    <x v="3"/>
    <s v="202411"/>
    <n v="14"/>
    <n v="1071008.1499999999"/>
    <n v="-5.1570758283891578E-2"/>
    <s v="CohortAvg"/>
    <n v="-1.990582858949988E-2"/>
    <s v="CohortAvg"/>
    <n v="0.22556291376267409"/>
    <s v="CohortAvg"/>
    <n v="2.6392625652517349E-2"/>
    <s v="CohortAvg_NonZero"/>
    <n v="4.6441648295893534E-6"/>
    <s v="CohortAvg"/>
    <n v="0"/>
    <s v="Zero"/>
    <n v="-3.110509448473605E-2"/>
    <s v="CohortAvg"/>
    <n v="-3.1366163347224337E-4"/>
    <s v="CohortAvg"/>
    <n v="0"/>
    <n v="-55232.7"/>
    <n v="-21319.3"/>
    <n v="20131.64"/>
    <n v="0"/>
    <n v="4.97"/>
    <n v="-33313.81"/>
    <n v="-335.93"/>
    <n v="1014582.81"/>
    <n v="4.3057999999999999E-2"/>
    <n v="1.0502"/>
    <n v="4.5219000000000002E-2"/>
    <s v="DonorCohort:202101+Seasonal(1.050)"/>
    <n v="45878.82"/>
    <n v="41510.57"/>
    <n v="4368.24"/>
    <x v="0"/>
    <n v="0"/>
    <n v="0.78500000000000003"/>
    <n v="0.24"/>
    <n v="0"/>
    <n v="0"/>
    <n v="0"/>
    <n v="41510.57"/>
    <n v="1071008.1499999999"/>
    <n v="3.8758000000000001E-2"/>
    <n v="4368.24"/>
    <n v="4373.22"/>
    <n v="0"/>
    <n v="4373.22"/>
    <n v="1010209.59"/>
    <s v="Forecast"/>
  </r>
  <r>
    <x v="3"/>
    <x v="3"/>
    <s v="202412"/>
    <n v="13"/>
    <n v="1140187.05"/>
    <n v="-5.0961067491199469E-2"/>
    <s v="CohortAvg"/>
    <n v="-2.0473826695062161E-2"/>
    <s v="CohortAvg"/>
    <n v="0.22738501078673659"/>
    <s v="CohortAvg"/>
    <n v="2.7777444789562969E-2"/>
    <s v="CohortAvg_NonZero"/>
    <n v="1.036647892345465E-5"/>
    <s v="CohortAvg"/>
    <n v="0"/>
    <s v="Zero"/>
    <n v="-4.366579164480186E-2"/>
    <s v="CohortAvg"/>
    <n v="-4.7671463374574142E-4"/>
    <s v="CohortAvg"/>
    <n v="0"/>
    <n v="-58105.15"/>
    <n v="-23343.99"/>
    <n v="21605.119999999999"/>
    <n v="0"/>
    <n v="11.82"/>
    <n v="-49787.17"/>
    <n v="-543.54"/>
    <n v="1080331.21"/>
    <n v="3.8026999999999998E-2"/>
    <n v="1.0502"/>
    <n v="3.9934999999999998E-2"/>
    <s v="DonorCohort:202101+Seasonal(1.050)"/>
    <n v="43143.53"/>
    <n v="39320.769999999997"/>
    <n v="3822.75"/>
    <x v="0"/>
    <n v="0"/>
    <n v="0.78500000000000003"/>
    <n v="0.24"/>
    <n v="0"/>
    <n v="0"/>
    <n v="0"/>
    <n v="39320.769999999997"/>
    <n v="1140187.05"/>
    <n v="3.4486000000000003E-2"/>
    <n v="3822.75"/>
    <n v="3834.57"/>
    <n v="0"/>
    <n v="3834.57"/>
    <n v="1076496.6299999999"/>
    <s v="Forecast"/>
  </r>
  <r>
    <x v="3"/>
    <x v="3"/>
    <s v="202501"/>
    <n v="12"/>
    <n v="1852490.51"/>
    <n v="-5.0749990728920731E-2"/>
    <s v="CohortAvg"/>
    <n v="-2.0622913385006349E-2"/>
    <s v="CohortAvg"/>
    <n v="0.2292840590762199"/>
    <s v="CohortAvg"/>
    <n v="1.2242568313491299E-2"/>
    <s v="CohortAvg_NonZero"/>
    <n v="2.032696544080105E-5"/>
    <s v="CohortAvg"/>
    <n v="0"/>
    <s v="Zero"/>
    <n v="-4.1635291794851093E-2"/>
    <s v="CohortAvg"/>
    <n v="-4.6261911113345422E-4"/>
    <s v="CohortAvg"/>
    <n v="0"/>
    <n v="-94013.88"/>
    <n v="-38203.75"/>
    <n v="35395.550000000003"/>
    <n v="0"/>
    <n v="37.659999999999997"/>
    <n v="-77128.98"/>
    <n v="-857"/>
    <n v="1755630.78"/>
    <n v="3.3834999999999997E-2"/>
    <n v="1.0502"/>
    <n v="3.5534000000000003E-2"/>
    <s v="DonorCohort:202101+Seasonal(1.050)"/>
    <n v="62383.82"/>
    <n v="53695.77"/>
    <n v="8688.0499999999993"/>
    <x v="0"/>
    <n v="0"/>
    <n v="0.78500000000000003"/>
    <n v="0.24"/>
    <n v="0"/>
    <n v="0"/>
    <n v="0"/>
    <n v="53695.77"/>
    <n v="1852490.51"/>
    <n v="2.8986000000000001E-2"/>
    <n v="8688.0499999999993"/>
    <n v="8725.7000000000007"/>
    <n v="0"/>
    <n v="8725.7000000000007"/>
    <n v="1746905.07"/>
    <s v="Forecast"/>
  </r>
  <r>
    <x v="3"/>
    <x v="3"/>
    <s v="202502"/>
    <n v="11"/>
    <n v="2011255.82"/>
    <n v="-5.2034608635706768E-2"/>
    <s v="CohortAvg"/>
    <n v="-1.9805227936786549E-2"/>
    <s v="CohortAvg"/>
    <n v="0.23508251342460931"/>
    <s v="CohortAvg"/>
    <n v="1.579614661818713E-2"/>
    <s v="CohortAvg_NonZero"/>
    <n v="2.7763807246954282E-4"/>
    <s v="CohortAvg"/>
    <n v="0"/>
    <s v="Zero"/>
    <n v="-6.5095836768006635E-2"/>
    <s v="CohortAvg"/>
    <n v="-8.4645324021612092E-4"/>
    <s v="CohortAvg"/>
    <n v="0"/>
    <n v="-104654.91"/>
    <n v="-39833.379999999997"/>
    <n v="39400.92"/>
    <n v="0"/>
    <n v="558.4"/>
    <n v="-130924.38"/>
    <n v="-1702.43"/>
    <n v="1905610.05"/>
    <n v="2.8438999999999999E-2"/>
    <n v="1.0502"/>
    <n v="2.9866E-2"/>
    <s v="DonorCohort:202101+Seasonal(1.050)"/>
    <n v="56912.93"/>
    <n v="43804.42"/>
    <n v="13108.51"/>
    <x v="0"/>
    <n v="0"/>
    <n v="0.78500000000000003"/>
    <n v="0.24"/>
    <n v="0"/>
    <n v="0"/>
    <n v="0"/>
    <n v="43804.42"/>
    <n v="2011255.82"/>
    <n v="2.1780000000000001E-2"/>
    <n v="13108.51"/>
    <n v="13666.91"/>
    <n v="0"/>
    <n v="13666.91"/>
    <n v="1891943.14"/>
    <s v="Forecast"/>
  </r>
  <r>
    <x v="3"/>
    <x v="3"/>
    <s v="202503"/>
    <n v="10"/>
    <n v="2268272.79"/>
    <n v="-4.6816503503547817E-2"/>
    <s v="CohortAvg"/>
    <n v="-2.1833646676186411E-2"/>
    <s v="CohortAvg"/>
    <n v="0.25426812716494612"/>
    <s v="CohortAvg"/>
    <n v="4.6176837495393924E-3"/>
    <s v="CohortAvg_NonZero"/>
    <n v="1.4186305735096609E-6"/>
    <s v="CohortAvg"/>
    <n v="0"/>
    <s v="Zero"/>
    <n v="0"/>
    <s v="CohortAvg"/>
    <n v="0"/>
    <s v="CohortAvg"/>
    <n v="0"/>
    <n v="-106192.6"/>
    <n v="-49524.67"/>
    <n v="48062.46"/>
    <n v="0"/>
    <n v="3.22"/>
    <n v="0"/>
    <n v="0"/>
    <n v="2160614.7599999998"/>
    <n v="2.1368999999999999E-2"/>
    <n v="1.0502"/>
    <n v="2.2440999999999999E-2"/>
    <s v="DonorCohort:202101+Seasonal(1.050)"/>
    <n v="48486.49"/>
    <n v="43016.74"/>
    <n v="5469.74"/>
    <x v="0"/>
    <n v="0"/>
    <n v="0.78500000000000003"/>
    <n v="0.24"/>
    <n v="0"/>
    <n v="0"/>
    <n v="0"/>
    <n v="43016.74"/>
    <n v="2268272.79"/>
    <n v="1.8964999999999999E-2"/>
    <n v="5469.74"/>
    <n v="5472.96"/>
    <n v="0"/>
    <n v="5472.96"/>
    <n v="2155141.7999999998"/>
    <s v="Forecast"/>
  </r>
  <r>
    <x v="3"/>
    <x v="3"/>
    <s v="202504"/>
    <n v="9"/>
    <n v="2005823.28"/>
    <n v="-5.4556421673629812E-2"/>
    <s v="CohortAvg"/>
    <n v="-2.180849347125656E-2"/>
    <s v="CohortAvg"/>
    <n v="0.2516418569132976"/>
    <s v="CohortAvg"/>
    <n v="2.1791689037598898E-3"/>
    <s v="CohortAvg_NonZero"/>
    <n v="9.6956346740254387E-7"/>
    <s v="CohortAvg"/>
    <n v="0"/>
    <s v="Zero"/>
    <n v="0"/>
    <s v="CohortAvg"/>
    <n v="0"/>
    <s v="CohortAvg"/>
    <n v="0"/>
    <n v="-109430.54"/>
    <n v="-43743.98"/>
    <n v="42062.42"/>
    <n v="0"/>
    <n v="1.94"/>
    <n v="0"/>
    <n v="0"/>
    <n v="1894709.24"/>
    <n v="1.8606999999999999E-2"/>
    <n v="1.0502"/>
    <n v="1.9539999999999998E-2"/>
    <s v="DonorCohort:202101+Seasonal(1.050)"/>
    <n v="37023.51"/>
    <n v="33212.300000000003"/>
    <n v="3811.21"/>
    <x v="0"/>
    <n v="0"/>
    <n v="0.78500000000000003"/>
    <n v="0.24"/>
    <n v="0"/>
    <n v="0"/>
    <n v="0"/>
    <n v="33212.300000000003"/>
    <n v="2005823.28"/>
    <n v="1.6558E-2"/>
    <n v="3811.21"/>
    <n v="3813.16"/>
    <n v="0"/>
    <n v="3813.16"/>
    <n v="1890896.08"/>
    <s v="Forecast"/>
  </r>
  <r>
    <x v="3"/>
    <x v="3"/>
    <s v="202505"/>
    <n v="8"/>
    <n v="2267103.88"/>
    <n v="-3.6280090957890518E-2"/>
    <s v="CohortAvg"/>
    <n v="-1.5803450168026111E-2"/>
    <s v="CohortAvg"/>
    <n v="0.17884249558810211"/>
    <s v="CohortAvg"/>
    <n v="0"/>
    <s v="CohortAvg_NoData_ERROR"/>
    <n v="0"/>
    <s v="CohortAvg"/>
    <n v="0"/>
    <s v="Zero"/>
    <n v="0"/>
    <s v="CohortAvg"/>
    <n v="0"/>
    <s v="CohortAvg"/>
    <n v="0"/>
    <n v="-82250.73"/>
    <n v="-35828.06"/>
    <n v="33787.879999999997"/>
    <n v="0"/>
    <n v="0"/>
    <n v="0"/>
    <n v="0"/>
    <n v="2182812.96"/>
    <n v="1.6244999999999999E-2"/>
    <n v="1.0502"/>
    <n v="1.7061E-2"/>
    <s v="DonorCohort:202101+Seasonal(1.050)"/>
    <n v="37240.51"/>
    <n v="28697.13"/>
    <n v="8543.3700000000008"/>
    <x v="0"/>
    <n v="0"/>
    <n v="0.78500000000000003"/>
    <n v="0.24"/>
    <n v="0"/>
    <n v="0"/>
    <n v="0"/>
    <n v="28697.13"/>
    <n v="2267103.88"/>
    <n v="1.2658000000000001E-2"/>
    <n v="8543.3700000000008"/>
    <n v="8543.3700000000008"/>
    <n v="0"/>
    <n v="8543.3700000000008"/>
    <n v="2174269.58"/>
    <s v="Forecast"/>
  </r>
  <r>
    <x v="3"/>
    <x v="3"/>
    <s v="202506"/>
    <n v="7"/>
    <n v="2598695.4700000002"/>
    <n v="-3.6966408872796203E-2"/>
    <s v="CohortAvg"/>
    <n v="-1.5574290291471371E-2"/>
    <s v="CohortAvg"/>
    <n v="0.17629224753004841"/>
    <s v="CohortAvg"/>
    <n v="0"/>
    <s v="CohortAvg_NoData_ERROR"/>
    <n v="0"/>
    <s v="CohortAvg"/>
    <n v="0"/>
    <s v="Zero"/>
    <n v="0"/>
    <s v="CohortAvg"/>
    <n v="0"/>
    <s v="CohortAvg"/>
    <n v="0"/>
    <n v="-96064.44"/>
    <n v="-40472.839999999997"/>
    <n v="38177.49"/>
    <n v="0"/>
    <n v="0"/>
    <n v="0"/>
    <n v="0"/>
    <n v="2500335.69"/>
    <n v="1.2418999999999999E-2"/>
    <n v="1.0502"/>
    <n v="1.3042E-2"/>
    <s v="DonorCohort:202101+Seasonal(1.050)"/>
    <n v="32610.55"/>
    <n v="28130.46"/>
    <n v="4480.1000000000004"/>
    <x v="0"/>
    <n v="0"/>
    <n v="0.78500000000000003"/>
    <n v="0.24"/>
    <n v="0"/>
    <n v="0"/>
    <n v="0"/>
    <n v="28130.46"/>
    <n v="2598695.4700000002"/>
    <n v="1.0825E-2"/>
    <n v="4480.1000000000004"/>
    <n v="4480.1000000000004"/>
    <n v="0"/>
    <n v="4480.1000000000004"/>
    <n v="2495855.59"/>
    <s v="Forecast"/>
  </r>
  <r>
    <x v="3"/>
    <x v="3"/>
    <s v="202507"/>
    <n v="6"/>
    <n v="3059349.9"/>
    <n v="-2.4853300804882811E-2"/>
    <s v="CohortAvg"/>
    <n v="-1.4924644808803469E-2"/>
    <s v="CohortAvg"/>
    <n v="0.1614882229649135"/>
    <s v="CohortAvg"/>
    <n v="0"/>
    <s v="CohortAvg_NoData_ERROR"/>
    <n v="0"/>
    <s v="CohortAvg"/>
    <n v="0"/>
    <s v="Zero"/>
    <n v="0"/>
    <s v="CohortAvg"/>
    <n v="0"/>
    <s v="CohortAvg"/>
    <n v="0"/>
    <n v="-76034.94"/>
    <n v="-45659.71"/>
    <n v="41170.75"/>
    <n v="0"/>
    <n v="0"/>
    <n v="0"/>
    <n v="0"/>
    <n v="2978825.99"/>
    <n v="1.0621E-2"/>
    <n v="1.0502"/>
    <n v="1.1154000000000001E-2"/>
    <s v="DonorCohort:202101+Seasonal(1.050)"/>
    <n v="33224.57"/>
    <n v="21363.49"/>
    <n v="11861.08"/>
    <x v="0"/>
    <n v="0"/>
    <n v="0.78500000000000003"/>
    <n v="0.24"/>
    <n v="0"/>
    <n v="0"/>
    <n v="0"/>
    <n v="21363.49"/>
    <n v="3059349.9"/>
    <n v="6.9829999999999996E-3"/>
    <n v="11861.08"/>
    <n v="11861.08"/>
    <n v="0"/>
    <n v="11861.08"/>
    <n v="2966964.92"/>
    <s v="Forecast"/>
  </r>
  <r>
    <x v="3"/>
    <x v="3"/>
    <s v="202508"/>
    <n v="5"/>
    <n v="3257214.86"/>
    <n v="-1.9951644780986669E-2"/>
    <s v="CohortAvg"/>
    <n v="-9.1498942628433551E-3"/>
    <s v="CohortAvg"/>
    <n v="0.12477740902802351"/>
    <s v="CohortAvg"/>
    <n v="0"/>
    <s v="CohortAvg_NoData_ERROR"/>
    <n v="0"/>
    <s v="CohortAvg"/>
    <n v="0"/>
    <s v="Zero"/>
    <n v="0"/>
    <s v="CohortAvg"/>
    <n v="0"/>
    <s v="CohortAvg"/>
    <n v="0"/>
    <n v="-64986.79"/>
    <n v="-29803.17"/>
    <n v="33868.9"/>
    <n v="0"/>
    <n v="0"/>
    <n v="0"/>
    <n v="0"/>
    <n v="3196293.8"/>
    <n v="6.8510000000000003E-3"/>
    <n v="1.0502"/>
    <n v="7.195E-3"/>
    <s v="DonorCohort:202101+Seasonal(1.050)"/>
    <n v="22997.599999999999"/>
    <n v="14224"/>
    <n v="8773.6"/>
    <x v="0"/>
    <n v="0"/>
    <n v="0.78500000000000003"/>
    <n v="0.24"/>
    <n v="0"/>
    <n v="0"/>
    <n v="0"/>
    <n v="14224"/>
    <n v="3257214.86"/>
    <n v="4.3670000000000002E-3"/>
    <n v="8773.6"/>
    <n v="8773.6"/>
    <n v="0"/>
    <n v="8773.6"/>
    <n v="3187520.19"/>
    <s v="Forecast"/>
  </r>
  <r>
    <x v="3"/>
    <x v="3"/>
    <s v="202509"/>
    <n v="4"/>
    <n v="3314123.22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3314123.22"/>
    <n v="4.2849999999999997E-3"/>
    <n v="1.0502"/>
    <n v="4.4999999999999997E-3"/>
    <s v="DonorCohort:202101+Seasonal(1.050)"/>
    <n v="14912.03"/>
    <n v="9793.9"/>
    <n v="5118.13"/>
    <x v="0"/>
    <n v="0"/>
    <n v="0.78500000000000003"/>
    <n v="0.24"/>
    <n v="0"/>
    <n v="0"/>
    <n v="0"/>
    <n v="9793.9"/>
    <n v="3314123.22"/>
    <n v="2.9550000000000002E-3"/>
    <n v="5118.13"/>
    <n v="5118.13"/>
    <n v="0"/>
    <n v="5118.13"/>
    <n v="3309005.09"/>
    <s v="Forecast"/>
  </r>
  <r>
    <x v="3"/>
    <x v="4"/>
    <s v="202101"/>
    <n v="58"/>
    <n v="2260471.64"/>
    <n v="-0.127125523868099"/>
    <s v="CohortAvg"/>
    <n v="-1.000618225760456E-2"/>
    <s v="CohortAvg"/>
    <n v="0.1119969953504787"/>
    <s v="CohortAvg"/>
    <n v="4.2831700482216392E-2"/>
    <s v="CohortAvg_NonZero"/>
    <n v="0"/>
    <s v="CohortAvg"/>
    <n v="0"/>
    <s v="Zero"/>
    <n v="0"/>
    <s v="CohortAvg"/>
    <n v="0"/>
    <s v="CohortAvg"/>
    <n v="0"/>
    <n v="-287363.64"/>
    <n v="-22618.69"/>
    <n v="21097.17"/>
    <n v="0"/>
    <n v="0"/>
    <n v="0"/>
    <n v="0"/>
    <n v="1971586.48"/>
    <n v="0.17150099999999999"/>
    <n v="1.0546"/>
    <n v="0.18085799999999999"/>
    <s v="CohortAvg+Seasonal(1.055)"/>
    <n v="356577.5"/>
    <n v="396088.27"/>
    <n v="-39510.769999999997"/>
    <x v="0"/>
    <n v="0"/>
    <n v="0.78500000000000003"/>
    <n v="0.24"/>
    <n v="0"/>
    <n v="0"/>
    <n v="0"/>
    <n v="396088.27"/>
    <n v="2260471.64"/>
    <n v="0.17522399999999999"/>
    <n v="-39510.769999999997"/>
    <n v="-39510.769999999997"/>
    <n v="0"/>
    <n v="-39510.769999999997"/>
    <n v="2011097.25"/>
    <s v="Forecast"/>
  </r>
  <r>
    <x v="3"/>
    <x v="4"/>
    <s v="202201"/>
    <n v="40"/>
    <n v="86017.13"/>
    <n v="-8.8750626907659724E-2"/>
    <s v="CohortAvg"/>
    <n v="-9.4949156088721485E-3"/>
    <s v="CohortAvg"/>
    <n v="0.1019224918110222"/>
    <s v="CohortAvg"/>
    <n v="3.8515549129108873E-2"/>
    <s v="CohortAvg_NonZero"/>
    <n v="4.3245572085621993E-8"/>
    <s v="CohortAvg"/>
    <n v="0"/>
    <s v="Zero"/>
    <n v="0"/>
    <s v="CohortAvg"/>
    <n v="0"/>
    <s v="CohortAvg"/>
    <n v="0"/>
    <n v="-7634.07"/>
    <n v="-816.73"/>
    <n v="730.59"/>
    <n v="0"/>
    <n v="0"/>
    <n v="0"/>
    <n v="0"/>
    <n v="78296.92"/>
    <n v="3.8299E-2"/>
    <n v="1.0546"/>
    <n v="4.0389000000000001E-2"/>
    <s v="CohortAvg+Seasonal(1.055)"/>
    <n v="3162.3"/>
    <n v="3812.38"/>
    <n v="-650.07000000000005"/>
    <x v="0"/>
    <n v="0"/>
    <n v="0.78500000000000003"/>
    <n v="0.24"/>
    <n v="0"/>
    <n v="0"/>
    <n v="0"/>
    <n v="3812.38"/>
    <n v="86017.13"/>
    <n v="4.4320999999999999E-2"/>
    <n v="-650.07000000000005"/>
    <n v="-650.07000000000005"/>
    <n v="0"/>
    <n v="-650.07000000000005"/>
    <n v="78946.990000000005"/>
    <s v="Forecast"/>
  </r>
  <r>
    <x v="3"/>
    <x v="4"/>
    <s v="202405"/>
    <n v="20"/>
    <n v="4590.8"/>
    <n v="-1.6450940134356971E-2"/>
    <s v="CohortAvg"/>
    <n v="-1.042473312099906E-2"/>
    <s v="CohortAvg"/>
    <n v="0.1216045921833743"/>
    <s v="CohortAvg"/>
    <n v="0"/>
    <s v="CohortAvg_NoData_ERROR"/>
    <n v="0"/>
    <s v="CohortAvg"/>
    <n v="0"/>
    <s v="Zero"/>
    <n v="0"/>
    <s v="CohortAvg"/>
    <n v="0"/>
    <s v="CohortAvg"/>
    <n v="0"/>
    <n v="-75.52"/>
    <n v="-47.86"/>
    <n v="46.52"/>
    <n v="0"/>
    <n v="0"/>
    <n v="0"/>
    <n v="0"/>
    <n v="4513.9399999999996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4590.8"/>
    <n v="0"/>
    <n v="0"/>
    <n v="0"/>
    <n v="0"/>
    <n v="0"/>
    <n v="4513.9399999999996"/>
    <s v="Forecast"/>
  </r>
  <r>
    <x v="3"/>
    <x v="4"/>
    <s v="202407"/>
    <n v="18"/>
    <n v="2639.84"/>
    <n v="-5.1379074337251633E-2"/>
    <s v="CohortAvg"/>
    <n v="-1.0461102573661349E-2"/>
    <s v="CohortAvg"/>
    <n v="0.1205805343701556"/>
    <s v="CohortAvg"/>
    <n v="0"/>
    <s v="CohortAvg_NoData_ERROR"/>
    <n v="0"/>
    <s v="CohortAvg"/>
    <n v="0"/>
    <s v="Zero"/>
    <n v="0"/>
    <s v="CohortAvg"/>
    <n v="0"/>
    <s v="CohortAvg"/>
    <n v="0"/>
    <n v="-135.63"/>
    <n v="-27.62"/>
    <n v="26.53"/>
    <n v="0"/>
    <n v="0"/>
    <n v="0"/>
    <n v="0"/>
    <n v="2503.12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2639.84"/>
    <n v="0"/>
    <n v="0"/>
    <n v="0"/>
    <n v="0"/>
    <n v="0"/>
    <n v="2503.12"/>
    <s v="Forecast"/>
  </r>
  <r>
    <x v="3"/>
    <x v="4"/>
    <s v="202409"/>
    <n v="16"/>
    <n v="8960.31"/>
    <n v="-4.1919203262584921E-2"/>
    <s v="CohortAvg"/>
    <n v="-1.043095271970546E-2"/>
    <s v="CohortAvg"/>
    <n v="0.1208912162787095"/>
    <s v="CohortAvg"/>
    <n v="0"/>
    <s v="CohortAvg_NoData_ERROR"/>
    <n v="0"/>
    <s v="CohortAvg"/>
    <n v="0"/>
    <s v="Zero"/>
    <n v="0"/>
    <s v="CohortAvg"/>
    <n v="0"/>
    <s v="CohortAvg"/>
    <n v="0"/>
    <n v="-375.61"/>
    <n v="-93.46"/>
    <n v="90.27"/>
    <n v="0"/>
    <n v="0"/>
    <n v="0"/>
    <n v="0"/>
    <n v="8581.51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8960.31"/>
    <n v="0"/>
    <n v="0"/>
    <n v="0"/>
    <n v="0"/>
    <n v="0"/>
    <n v="8581.51"/>
    <s v="Forecast"/>
  </r>
  <r>
    <x v="3"/>
    <x v="4"/>
    <s v="202504"/>
    <n v="9"/>
    <n v="4481.25"/>
    <n v="-1.292315749863325E-2"/>
    <s v="CohortAvg"/>
    <n v="-1.042965576969446E-2"/>
    <s v="CohortAvg"/>
    <n v="0.12402888025098061"/>
    <s v="CohortAvg"/>
    <n v="0"/>
    <s v="CohortAvg_NoData_ERROR"/>
    <n v="0"/>
    <s v="CohortAvg"/>
    <n v="0"/>
    <s v="Zero"/>
    <n v="0"/>
    <s v="CohortAvg"/>
    <n v="0"/>
    <s v="CohortAvg"/>
    <n v="0"/>
    <n v="-57.91"/>
    <n v="-46.74"/>
    <n v="46.32"/>
    <n v="0"/>
    <n v="0"/>
    <n v="0"/>
    <n v="0"/>
    <n v="4422.92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4481.25"/>
    <n v="0"/>
    <n v="0"/>
    <n v="0"/>
    <n v="0"/>
    <n v="0"/>
    <n v="4422.92"/>
    <s v="Forecast"/>
  </r>
  <r>
    <x v="3"/>
    <x v="4"/>
    <s v="202507"/>
    <n v="6"/>
    <n v="9785.27"/>
    <n v="-7.3044639603783504E-3"/>
    <s v="CohortAvg"/>
    <n v="-7.2203964373438482E-3"/>
    <s v="CohortAvg"/>
    <n v="8.5917008541260345E-2"/>
    <s v="CohortAvg"/>
    <n v="0"/>
    <s v="CohortAvg_NoData_ERROR"/>
    <n v="0"/>
    <s v="CohortAvg"/>
    <n v="0"/>
    <s v="Zero"/>
    <n v="0"/>
    <s v="CohortAvg"/>
    <n v="0"/>
    <s v="CohortAvg"/>
    <n v="0"/>
    <n v="-71.48"/>
    <n v="-70.650000000000006"/>
    <n v="70.06"/>
    <n v="0"/>
    <n v="0"/>
    <n v="0"/>
    <n v="0"/>
    <n v="9713.2000000000007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9785.27"/>
    <n v="0"/>
    <n v="0"/>
    <n v="0"/>
    <n v="0"/>
    <n v="0"/>
    <n v="9713.2000000000007"/>
    <s v="Forecast"/>
  </r>
  <r>
    <x v="3"/>
    <x v="4"/>
    <s v="202508"/>
    <n v="5"/>
    <n v="30052.62"/>
    <n v="-3.810986512104909E-3"/>
    <s v="CohortAvg"/>
    <n v="-1.96146135107813E-3"/>
    <s v="CohortAvg"/>
    <n v="6.8380374772232855E-2"/>
    <s v="CohortAvg"/>
    <n v="0"/>
    <s v="CohortAvg_NoData_ERROR"/>
    <n v="0"/>
    <s v="CohortAvg"/>
    <n v="0"/>
    <s v="Zero"/>
    <n v="0"/>
    <s v="CohortAvg"/>
    <n v="0"/>
    <s v="CohortAvg"/>
    <n v="0"/>
    <n v="-114.53"/>
    <n v="-58.95"/>
    <n v="171.25"/>
    <n v="0"/>
    <n v="0"/>
    <n v="0"/>
    <n v="0"/>
    <n v="30050.39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30052.62"/>
    <n v="0"/>
    <n v="0"/>
    <n v="0"/>
    <n v="0"/>
    <n v="0"/>
    <n v="30050.39"/>
    <s v="Forecast"/>
  </r>
  <r>
    <x v="3"/>
    <x v="4"/>
    <s v="202509"/>
    <n v="4"/>
    <n v="24414.84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Zero"/>
    <n v="0"/>
    <s v="CohortAvg_NoData_ERROR"/>
    <n v="0"/>
    <s v="CohortAvg_NoData_ERROR"/>
    <n v="0"/>
    <n v="0"/>
    <n v="0"/>
    <n v="0"/>
    <n v="0"/>
    <n v="0"/>
    <n v="0"/>
    <n v="0"/>
    <n v="24414.84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4"/>
    <x v="0"/>
    <s v="201912"/>
    <n v="74"/>
    <n v="357772.08"/>
    <n v="3.389478124069019E-3"/>
    <s v="CohortAvg"/>
    <n v="1.703819522200962E-3"/>
    <s v="CohortAvg"/>
    <n v="0"/>
    <s v="CohortAvg"/>
    <n v="3.3359154647139372E-2"/>
    <s v="CohortAvg_NonZero"/>
    <n v="4.6350510769088932E-4"/>
    <s v="CohortAvg"/>
    <n v="0"/>
    <s v="Zero"/>
    <n v="0"/>
    <s v="CohortAvg"/>
    <n v="0"/>
    <s v="CohortAvg"/>
    <n v="0"/>
    <n v="1212.6600000000001"/>
    <n v="609.58000000000004"/>
    <n v="0"/>
    <n v="0"/>
    <n v="165.83"/>
    <n v="0"/>
    <n v="0"/>
    <n v="355784.01"/>
    <n v="0.99599300000000002"/>
    <n v="1.04"/>
    <n v="1.035828"/>
    <s v="CohortAvg+Seasonal(1.040)"/>
    <n v="368531.07"/>
    <n v="386974.99"/>
    <n v="-18443.93"/>
    <x v="0"/>
    <n v="0"/>
    <n v="0.78500000000000003"/>
    <n v="0.24"/>
    <n v="0"/>
    <n v="0"/>
    <n v="0"/>
    <n v="386974.99"/>
    <n v="357772.08"/>
    <n v="1.0816239999999999"/>
    <n v="-18443.93"/>
    <n v="-18278.099999999999"/>
    <n v="0"/>
    <n v="-18278.099999999999"/>
    <n v="374062.11"/>
    <s v="Forecast"/>
  </r>
  <r>
    <x v="4"/>
    <x v="0"/>
    <s v="202001"/>
    <n v="73"/>
    <n v="84901.86"/>
    <n v="3.6233258131969627E-2"/>
    <s v="CohortAvg"/>
    <n v="1.5685624505579971E-3"/>
    <s v="CohortAvg"/>
    <n v="0"/>
    <s v="CohortAvg"/>
    <n v="1.209949365988631E-2"/>
    <s v="CohortAvg_NonZero"/>
    <n v="0"/>
    <s v="CohortAvg"/>
    <n v="0"/>
    <s v="Zero"/>
    <n v="0"/>
    <s v="CohortAvg"/>
    <n v="0"/>
    <s v="CohortAvg"/>
    <n v="0"/>
    <n v="3076.27"/>
    <n v="133.16999999999999"/>
    <n v="0"/>
    <n v="0"/>
    <n v="0"/>
    <n v="0"/>
    <n v="0"/>
    <n v="81692.41"/>
    <n v="0.99824100000000004"/>
    <n v="1.04"/>
    <n v="1.0381659999999999"/>
    <s v="CohortAvg+Seasonal(1.040)"/>
    <n v="84810.32"/>
    <n v="92044.41"/>
    <n v="-7234.09"/>
    <x v="0"/>
    <n v="0"/>
    <n v="0.78500000000000003"/>
    <n v="0.24"/>
    <n v="0"/>
    <n v="0"/>
    <n v="0"/>
    <n v="92044.41"/>
    <n v="84901.86"/>
    <n v="1.0841270000000001"/>
    <n v="-7234.09"/>
    <n v="-7234.09"/>
    <n v="0"/>
    <n v="-7234.09"/>
    <n v="88926.5"/>
    <s v="Forecast"/>
  </r>
  <r>
    <x v="4"/>
    <x v="0"/>
    <s v="202101"/>
    <n v="61"/>
    <n v="789872.73"/>
    <n v="3.4062468330230827E-4"/>
    <s v="CohortAvg"/>
    <n v="-1.4367435126285051E-3"/>
    <s v="CohortAvg"/>
    <n v="0"/>
    <s v="CohortAvg"/>
    <n v="1.6426341592898099E-2"/>
    <s v="CohortAvg_NonZero"/>
    <n v="4.493343723247199E-4"/>
    <s v="CohortAvg"/>
    <n v="0"/>
    <s v="Zero"/>
    <n v="0"/>
    <s v="CohortAvg"/>
    <n v="0"/>
    <s v="CohortAvg"/>
    <n v="0"/>
    <n v="269.05"/>
    <n v="-1134.8399999999999"/>
    <n v="0"/>
    <n v="0"/>
    <n v="354.92"/>
    <n v="0"/>
    <n v="0"/>
    <n v="788113.92000000004"/>
    <n v="0.94921"/>
    <n v="1.04"/>
    <n v="0.987174"/>
    <s v="CohortAvg+Seasonal(1.040)"/>
    <n v="778005.72"/>
    <n v="814338.06"/>
    <n v="-36332.339999999997"/>
    <x v="0"/>
    <n v="0"/>
    <n v="0.78500000000000003"/>
    <n v="0.24"/>
    <n v="0"/>
    <n v="0"/>
    <n v="0"/>
    <n v="814338.06"/>
    <n v="789872.73"/>
    <n v="1.0309740000000001"/>
    <n v="-36332.339999999997"/>
    <n v="-35977.42"/>
    <n v="0"/>
    <n v="-35977.42"/>
    <n v="824091.34"/>
    <s v="Forecast"/>
  </r>
  <r>
    <x v="4"/>
    <x v="0"/>
    <s v="202201"/>
    <n v="41"/>
    <n v="753046.31"/>
    <n v="-0.1145939628504266"/>
    <s v="CohortAvg"/>
    <n v="-8.0830740957566916E-3"/>
    <s v="CohortAvg"/>
    <n v="4.7334454926655882E-2"/>
    <s v="CohortAvg"/>
    <n v="3.7742033386836377E-2"/>
    <s v="CohortAvg_NonZero"/>
    <n v="3.6135895923638489E-3"/>
    <s v="CohortAvg"/>
    <n v="0"/>
    <s v="Zero"/>
    <n v="-6.1285482266578101E-4"/>
    <s v="CohortAvg"/>
    <n v="-1.315026400548431E-5"/>
    <s v="CohortAvg"/>
    <n v="0"/>
    <n v="-86294.56"/>
    <n v="-6086.93"/>
    <n v="2970.42"/>
    <n v="0"/>
    <n v="2721.2"/>
    <n v="-461.51"/>
    <n v="-9.9"/>
    <n v="660914.04"/>
    <n v="0.58336900000000003"/>
    <n v="1.04"/>
    <n v="0.60670199999999996"/>
    <s v="CohortAvg+Seasonal(1.040)"/>
    <n v="400977.6"/>
    <n v="471057.12"/>
    <n v="-70079.520000000004"/>
    <x v="0"/>
    <n v="0"/>
    <n v="0.78500000000000003"/>
    <n v="0.24"/>
    <n v="0"/>
    <n v="0"/>
    <n v="0"/>
    <n v="471057.12"/>
    <n v="753046.31"/>
    <n v="0.62553499999999995"/>
    <n v="-70079.520000000004"/>
    <n v="-67358.31"/>
    <n v="0"/>
    <n v="-67358.31"/>
    <n v="728272.36"/>
    <s v="Forecast"/>
  </r>
  <r>
    <x v="4"/>
    <x v="0"/>
    <s v="202301"/>
    <n v="32"/>
    <n v="4993964.38"/>
    <n v="-7.1120153918412296E-2"/>
    <s v="CohortAvg"/>
    <n v="-1.7385625014484291E-2"/>
    <s v="CohortAvg"/>
    <n v="0.20605144980547049"/>
    <s v="CohortAvg"/>
    <n v="5.7560793607977223E-2"/>
    <s v="CohortAvg_NonZero"/>
    <n v="1.7133691881643449E-4"/>
    <s v="CohortAvg"/>
    <n v="0"/>
    <s v="Zero"/>
    <n v="-5.3554688529760981E-3"/>
    <s v="CohortAvg"/>
    <n v="-8.6462771647097917E-5"/>
    <s v="CohortAvg"/>
    <n v="0"/>
    <n v="-355171.52"/>
    <n v="-86823.19"/>
    <n v="85751.13"/>
    <n v="0"/>
    <n v="855.65"/>
    <n v="-26745.02"/>
    <n v="-431.79"/>
    <n v="4636865.1500000004"/>
    <n v="0.51440799999999998"/>
    <n v="1.04"/>
    <n v="0.53498199999999996"/>
    <s v="CohortTrend+Seasonal(1.040)"/>
    <n v="2480640.5299999998"/>
    <n v="2695183.4"/>
    <n v="-214542.87"/>
    <x v="0"/>
    <n v="0"/>
    <n v="0.78500000000000003"/>
    <n v="0.24"/>
    <n v="0"/>
    <n v="0"/>
    <n v="0"/>
    <n v="2695183.4"/>
    <n v="4993964.38"/>
    <n v="0.53968799999999995"/>
    <n v="-214542.87"/>
    <n v="-213687.22"/>
    <n v="0"/>
    <n v="-213687.22"/>
    <n v="4850552.37"/>
    <s v="Forecast"/>
  </r>
  <r>
    <x v="4"/>
    <x v="0"/>
    <s v="202404"/>
    <n v="22"/>
    <n v="963020.37"/>
    <n v="-7.0766230971371108E-2"/>
    <s v="CohortAvg"/>
    <n v="-2.4239976896918019E-2"/>
    <s v="CohortAvg"/>
    <n v="0.25882210917802467"/>
    <s v="CohortAvg"/>
    <n v="0.10168800416260861"/>
    <s v="CohortAvg_NonZero"/>
    <n v="1.075941116456847E-4"/>
    <s v="CohortAvg"/>
    <n v="0"/>
    <s v="Zero"/>
    <n v="-8.6856049552459669E-3"/>
    <s v="CohortAvg"/>
    <n v="1.1130673911097491E-4"/>
    <s v="CohortAvg"/>
    <n v="0"/>
    <n v="-68149.320000000007"/>
    <n v="-23343.59"/>
    <n v="20770.91"/>
    <n v="0"/>
    <n v="103.62"/>
    <n v="-8364.41"/>
    <n v="107.19"/>
    <n v="892194.75"/>
    <n v="0.33115299999999998"/>
    <n v="1.04"/>
    <n v="0.34439799999999998"/>
    <s v="CohortTrend+Seasonal(1.040)"/>
    <n v="307270.23"/>
    <n v="335891.3"/>
    <n v="-28621.07"/>
    <x v="0"/>
    <n v="0"/>
    <n v="0.78500000000000003"/>
    <n v="0.24"/>
    <n v="0"/>
    <n v="0"/>
    <n v="0"/>
    <n v="335891.3"/>
    <n v="963020.37"/>
    <n v="0.34878900000000002"/>
    <n v="-28621.07"/>
    <n v="-28517.46"/>
    <n v="0"/>
    <n v="-28517.46"/>
    <n v="920712.21"/>
    <s v="Forecast"/>
  </r>
  <r>
    <x v="4"/>
    <x v="0"/>
    <s v="202405"/>
    <n v="21"/>
    <n v="1217977.7"/>
    <n v="-5.9921517226707653E-2"/>
    <s v="CohortAvg"/>
    <n v="-2.438175724361465E-2"/>
    <s v="CohortAvg"/>
    <n v="0.26676632678761869"/>
    <s v="CohortAvg"/>
    <n v="9.9684746160388263E-2"/>
    <s v="CohortAvg_NonZero"/>
    <n v="1.5515470692472621E-4"/>
    <s v="CohortAvg"/>
    <n v="0"/>
    <s v="Zero"/>
    <n v="-1.2829260768631071E-2"/>
    <s v="CohortAvg"/>
    <n v="-2.34677919961754E-4"/>
    <s v="CohortAvg"/>
    <n v="0"/>
    <n v="-72983.070000000007"/>
    <n v="-29696.44"/>
    <n v="27076.29"/>
    <n v="0"/>
    <n v="188.97"/>
    <n v="-15625.75"/>
    <n v="-285.83"/>
    <n v="1142185.51"/>
    <n v="0.302039"/>
    <n v="1.04"/>
    <n v="0.31411899999999998"/>
    <s v="CohortTrend+Seasonal(1.040)"/>
    <n v="358782.1"/>
    <n v="389659.78"/>
    <n v="-30877.68"/>
    <x v="0"/>
    <n v="0"/>
    <n v="0.78500000000000003"/>
    <n v="0.24"/>
    <n v="0"/>
    <n v="0"/>
    <n v="0"/>
    <n v="389659.78"/>
    <n v="1217977.7"/>
    <n v="0.31992399999999999"/>
    <n v="-30877.68"/>
    <n v="-30688.71"/>
    <n v="0"/>
    <n v="-30688.71"/>
    <n v="1172874.21"/>
    <s v="Forecast"/>
  </r>
  <r>
    <x v="4"/>
    <x v="0"/>
    <s v="202406"/>
    <n v="20"/>
    <n v="1708028.93"/>
    <n v="-5.6266827418536947E-2"/>
    <s v="CohortAvg"/>
    <n v="-2.5651004846522701E-2"/>
    <s v="CohortAvg"/>
    <n v="0.28517836574515631"/>
    <s v="CohortAvg"/>
    <n v="6.4254159765308197E-2"/>
    <s v="CohortAvg_NonZero"/>
    <n v="3.3833665369495299E-5"/>
    <s v="CohortAvg"/>
    <n v="0"/>
    <s v="Zero"/>
    <n v="-1.1825798175036151E-2"/>
    <s v="CohortAvg"/>
    <n v="-2.407901112130512E-4"/>
    <s v="CohortAvg"/>
    <n v="0"/>
    <n v="-96105.37"/>
    <n v="-43812.66"/>
    <n v="40591.07"/>
    <n v="0"/>
    <n v="57.79"/>
    <n v="-20198.810000000001"/>
    <n v="-411.28"/>
    <n v="1608644.18"/>
    <n v="0.26252799999999998"/>
    <n v="1.04"/>
    <n v="0.27302799999999999"/>
    <s v="CohortTrend+Seasonal(1.040)"/>
    <n v="439205.25"/>
    <n v="353804.33"/>
    <n v="85400.92"/>
    <x v="0"/>
    <n v="0"/>
    <n v="0.78500000000000003"/>
    <n v="0.24"/>
    <n v="0"/>
    <n v="0"/>
    <n v="0"/>
    <n v="353804.33"/>
    <n v="1708028.93"/>
    <n v="0.20714199999999999"/>
    <n v="85400.92"/>
    <n v="85458.71"/>
    <n v="0"/>
    <n v="85458.71"/>
    <n v="1523185.48"/>
    <s v="Forecast"/>
  </r>
  <r>
    <x v="4"/>
    <x v="0"/>
    <s v="202407"/>
    <n v="19"/>
    <n v="1810727.07"/>
    <n v="-5.516615983244056E-2"/>
    <s v="CohortAvg"/>
    <n v="-2.6792781645147451E-2"/>
    <s v="CohortAvg"/>
    <n v="0.2937014419074086"/>
    <s v="CohortAvg"/>
    <n v="7.1006746393366321E-2"/>
    <s v="CohortAvg_NonZero"/>
    <n v="4.696868488658618E-5"/>
    <s v="CohortAvg"/>
    <n v="0"/>
    <s v="Zero"/>
    <n v="-1.442146016337323E-2"/>
    <s v="CohortAvg"/>
    <n v="-1.4211601353275371E-4"/>
    <s v="CohortAvg"/>
    <n v="0"/>
    <n v="-99890.86"/>
    <n v="-48514.41"/>
    <n v="44317.760000000002"/>
    <n v="0"/>
    <n v="85.05"/>
    <n v="-26113.33"/>
    <n v="-257.33"/>
    <n v="1706554.51"/>
    <n v="0.190751"/>
    <n v="1.04"/>
    <n v="0.19838"/>
    <s v="DonorCohort:202101+Seasonal(1.040)"/>
    <n v="338546.6"/>
    <n v="347576.09"/>
    <n v="-9029.49"/>
    <x v="0"/>
    <n v="0"/>
    <n v="0.78500000000000003"/>
    <n v="0.24"/>
    <n v="0"/>
    <n v="0"/>
    <n v="0"/>
    <n v="347576.09"/>
    <n v="1810727.07"/>
    <n v="0.19195400000000001"/>
    <n v="-9029.49"/>
    <n v="-8944.4500000000007"/>
    <n v="0"/>
    <n v="-8944.4500000000007"/>
    <n v="1715498.95"/>
    <s v="Forecast"/>
  </r>
  <r>
    <x v="4"/>
    <x v="0"/>
    <s v="202408"/>
    <n v="18"/>
    <n v="1820763.5"/>
    <n v="-6.5089483520756469E-2"/>
    <s v="CohortAvg"/>
    <n v="-2.6429013546534812E-2"/>
    <s v="CohortAvg"/>
    <n v="0.28625298609395478"/>
    <s v="CohortAvg"/>
    <n v="8.6750768479227566E-2"/>
    <s v="CohortAvg_NonZero"/>
    <n v="1.3130548110231851E-4"/>
    <s v="CohortAvg"/>
    <n v="0"/>
    <s v="Zero"/>
    <n v="-1.7042056777688441E-2"/>
    <s v="CohortAvg"/>
    <n v="-3.511650611244361E-4"/>
    <s v="CohortAvg"/>
    <n v="0"/>
    <n v="-118512.56"/>
    <n v="-48120.98"/>
    <n v="43433.25"/>
    <n v="0"/>
    <n v="239.08"/>
    <n v="-31029.55"/>
    <n v="-639.39"/>
    <n v="1697324.14"/>
    <n v="0.17676500000000001"/>
    <n v="1.04"/>
    <n v="0.183835"/>
    <s v="DonorCohort:202101+Seasonal(1.040)"/>
    <n v="312026.90999999997"/>
    <n v="354446.69"/>
    <n v="-42419.78"/>
    <x v="0"/>
    <n v="0"/>
    <n v="0.78500000000000003"/>
    <n v="0.24"/>
    <n v="0"/>
    <n v="0"/>
    <n v="0"/>
    <n v="354446.69"/>
    <n v="1820763.5"/>
    <n v="0.19466900000000001"/>
    <n v="-42419.78"/>
    <n v="-42180.7"/>
    <n v="0"/>
    <n v="-42180.7"/>
    <n v="1739504.83"/>
    <s v="Forecast"/>
  </r>
  <r>
    <x v="4"/>
    <x v="0"/>
    <s v="202409"/>
    <n v="17"/>
    <n v="1749616.36"/>
    <n v="-6.9150578318639203E-2"/>
    <s v="CohortAvg"/>
    <n v="-2.8917042790862421E-2"/>
    <s v="CohortAvg"/>
    <n v="0.30202449204785192"/>
    <s v="CohortAvg"/>
    <n v="9.2989802526041651E-2"/>
    <s v="CohortAvg_NonZero"/>
    <n v="3.2806765052755812E-4"/>
    <s v="CohortAvg"/>
    <n v="0"/>
    <s v="Zero"/>
    <n v="-2.1004017093857689E-2"/>
    <s v="CohortAvg"/>
    <n v="6.0463727710766385E-4"/>
    <s v="CohortAvg"/>
    <n v="0"/>
    <n v="-120986.98"/>
    <n v="-50593.73"/>
    <n v="44035.58"/>
    <n v="0"/>
    <n v="573.99"/>
    <n v="-36748.97"/>
    <n v="1057.8800000000001"/>
    <n v="1621497.24"/>
    <n v="0.17926500000000001"/>
    <n v="1.04"/>
    <n v="0.18643499999999999"/>
    <s v="DonorCohort:202101+Seasonal(1.040)"/>
    <n v="302304.03999999998"/>
    <n v="362868.73"/>
    <n v="-60564.69"/>
    <x v="0"/>
    <n v="0"/>
    <n v="0.78500000000000003"/>
    <n v="0.24"/>
    <n v="0"/>
    <n v="0"/>
    <n v="0"/>
    <n v="362868.73"/>
    <n v="1749616.36"/>
    <n v="0.207399"/>
    <n v="-60564.69"/>
    <n v="-59990.69"/>
    <n v="0"/>
    <n v="-59990.69"/>
    <n v="1681487.93"/>
    <s v="Forecast"/>
  </r>
  <r>
    <x v="4"/>
    <x v="0"/>
    <s v="202410"/>
    <n v="16"/>
    <n v="2375680"/>
    <n v="-6.3948808880750121E-2"/>
    <s v="CohortAvg"/>
    <n v="-2.9592400774777119E-2"/>
    <s v="CohortAvg"/>
    <n v="0.30522065907550522"/>
    <s v="CohortAvg"/>
    <n v="8.1753728935679768E-2"/>
    <s v="CohortAvg_NonZero"/>
    <n v="8.4167356064085059E-5"/>
    <s v="CohortAvg"/>
    <n v="0"/>
    <s v="Zero"/>
    <n v="-2.4035061800361249E-2"/>
    <s v="CohortAvg"/>
    <n v="-3.8672464708985438E-4"/>
    <s v="CohortAvg"/>
    <n v="0"/>
    <n v="-151921.91"/>
    <n v="-70302.070000000007"/>
    <n v="60425.55"/>
    <n v="0"/>
    <n v="199.95"/>
    <n v="-57099.62"/>
    <n v="-918.73"/>
    <n v="2213681.62"/>
    <n v="0.19098799999999999"/>
    <n v="1.04"/>
    <n v="0.198626"/>
    <s v="DonorCohort:202101+Seasonal(1.040)"/>
    <n v="439695.72"/>
    <n v="485957.49"/>
    <n v="-46261.78"/>
    <x v="0"/>
    <n v="0"/>
    <n v="0.78500000000000003"/>
    <n v="0.24"/>
    <n v="0"/>
    <n v="0"/>
    <n v="0"/>
    <n v="485957.49"/>
    <n v="2375680"/>
    <n v="0.20455499999999999"/>
    <n v="-46261.78"/>
    <n v="-46061.82"/>
    <n v="0"/>
    <n v="-46061.82"/>
    <n v="2259743.44"/>
    <s v="Forecast"/>
  </r>
  <r>
    <x v="4"/>
    <x v="0"/>
    <s v="202411"/>
    <n v="15"/>
    <n v="2536035.12"/>
    <n v="-6.7762814899465104E-2"/>
    <s v="CohortAvg"/>
    <n v="-3.04678014020308E-2"/>
    <s v="CohortAvg"/>
    <n v="0.32524506026248312"/>
    <s v="CohortAvg"/>
    <n v="7.7124443243161242E-2"/>
    <s v="CohortAvg_NonZero"/>
    <n v="3.7539975945908751E-5"/>
    <s v="CohortAvg"/>
    <n v="0"/>
    <s v="Zero"/>
    <n v="-2.6585236788198491E-2"/>
    <s v="CohortAvg"/>
    <n v="-5.3669215921689668E-4"/>
    <s v="CohortAvg"/>
    <n v="0"/>
    <n v="-171848.88"/>
    <n v="-77267.41"/>
    <n v="68736.070000000007"/>
    <n v="0"/>
    <n v="95.2"/>
    <n v="-67421.09"/>
    <n v="-1361.07"/>
    <n v="2355559.7000000002"/>
    <n v="0.18836900000000001"/>
    <n v="1.04"/>
    <n v="0.19590299999999999"/>
    <s v="DonorCohort:202101+Seasonal(1.040)"/>
    <n v="461460.81"/>
    <n v="451637"/>
    <n v="9823.7999999999993"/>
    <x v="0"/>
    <n v="0"/>
    <n v="0.78500000000000003"/>
    <n v="0.24"/>
    <n v="0"/>
    <n v="0"/>
    <n v="0"/>
    <n v="451637"/>
    <n v="2536035.12"/>
    <n v="0.178088"/>
    <n v="9823.7999999999993"/>
    <n v="9919.01"/>
    <n v="0"/>
    <n v="9919.01"/>
    <n v="2345640.69"/>
    <s v="Forecast"/>
  </r>
  <r>
    <x v="4"/>
    <x v="0"/>
    <s v="202412"/>
    <n v="14"/>
    <n v="2795389.43"/>
    <n v="-6.4972833120814366E-2"/>
    <s v="CohortAvg"/>
    <n v="-3.1853672745104679E-2"/>
    <s v="CohortAvg"/>
    <n v="0.33707805318838652"/>
    <s v="CohortAvg"/>
    <n v="7.0574128960459295E-2"/>
    <s v="CohortAvg_NonZero"/>
    <n v="3.89158289218661E-5"/>
    <s v="CohortAvg"/>
    <n v="0"/>
    <s v="Zero"/>
    <n v="-3.7319083201550578E-2"/>
    <s v="CohortAvg"/>
    <n v="-5.770228631347547E-4"/>
    <s v="CohortAvg"/>
    <n v="0"/>
    <n v="-181624.37"/>
    <n v="-89043.42"/>
    <n v="78522.039999999994"/>
    <n v="0"/>
    <n v="108.78"/>
    <n v="-104321.37"/>
    <n v="-1613"/>
    <n v="2603134.89"/>
    <n v="0.163996"/>
    <n v="1.04"/>
    <n v="0.17055500000000001"/>
    <s v="DonorCohort:202101+Seasonal(1.040)"/>
    <n v="443977.84"/>
    <n v="559329.52"/>
    <n v="-115351.69"/>
    <x v="0"/>
    <n v="0"/>
    <n v="0.78500000000000003"/>
    <n v="0.24"/>
    <n v="0"/>
    <n v="0"/>
    <n v="0"/>
    <n v="559329.52"/>
    <n v="2795389.43"/>
    <n v="0.20008999999999999"/>
    <n v="-115351.69"/>
    <n v="-115242.9"/>
    <n v="0"/>
    <n v="-115242.9"/>
    <n v="2718377.8"/>
    <s v="Forecast"/>
  </r>
  <r>
    <x v="4"/>
    <x v="0"/>
    <s v="202501"/>
    <n v="13"/>
    <n v="3198418.53"/>
    <n v="-6.2221434614334832E-2"/>
    <s v="CohortAvg"/>
    <n v="-3.1470166155170669E-2"/>
    <s v="CohortAvg"/>
    <n v="0.34489457558265141"/>
    <s v="CohortAvg"/>
    <n v="5.9407298417343109E-2"/>
    <s v="CohortAvg_NonZero"/>
    <n v="7.5068185135476428E-5"/>
    <s v="CohortAvg"/>
    <n v="0"/>
    <s v="Zero"/>
    <n v="-4.7662120130850333E-2"/>
    <s v="CohortAvg"/>
    <n v="-9.299149280992859E-4"/>
    <s v="CohortAvg"/>
    <n v="0"/>
    <n v="-199010.19"/>
    <n v="-100654.76"/>
    <n v="91926.43"/>
    <n v="0"/>
    <n v="240.1"/>
    <n v="-152443.41"/>
    <n v="-2974.26"/>
    <n v="2990439.91"/>
    <n v="0.184257"/>
    <n v="1.04"/>
    <n v="0.19162699999999999"/>
    <s v="DonorCohort:202101+Seasonal(1.040)"/>
    <n v="573047.81999999995"/>
    <n v="620783.31999999995"/>
    <n v="-47735.49"/>
    <x v="0"/>
    <n v="0"/>
    <n v="0.78500000000000003"/>
    <n v="0.24"/>
    <n v="0"/>
    <n v="0"/>
    <n v="0"/>
    <n v="620783.31999999995"/>
    <n v="3198418.53"/>
    <n v="0.19409100000000001"/>
    <n v="-47735.49"/>
    <n v="-47495.39"/>
    <n v="0"/>
    <n v="-47495.39"/>
    <n v="3037935.3"/>
    <s v="Forecast"/>
  </r>
  <r>
    <x v="4"/>
    <x v="0"/>
    <s v="202502"/>
    <n v="12"/>
    <n v="4493854.24"/>
    <n v="-6.2665786934864173E-2"/>
    <s v="CohortAvg"/>
    <n v="-3.2326724141720699E-2"/>
    <s v="CohortAvg"/>
    <n v="0.36534427214741338"/>
    <s v="CohortAvg"/>
    <n v="3.4287552614080598E-2"/>
    <s v="CohortAvg_NonZero"/>
    <n v="9.5905478656175958E-5"/>
    <s v="CohortAvg"/>
    <n v="0"/>
    <s v="Zero"/>
    <n v="-7.8668193966272823E-2"/>
    <s v="CohortAvg"/>
    <n v="-1.700984104422879E-3"/>
    <s v="CohortAvg"/>
    <n v="0"/>
    <n v="-281610.90999999997"/>
    <n v="-145271.59"/>
    <n v="136816.99"/>
    <n v="0"/>
    <n v="430.99"/>
    <n v="-353523.4"/>
    <n v="-7643.97"/>
    <n v="4203357.74"/>
    <n v="0.178732"/>
    <n v="1.04"/>
    <n v="0.18588099999999999"/>
    <s v="DonorCohort:202101+Seasonal(1.040)"/>
    <n v="781324.53"/>
    <n v="755937.01"/>
    <n v="25387.52"/>
    <x v="0"/>
    <n v="0"/>
    <n v="0.78500000000000003"/>
    <n v="0.24"/>
    <n v="0"/>
    <n v="0"/>
    <n v="0"/>
    <n v="755937.01"/>
    <n v="4493854.24"/>
    <n v="0.168216"/>
    <n v="25387.52"/>
    <n v="25818.5"/>
    <n v="0"/>
    <n v="25818.5"/>
    <n v="4177539.24"/>
    <s v="Forecast"/>
  </r>
  <r>
    <x v="4"/>
    <x v="0"/>
    <s v="202503"/>
    <n v="11"/>
    <n v="5906618.6900000004"/>
    <n v="-5.4619331287371252E-2"/>
    <s v="CohortAvg"/>
    <n v="-3.4886540580474357E-2"/>
    <s v="CohortAvg"/>
    <n v="0.42756749474011307"/>
    <s v="CohortAvg"/>
    <n v="2.337347755521256E-2"/>
    <s v="CohortAvg_NonZero"/>
    <n v="7.8496016558815766E-6"/>
    <s v="CohortAvg"/>
    <n v="0"/>
    <s v="Zero"/>
    <n v="0"/>
    <s v="CohortAvg"/>
    <n v="0"/>
    <s v="CohortAvg"/>
    <n v="0"/>
    <n v="-322615.56"/>
    <n v="-206061.49"/>
    <n v="210456.51"/>
    <n v="0"/>
    <n v="46.36"/>
    <n v="0"/>
    <n v="0"/>
    <n v="5588351.7800000003"/>
    <n v="0.15490499999999999"/>
    <n v="1.04"/>
    <n v="0.16110099999999999"/>
    <s v="DonorCohort:202101+Seasonal(1.040)"/>
    <n v="900286.48"/>
    <n v="875447.94"/>
    <n v="24838.54"/>
    <x v="0"/>
    <n v="0"/>
    <n v="0.78500000000000003"/>
    <n v="0.24"/>
    <n v="0"/>
    <n v="0"/>
    <n v="0"/>
    <n v="875447.94"/>
    <n v="5906618.6900000004"/>
    <n v="0.14821500000000001"/>
    <n v="24838.54"/>
    <n v="24884.91"/>
    <n v="0"/>
    <n v="24884.91"/>
    <n v="5563466.8799999999"/>
    <s v="Forecast"/>
  </r>
  <r>
    <x v="4"/>
    <x v="0"/>
    <s v="202504"/>
    <n v="10"/>
    <n v="7391979.1200000001"/>
    <n v="-5.3053325935249952E-2"/>
    <s v="CohortAvg"/>
    <n v="-3.6989554668760471E-2"/>
    <s v="CohortAvg"/>
    <n v="0.43903844971652178"/>
    <s v="CohortAvg"/>
    <n v="1.013329171740706E-2"/>
    <s v="CohortAvg_NonZero"/>
    <n v="2.2149171380538538E-6"/>
    <s v="CohortAvg"/>
    <n v="0"/>
    <s v="Zero"/>
    <n v="0"/>
    <s v="CohortAvg"/>
    <n v="0"/>
    <s v="CohortAvg"/>
    <n v="0"/>
    <n v="-392169.08"/>
    <n v="-273426.02"/>
    <n v="270446.92"/>
    <n v="0"/>
    <n v="16.37"/>
    <n v="0"/>
    <n v="0"/>
    <n v="6996814.5700000003"/>
    <n v="0.136487"/>
    <n v="1.04"/>
    <n v="0.14194599999999999"/>
    <s v="DonorCohort:202101+Seasonal(1.040)"/>
    <n v="993166.63"/>
    <n v="963751.47"/>
    <n v="29415.15"/>
    <x v="0"/>
    <n v="0"/>
    <n v="0.78500000000000003"/>
    <n v="0.24"/>
    <n v="0"/>
    <n v="0"/>
    <n v="0"/>
    <n v="963751.47"/>
    <n v="7391979.1200000001"/>
    <n v="0.13037799999999999"/>
    <n v="29415.15"/>
    <n v="29431.53"/>
    <n v="0"/>
    <n v="29431.53"/>
    <n v="6967383.0499999998"/>
    <s v="Forecast"/>
  </r>
  <r>
    <x v="4"/>
    <x v="0"/>
    <s v="202505"/>
    <n v="9"/>
    <n v="8996405.8499999996"/>
    <n v="-4.0005056936909859E-2"/>
    <s v="CohortAvg"/>
    <n v="-3.1450579103850733E-2"/>
    <s v="CohortAvg"/>
    <n v="0.37917544814063392"/>
    <s v="CohortAvg"/>
    <n v="0"/>
    <s v="CohortAvg_NoData_ERROR"/>
    <n v="7.9486520593148001E-7"/>
    <s v="CohortAvg"/>
    <n v="0"/>
    <s v="Zero"/>
    <n v="0"/>
    <s v="CohortAvg"/>
    <n v="0"/>
    <s v="CohortAvg"/>
    <n v="0"/>
    <n v="-359901.73"/>
    <n v="-282942.17"/>
    <n v="284268.02"/>
    <n v="0"/>
    <n v="7.15"/>
    <n v="0"/>
    <n v="0"/>
    <n v="8637822.8100000005"/>
    <n v="0.120061"/>
    <n v="1.04"/>
    <n v="0.124863"/>
    <s v="DonorCohort:202101+Seasonal(1.040)"/>
    <n v="1078546.76"/>
    <n v="1013845.63"/>
    <n v="64701.13"/>
    <x v="0"/>
    <n v="0"/>
    <n v="0.78500000000000003"/>
    <n v="0.24"/>
    <n v="0"/>
    <n v="0"/>
    <n v="0"/>
    <n v="1013845.63"/>
    <n v="8996405.8499999996"/>
    <n v="0.112695"/>
    <n v="64701.13"/>
    <n v="64708.28"/>
    <n v="0"/>
    <n v="64708.28"/>
    <n v="8573114.5299999993"/>
    <s v="Forecast"/>
  </r>
  <r>
    <x v="4"/>
    <x v="0"/>
    <s v="202506"/>
    <n v="8"/>
    <n v="10098827.060000001"/>
    <n v="-3.6311902267538727E-2"/>
    <s v="CohortAvg"/>
    <n v="-3.069912584785545E-2"/>
    <s v="CohortAvg"/>
    <n v="0.36907462456905221"/>
    <s v="CohortAvg"/>
    <n v="0"/>
    <s v="CohortAvg_NoData_ERROR"/>
    <n v="0"/>
    <s v="CohortAvg"/>
    <n v="0"/>
    <s v="Zero"/>
    <n v="0"/>
    <s v="CohortAvg"/>
    <n v="0"/>
    <s v="CohortAvg"/>
    <n v="0"/>
    <n v="-366707.62"/>
    <n v="-310025.15999999997"/>
    <n v="310601.73"/>
    <n v="0"/>
    <n v="0"/>
    <n v="0"/>
    <n v="0"/>
    <n v="9732696.0099999998"/>
    <n v="0.10377699999999999"/>
    <n v="1.04"/>
    <n v="0.107928"/>
    <s v="DonorCohort:202101+Seasonal(1.040)"/>
    <n v="1050428.06"/>
    <n v="945703.73"/>
    <n v="104724.33"/>
    <x v="0"/>
    <n v="0"/>
    <n v="0.78500000000000003"/>
    <n v="0.24"/>
    <n v="0"/>
    <n v="0"/>
    <n v="0"/>
    <n v="945703.73"/>
    <n v="10098827.060000001"/>
    <n v="9.3645000000000006E-2"/>
    <n v="104724.33"/>
    <n v="104724.33"/>
    <n v="0"/>
    <n v="104724.33"/>
    <n v="9627971.6799999997"/>
    <s v="Forecast"/>
  </r>
  <r>
    <x v="4"/>
    <x v="0"/>
    <s v="202507"/>
    <n v="7"/>
    <n v="12813929.949999999"/>
    <n v="-2.9947464210319109E-2"/>
    <s v="CohortAvg"/>
    <n v="-2.8219867272903779E-2"/>
    <s v="CohortAvg"/>
    <n v="0.31606047094821338"/>
    <s v="CohortAvg"/>
    <n v="0"/>
    <s v="CohortAvg_NoData_ERROR"/>
    <n v="9.1631561122794944E-6"/>
    <s v="CohortAvg"/>
    <n v="0"/>
    <s v="Zero"/>
    <n v="0"/>
    <s v="CohortAvg"/>
    <n v="0"/>
    <s v="CohortAvg"/>
    <n v="0"/>
    <n v="-383744.71"/>
    <n v="-361607.4"/>
    <n v="337498.06"/>
    <n v="0"/>
    <n v="117.42"/>
    <n v="0"/>
    <n v="0"/>
    <n v="12405958.49"/>
    <n v="8.6235000000000006E-2"/>
    <n v="1.04"/>
    <n v="8.9684E-2"/>
    <s v="DonorCohort:202101+Seasonal(1.040)"/>
    <n v="1112614.8600000001"/>
    <n v="1044072.77"/>
    <n v="68542.09"/>
    <x v="0"/>
    <n v="0"/>
    <n v="0.78500000000000003"/>
    <n v="0.24"/>
    <n v="0"/>
    <n v="0"/>
    <n v="0"/>
    <n v="1044072.77"/>
    <n v="12813929.949999999"/>
    <n v="8.1479999999999997E-2"/>
    <n v="68542.09"/>
    <n v="68659.509999999995"/>
    <n v="0"/>
    <n v="68659.509999999995"/>
    <n v="12337298.98"/>
    <s v="Forecast"/>
  </r>
  <r>
    <x v="4"/>
    <x v="0"/>
    <s v="202508"/>
    <n v="6"/>
    <n v="10352438.18"/>
    <n v="-3.0692023563888039E-2"/>
    <s v="CohortAvg"/>
    <n v="-2.049645285057031E-2"/>
    <s v="CohortAvg"/>
    <n v="0.28846262173005283"/>
    <s v="CohortAvg"/>
    <n v="0"/>
    <s v="CohortAvg_NoData_ERROR"/>
    <n v="7.1520770614335066E-6"/>
    <s v="CohortAvg"/>
    <n v="0"/>
    <s v="Zero"/>
    <n v="0"/>
    <s v="CohortAvg"/>
    <n v="0"/>
    <s v="CohortAvg"/>
    <n v="0"/>
    <n v="-317737.28000000003"/>
    <n v="-212188.26"/>
    <n v="248857.62"/>
    <n v="0"/>
    <n v="74.040000000000006"/>
    <n v="0"/>
    <n v="0"/>
    <n v="10071296.220000001"/>
    <n v="7.5032000000000001E-2"/>
    <n v="1.04"/>
    <n v="7.8033000000000005E-2"/>
    <s v="DonorCohort:202101+Seasonal(1.040)"/>
    <n v="785894.33"/>
    <n v="602400.85"/>
    <n v="183493.48"/>
    <x v="0"/>
    <n v="0"/>
    <n v="0.78500000000000003"/>
    <n v="0.24"/>
    <n v="0"/>
    <n v="0"/>
    <n v="0"/>
    <n v="602400.85"/>
    <n v="10352438.18"/>
    <n v="5.8188999999999998E-2"/>
    <n v="183493.48"/>
    <n v="183567.53"/>
    <n v="0"/>
    <n v="183567.53"/>
    <n v="9887728.6999999993"/>
    <s v="Forecast"/>
  </r>
  <r>
    <x v="4"/>
    <x v="0"/>
    <s v="202509"/>
    <n v="5"/>
    <n v="11481431.49"/>
    <n v="-0.20544766884166149"/>
    <s v="CohortAvg"/>
    <n v="-4.270192563210740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358833.33"/>
    <n v="-490279.23"/>
    <n v="478392.98"/>
    <n v="0"/>
    <n v="0"/>
    <n v="0"/>
    <n v="0"/>
    <n v="9110711.9000000004"/>
    <n v="5.3585000000000001E-2"/>
    <n v="1.04"/>
    <n v="5.5728E-2"/>
    <s v="DonorCohort:202101+Seasonal(1.040)"/>
    <n v="507721.56"/>
    <n v="419333.3"/>
    <n v="88388.26"/>
    <x v="0"/>
    <n v="0"/>
    <n v="0.78500000000000003"/>
    <n v="0.24"/>
    <n v="0"/>
    <n v="0"/>
    <n v="0"/>
    <n v="419333.3"/>
    <n v="11481431.49"/>
    <n v="3.6523E-2"/>
    <n v="88388.26"/>
    <n v="88388.26"/>
    <n v="0"/>
    <n v="88388.26"/>
    <n v="9022323.6400000006"/>
    <s v="Forecast"/>
  </r>
  <r>
    <x v="4"/>
    <x v="1"/>
    <s v="202301"/>
    <n v="27"/>
    <n v="1038918.67"/>
    <n v="-1.417457118971281E-2"/>
    <s v="CohortAvg"/>
    <n v="-6.3355775922940378E-3"/>
    <s v="CohortAvg"/>
    <n v="0.1009434994986963"/>
    <s v="CohortAvg"/>
    <n v="2.293409125526032E-2"/>
    <s v="CohortAvg_NonZero"/>
    <n v="0"/>
    <s v="CohortAvg"/>
    <n v="0"/>
    <s v="Zero"/>
    <n v="0"/>
    <s v="CohortAvg"/>
    <n v="0"/>
    <s v="CohortAvg"/>
    <n v="0"/>
    <n v="-14726.23"/>
    <n v="-6582.15"/>
    <n v="8739.34"/>
    <n v="0"/>
    <n v="0"/>
    <n v="0"/>
    <n v="0"/>
    <n v="1026349.64"/>
    <n v="0.27862100000000001"/>
    <n v="0.86209999999999998"/>
    <n v="0.24019199999999999"/>
    <s v="CohortTrend+Seasonal(0.862)"/>
    <n v="246520.89"/>
    <n v="204810.66"/>
    <n v="41710.230000000003"/>
    <x v="0"/>
    <n v="0"/>
    <n v="0.78500000000000003"/>
    <n v="0.24"/>
    <n v="0"/>
    <n v="0"/>
    <n v="0"/>
    <n v="204810.66"/>
    <n v="1038918.67"/>
    <n v="0.19713800000000001"/>
    <n v="41710.230000000003"/>
    <n v="41710.230000000003"/>
    <n v="0"/>
    <n v="41710.230000000003"/>
    <n v="984639.41"/>
    <s v="Forecast"/>
  </r>
  <r>
    <x v="4"/>
    <x v="1"/>
    <s v="202404"/>
    <n v="22"/>
    <n v="245932.35"/>
    <n v="-5.5019076894771722E-2"/>
    <s v="CohortAvg"/>
    <n v="-1.506953972866629E-2"/>
    <s v="CohortAvg"/>
    <n v="0.1580399716359645"/>
    <s v="CohortAvg"/>
    <n v="4.8797789146404917E-2"/>
    <s v="CohortAvg_NonZero"/>
    <n v="0"/>
    <s v="CohortAvg"/>
    <n v="0"/>
    <s v="Zero"/>
    <n v="0"/>
    <s v="CohortAvg"/>
    <n v="0"/>
    <s v="CohortAvg"/>
    <n v="0"/>
    <n v="-13530.97"/>
    <n v="-3706.09"/>
    <n v="3238.93"/>
    <n v="0"/>
    <n v="0"/>
    <n v="0"/>
    <n v="0"/>
    <n v="231934.22"/>
    <n v="0.17105200000000001"/>
    <n v="0.86209999999999998"/>
    <n v="0.14746000000000001"/>
    <s v="CohortTrend+Seasonal(0.862)"/>
    <n v="34200.94"/>
    <n v="30148.32"/>
    <n v="4052.62"/>
    <x v="0"/>
    <n v="0"/>
    <n v="0.78500000000000003"/>
    <n v="0.24"/>
    <n v="0"/>
    <n v="0"/>
    <n v="0"/>
    <n v="30148.32"/>
    <n v="245932.35"/>
    <n v="0.122588"/>
    <n v="4052.62"/>
    <n v="4052.62"/>
    <n v="0"/>
    <n v="4052.62"/>
    <n v="227881.60000000001"/>
    <s v="Forecast"/>
  </r>
  <r>
    <x v="4"/>
    <x v="1"/>
    <s v="202405"/>
    <n v="21"/>
    <n v="395584.2"/>
    <n v="-1.9942332424524881E-2"/>
    <s v="CohortAvg"/>
    <n v="-1.288490179039881E-2"/>
    <s v="CohortAvg"/>
    <n v="0.1508998812298418"/>
    <s v="CohortAvg"/>
    <n v="6.4148599707005163E-2"/>
    <s v="CohortAvg_NonZero"/>
    <n v="1.9859384023579931E-6"/>
    <s v="CohortAvg"/>
    <n v="0"/>
    <s v="Zero"/>
    <n v="0"/>
    <s v="CohortAvg"/>
    <n v="0"/>
    <s v="CohortAvg"/>
    <n v="0"/>
    <n v="-7888.87"/>
    <n v="-5097.0600000000004"/>
    <n v="4974.47"/>
    <n v="0"/>
    <n v="0.79"/>
    <n v="0"/>
    <n v="0"/>
    <n v="387571.95"/>
    <n v="0.227938"/>
    <n v="0.86209999999999998"/>
    <n v="0.19649900000000001"/>
    <s v="CohortTrend+Seasonal(0.862)"/>
    <n v="76157.55"/>
    <n v="62146.25"/>
    <n v="14011.31"/>
    <x v="0"/>
    <n v="0"/>
    <n v="0.78500000000000003"/>
    <n v="0.24"/>
    <n v="0"/>
    <n v="0"/>
    <n v="0"/>
    <n v="62146.25"/>
    <n v="395584.2"/>
    <n v="0.15709999999999999"/>
    <n v="14011.31"/>
    <n v="14012.09"/>
    <n v="0"/>
    <n v="14012.09"/>
    <n v="373559.85"/>
    <s v="Forecast"/>
  </r>
  <r>
    <x v="4"/>
    <x v="1"/>
    <s v="202406"/>
    <n v="20"/>
    <n v="224455.28"/>
    <n v="-1.91377493124621E-2"/>
    <s v="CohortAvg"/>
    <n v="-1.5097428362382689E-2"/>
    <s v="CohortAvg"/>
    <n v="0.1793878830589806"/>
    <s v="CohortAvg"/>
    <n v="5.6208445022721473E-2"/>
    <s v="CohortAvg_NonZero"/>
    <n v="0"/>
    <s v="CohortAvg"/>
    <n v="0"/>
    <s v="Zero"/>
    <n v="0"/>
    <s v="CohortAvg"/>
    <n v="0"/>
    <s v="CohortAvg"/>
    <n v="0"/>
    <n v="-4295.57"/>
    <n v="-3388.7"/>
    <n v="3355.38"/>
    <n v="0"/>
    <n v="0"/>
    <n v="0"/>
    <n v="0"/>
    <n v="220126.39"/>
    <n v="0.165962"/>
    <n v="0.86209999999999998"/>
    <n v="0.143071"/>
    <s v="CohortTrend+Seasonal(0.862)"/>
    <n v="31493.8"/>
    <n v="30681.64"/>
    <n v="812.16"/>
    <x v="0"/>
    <n v="0"/>
    <n v="0.78500000000000003"/>
    <n v="0.24"/>
    <n v="0"/>
    <n v="0"/>
    <n v="0"/>
    <n v="30681.64"/>
    <n v="224455.28"/>
    <n v="0.13669400000000001"/>
    <n v="812.16"/>
    <n v="812.16"/>
    <n v="0"/>
    <n v="812.16"/>
    <n v="219314.23"/>
    <s v="Forecast"/>
  </r>
  <r>
    <x v="4"/>
    <x v="1"/>
    <s v="202407"/>
    <n v="19"/>
    <n v="368093.45"/>
    <n v="-4.0865066536372029E-2"/>
    <s v="CohortAvg"/>
    <n v="-1.5257301296735529E-2"/>
    <s v="CohortAvg"/>
    <n v="0.17076558269595679"/>
    <s v="CohortAvg"/>
    <n v="8.2761551975630093E-2"/>
    <s v="CohortAvg_NonZero"/>
    <n v="0"/>
    <s v="CohortAvg"/>
    <n v="0"/>
    <s v="Zero"/>
    <n v="0"/>
    <s v="CohortAvg"/>
    <n v="0"/>
    <s v="CohortAvg"/>
    <n v="0"/>
    <n v="-15042.16"/>
    <n v="-5616.11"/>
    <n v="5238.1400000000003"/>
    <n v="0"/>
    <n v="0"/>
    <n v="0"/>
    <n v="0"/>
    <n v="352673.31"/>
    <n v="0.18524499999999999"/>
    <n v="0.86209999999999998"/>
    <n v="0.159695"/>
    <s v="DonorCohort:202301+Seasonal(0.862)"/>
    <n v="56320.13"/>
    <n v="43568.35"/>
    <n v="12751.78"/>
    <x v="0"/>
    <n v="0"/>
    <n v="0.78500000000000003"/>
    <n v="0.24"/>
    <n v="0"/>
    <n v="0"/>
    <n v="0"/>
    <n v="43568.35"/>
    <n v="368093.45"/>
    <n v="0.11836199999999999"/>
    <n v="12751.78"/>
    <n v="12751.78"/>
    <n v="0"/>
    <n v="12751.78"/>
    <n v="339921.53"/>
    <s v="Forecast"/>
  </r>
  <r>
    <x v="4"/>
    <x v="1"/>
    <s v="202408"/>
    <n v="18"/>
    <n v="432485.92"/>
    <n v="-5.1659603221752053E-2"/>
    <s v="CohortAvg"/>
    <n v="-1.6287490593840881E-2"/>
    <s v="CohortAvg"/>
    <n v="0.18312843510617691"/>
    <s v="CohortAvg"/>
    <n v="0.1104761026857974"/>
    <s v="CohortAvg_NonZero"/>
    <n v="6.3479736947637803E-9"/>
    <s v="CohortAvg"/>
    <n v="0"/>
    <s v="Zero"/>
    <n v="0"/>
    <s v="CohortAvg"/>
    <n v="0"/>
    <s v="CohortAvg"/>
    <n v="0"/>
    <n v="-22342.05"/>
    <n v="-7044.11"/>
    <n v="6600.04"/>
    <n v="0"/>
    <n v="0"/>
    <n v="0"/>
    <n v="0"/>
    <n v="409699.79"/>
    <n v="0.16040199999999999"/>
    <n v="0.86209999999999998"/>
    <n v="0.13827900000000001"/>
    <s v="DonorCohort:202301+Seasonal(0.862)"/>
    <n v="56652.77"/>
    <n v="70197.59"/>
    <n v="-13544.82"/>
    <x v="0"/>
    <n v="0"/>
    <n v="0.78500000000000003"/>
    <n v="0.24"/>
    <n v="0"/>
    <n v="0"/>
    <n v="0"/>
    <n v="70197.59"/>
    <n v="432485.92"/>
    <n v="0.16231200000000001"/>
    <n v="-13544.82"/>
    <n v="-13544.82"/>
    <n v="0"/>
    <n v="-13544.82"/>
    <n v="423244.61"/>
    <s v="Forecast"/>
  </r>
  <r>
    <x v="4"/>
    <x v="1"/>
    <s v="202409"/>
    <n v="17"/>
    <n v="522932.86"/>
    <n v="-3.5236128220545178E-2"/>
    <s v="CohortAvg"/>
    <n v="-1.5192576845040211E-2"/>
    <s v="CohortAvg"/>
    <n v="0.1834314043030062"/>
    <s v="CohortAvg"/>
    <n v="3.1290009851729431E-2"/>
    <s v="CohortAvg_NonZero"/>
    <n v="0"/>
    <s v="CohortAvg"/>
    <n v="0"/>
    <s v="Zero"/>
    <n v="0"/>
    <s v="CohortAvg"/>
    <n v="0"/>
    <s v="CohortAvg"/>
    <n v="0"/>
    <n v="-18426.13"/>
    <n v="-7944.7"/>
    <n v="7993.53"/>
    <n v="0"/>
    <n v="0"/>
    <n v="0"/>
    <n v="0"/>
    <n v="504555.56"/>
    <n v="0.21996199999999999"/>
    <n v="0.86209999999999998"/>
    <n v="0.18962399999999999"/>
    <s v="DonorCohort:202301+Seasonal(0.862)"/>
    <n v="95675.68"/>
    <n v="71904.42"/>
    <n v="23771.26"/>
    <x v="0"/>
    <n v="0"/>
    <n v="0.78500000000000003"/>
    <n v="0.24"/>
    <n v="0"/>
    <n v="0"/>
    <n v="0"/>
    <n v="71904.42"/>
    <n v="522932.86"/>
    <n v="0.13750200000000001"/>
    <n v="23771.26"/>
    <n v="23771.26"/>
    <n v="0"/>
    <n v="23771.26"/>
    <n v="480784.31"/>
    <s v="Forecast"/>
  </r>
  <r>
    <x v="4"/>
    <x v="1"/>
    <s v="202410"/>
    <n v="16"/>
    <n v="406329.13"/>
    <n v="-1.6538580106875429E-2"/>
    <s v="CohortAvg"/>
    <n v="-1.7692597840279552E-2"/>
    <s v="CohortAvg"/>
    <n v="0.18905600539246781"/>
    <s v="CohortAvg"/>
    <n v="3.536536966726643E-2"/>
    <s v="CohortAvg_NonZero"/>
    <n v="2.7850926292555491E-6"/>
    <s v="CohortAvg"/>
    <n v="0"/>
    <s v="Zero"/>
    <n v="0"/>
    <s v="CohortAvg"/>
    <n v="0"/>
    <s v="CohortAvg"/>
    <n v="0"/>
    <n v="-6720.11"/>
    <n v="-7189.02"/>
    <n v="6401.58"/>
    <n v="0"/>
    <n v="1.1299999999999999"/>
    <n v="0"/>
    <n v="0"/>
    <n v="398820.46"/>
    <n v="0.18634100000000001"/>
    <n v="0.86209999999999998"/>
    <n v="0.160639"/>
    <s v="DonorCohort:202301+Seasonal(0.862)"/>
    <n v="64066.27"/>
    <n v="42023.83"/>
    <n v="22042.43"/>
    <x v="0"/>
    <n v="0"/>
    <n v="0.78500000000000003"/>
    <n v="0.24"/>
    <n v="0"/>
    <n v="0"/>
    <n v="0"/>
    <n v="42023.83"/>
    <n v="406329.13"/>
    <n v="0.103423"/>
    <n v="22042.43"/>
    <n v="22043.56"/>
    <n v="0"/>
    <n v="22043.56"/>
    <n v="376776.89"/>
    <s v="Forecast"/>
  </r>
  <r>
    <x v="4"/>
    <x v="1"/>
    <s v="202411"/>
    <n v="15"/>
    <n v="497365.99"/>
    <n v="-3.8429729421228062E-2"/>
    <s v="CohortAvg"/>
    <n v="-1.482271690001433E-2"/>
    <s v="CohortAvg"/>
    <n v="0.17439611873108379"/>
    <s v="CohortAvg"/>
    <n v="3.6244408209589567E-2"/>
    <s v="CohortAvg_NonZero"/>
    <n v="0"/>
    <s v="CohortAvg"/>
    <n v="0"/>
    <s v="Zero"/>
    <n v="0"/>
    <s v="CohortAvg"/>
    <n v="0"/>
    <s v="CohortAvg"/>
    <n v="0"/>
    <n v="-19113.64"/>
    <n v="-7372.32"/>
    <n v="7228.22"/>
    <n v="0"/>
    <n v="0"/>
    <n v="0"/>
    <n v="0"/>
    <n v="478108.26"/>
    <n v="0.140157"/>
    <n v="0.86209999999999998"/>
    <n v="0.120826"/>
    <s v="DonorCohort:202301+Seasonal(0.862)"/>
    <n v="57767.86"/>
    <n v="45354.21"/>
    <n v="12413.65"/>
    <x v="0"/>
    <n v="0"/>
    <n v="0.78500000000000003"/>
    <n v="0.24"/>
    <n v="0"/>
    <n v="0"/>
    <n v="0"/>
    <n v="45354.21"/>
    <n v="497365.99"/>
    <n v="9.1189000000000006E-2"/>
    <n v="12413.65"/>
    <n v="12413.65"/>
    <n v="0"/>
    <n v="12413.65"/>
    <n v="465694.61"/>
    <s v="Forecast"/>
  </r>
  <r>
    <x v="4"/>
    <x v="1"/>
    <s v="202412"/>
    <n v="14"/>
    <n v="41058.980000000003"/>
    <n v="-8.6060480776962208E-3"/>
    <s v="CohortAvg"/>
    <n v="-1.250137446711215E-2"/>
    <s v="CohortAvg"/>
    <n v="0.15489926340739449"/>
    <s v="CohortAvg"/>
    <n v="0.2"/>
    <s v="CohortAvg_NonZero"/>
    <n v="0"/>
    <s v="CohortAvg"/>
    <n v="0"/>
    <s v="Zero"/>
    <n v="0"/>
    <s v="CohortAvg"/>
    <n v="0"/>
    <s v="CohortAvg"/>
    <n v="0"/>
    <n v="-353.36"/>
    <n v="-513.29"/>
    <n v="530"/>
    <n v="0"/>
    <n v="0"/>
    <n v="0"/>
    <n v="0"/>
    <n v="40722.33"/>
    <n v="0.12357700000000001"/>
    <n v="0.86209999999999998"/>
    <n v="0.106533"/>
    <s v="DonorCohort:202301+Seasonal(0.862)"/>
    <n v="4338.2700000000004"/>
    <n v="3884.45"/>
    <n v="453.82"/>
    <x v="0"/>
    <n v="0"/>
    <n v="0.78500000000000003"/>
    <n v="0.24"/>
    <n v="0"/>
    <n v="0"/>
    <n v="0"/>
    <n v="3884.45"/>
    <n v="41058.980000000003"/>
    <n v="9.4606999999999997E-2"/>
    <n v="453.82"/>
    <n v="453.82"/>
    <n v="0"/>
    <n v="453.82"/>
    <n v="40268.519999999997"/>
    <s v="Forecast"/>
  </r>
  <r>
    <x v="4"/>
    <x v="1"/>
    <s v="202501"/>
    <n v="13"/>
    <n v="56843.59"/>
    <n v="-1.5122557306587099E-2"/>
    <s v="CohortAvg"/>
    <n v="-1.748035359495231E-2"/>
    <s v="CohortAvg"/>
    <n v="0.2045403430442235"/>
    <s v="CohortAvg"/>
    <n v="0"/>
    <s v="CohortAvg_NoData_ERROR"/>
    <n v="0"/>
    <s v="CohortAvg"/>
    <n v="0"/>
    <s v="Zero"/>
    <n v="0"/>
    <s v="CohortAvg"/>
    <n v="0"/>
    <s v="CohortAvg"/>
    <n v="0"/>
    <n v="-859.62"/>
    <n v="-993.65"/>
    <n v="968.9"/>
    <n v="0"/>
    <n v="0"/>
    <n v="0"/>
    <n v="0"/>
    <n v="55959.22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56843.59"/>
    <n v="0"/>
    <n v="0"/>
    <n v="0"/>
    <n v="0"/>
    <n v="0"/>
    <n v="55959.22"/>
    <s v="Forecast"/>
  </r>
  <r>
    <x v="4"/>
    <x v="1"/>
    <s v="202502"/>
    <n v="12"/>
    <n v="120457.01"/>
    <n v="-1.342071011567043E-2"/>
    <s v="CohortAvg"/>
    <n v="-1.8298305729192409E-2"/>
    <s v="CohortAvg"/>
    <n v="0.1948277907813285"/>
    <s v="CohortAvg"/>
    <n v="0"/>
    <s v="CohortAvg_NoData_ERROR"/>
    <n v="0"/>
    <s v="CohortAvg"/>
    <n v="0"/>
    <s v="Zero"/>
    <n v="0"/>
    <s v="CohortAvg"/>
    <n v="0"/>
    <s v="CohortAvg"/>
    <n v="0"/>
    <n v="-1616.62"/>
    <n v="-2204.16"/>
    <n v="1955.7"/>
    <n v="0"/>
    <n v="0"/>
    <n v="0"/>
    <n v="0"/>
    <n v="118591.93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120457.01"/>
    <n v="0"/>
    <n v="0"/>
    <n v="0"/>
    <n v="0"/>
    <n v="0"/>
    <n v="118591.93"/>
    <s v="Forecast"/>
  </r>
  <r>
    <x v="4"/>
    <x v="1"/>
    <s v="202503"/>
    <n v="11"/>
    <n v="80979.259999999995"/>
    <n v="-9.8348106237768958E-3"/>
    <s v="CohortAvg"/>
    <n v="-1.47502958134217E-2"/>
    <s v="CohortAvg"/>
    <n v="0.20777030914751241"/>
    <s v="CohortAvg"/>
    <n v="0"/>
    <s v="CohortAvg_NoData_ERROR"/>
    <n v="0"/>
    <s v="CohortAvg"/>
    <n v="0"/>
    <s v="Zero"/>
    <n v="0"/>
    <s v="CohortAvg"/>
    <n v="0"/>
    <s v="CohortAvg"/>
    <n v="0"/>
    <n v="-796.42"/>
    <n v="-1194.47"/>
    <n v="1402.09"/>
    <n v="0"/>
    <n v="0"/>
    <n v="0"/>
    <n v="0"/>
    <n v="80390.460000000006"/>
    <n v="0.109781"/>
    <n v="0.86209999999999998"/>
    <n v="9.4639000000000001E-2"/>
    <s v="DonorCohort:202301+Seasonal(0.862)"/>
    <n v="7608.08"/>
    <n v="4961.3500000000004"/>
    <n v="2646.73"/>
    <x v="0"/>
    <n v="0"/>
    <n v="0.78500000000000003"/>
    <n v="0.24"/>
    <n v="0"/>
    <n v="0"/>
    <n v="0"/>
    <n v="4961.3500000000004"/>
    <n v="80979.259999999995"/>
    <n v="6.1267000000000002E-2"/>
    <n v="2646.73"/>
    <n v="2646.73"/>
    <n v="0"/>
    <n v="2646.73"/>
    <n v="77743.740000000005"/>
    <s v="Forecast"/>
  </r>
  <r>
    <x v="4"/>
    <x v="1"/>
    <s v="202504"/>
    <n v="10"/>
    <n v="57763"/>
    <n v="-2.0602757121142609E-2"/>
    <s v="CohortAvg"/>
    <n v="-1.675103561081509E-2"/>
    <s v="CohortAvg"/>
    <n v="0.2026012830145367"/>
    <s v="CohortAvg"/>
    <n v="0"/>
    <s v="CohortAvg_NoData_ERROR"/>
    <n v="0"/>
    <s v="CohortAvg"/>
    <n v="0"/>
    <s v="Zero"/>
    <n v="0"/>
    <s v="CohortAvg"/>
    <n v="0"/>
    <s v="CohortAvg"/>
    <n v="0"/>
    <n v="-1190.08"/>
    <n v="-967.59"/>
    <n v="975.24"/>
    <n v="0"/>
    <n v="0"/>
    <n v="0"/>
    <n v="0"/>
    <n v="56580.57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57763"/>
    <n v="0"/>
    <n v="0"/>
    <n v="0"/>
    <n v="0"/>
    <n v="0"/>
    <n v="56580.57"/>
    <s v="Forecast"/>
  </r>
  <r>
    <x v="4"/>
    <x v="1"/>
    <s v="202505"/>
    <n v="9"/>
    <n v="16073.64"/>
    <n v="-8.7715796078475464E-3"/>
    <s v="CohortAvg"/>
    <n v="-1.432359723469869E-2"/>
    <s v="CohortAvg"/>
    <n v="0.17316666174636849"/>
    <s v="CohortAvg"/>
    <n v="0"/>
    <s v="CohortAvg_NoData_ERROR"/>
    <n v="0"/>
    <s v="CohortAvg"/>
    <n v="0"/>
    <s v="Zero"/>
    <n v="0"/>
    <s v="CohortAvg"/>
    <n v="0"/>
    <s v="CohortAvg"/>
    <n v="0"/>
    <n v="-140.99"/>
    <n v="-230.23"/>
    <n v="231.95"/>
    <n v="0"/>
    <n v="0"/>
    <n v="0"/>
    <n v="0"/>
    <n v="15934.37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16073.64"/>
    <n v="0"/>
    <n v="0"/>
    <n v="0"/>
    <n v="0"/>
    <n v="0"/>
    <n v="15934.37"/>
    <s v="Forecast"/>
  </r>
  <r>
    <x v="4"/>
    <x v="1"/>
    <s v="202506"/>
    <n v="8"/>
    <n v="29170.9"/>
    <n v="-1.14915028261658E-2"/>
    <s v="CohortAvg"/>
    <n v="-1.358563535412321E-2"/>
    <s v="CohortAvg"/>
    <n v="0.157839886912576"/>
    <s v="CohortAvg"/>
    <n v="0"/>
    <s v="CohortAvg_NoData_ERROR"/>
    <n v="0"/>
    <s v="CohortAvg"/>
    <n v="0"/>
    <s v="Zero"/>
    <n v="0"/>
    <s v="CohortAvg"/>
    <n v="0"/>
    <s v="CohortAvg"/>
    <n v="0"/>
    <n v="-335.22"/>
    <n v="-396.31"/>
    <n v="383.69"/>
    <n v="0"/>
    <n v="0"/>
    <n v="0"/>
    <n v="0"/>
    <n v="28823.07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29170.9"/>
    <n v="0"/>
    <n v="0"/>
    <n v="0"/>
    <n v="0"/>
    <n v="0"/>
    <n v="28823.07"/>
    <s v="Forecast"/>
  </r>
  <r>
    <x v="4"/>
    <x v="1"/>
    <s v="202507"/>
    <n v="7"/>
    <n v="112549.49"/>
    <n v="-7.8836238006632E-3"/>
    <s v="CohortAvg"/>
    <n v="-1.272424426701713E-2"/>
    <s v="CohortAvg"/>
    <n v="0.1409570597224748"/>
    <s v="CohortAvg"/>
    <n v="0"/>
    <s v="CohortAvg_NoData_ERROR"/>
    <n v="0"/>
    <s v="CohortAvg"/>
    <n v="0"/>
    <s v="Zero"/>
    <n v="0"/>
    <s v="CohortAvg"/>
    <n v="0"/>
    <s v="CohortAvg"/>
    <n v="0"/>
    <n v="-887.3"/>
    <n v="-1432.11"/>
    <n v="1322.05"/>
    <n v="0"/>
    <n v="0"/>
    <n v="0"/>
    <n v="0"/>
    <n v="111552.14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112549.49"/>
    <n v="0"/>
    <n v="0"/>
    <n v="0"/>
    <n v="0"/>
    <n v="0"/>
    <n v="111552.14"/>
    <s v="Forecast"/>
  </r>
  <r>
    <x v="4"/>
    <x v="1"/>
    <s v="202508"/>
    <n v="6"/>
    <n v="46524.99"/>
    <n v="-9.4131954566960413E-3"/>
    <s v="CohortAvg"/>
    <n v="-9.461144216628135E-3"/>
    <s v="CohortAvg"/>
    <n v="0.11646814682430499"/>
    <s v="CohortAvg"/>
    <n v="0"/>
    <s v="CohortAvg_NoData_ERROR"/>
    <n v="0"/>
    <s v="CohortAvg"/>
    <n v="0"/>
    <s v="Zero"/>
    <n v="0"/>
    <s v="CohortAvg"/>
    <n v="0"/>
    <s v="CohortAvg"/>
    <n v="0"/>
    <n v="-437.95"/>
    <n v="-440.18"/>
    <n v="451.56"/>
    <n v="0"/>
    <n v="0"/>
    <n v="0"/>
    <n v="0"/>
    <n v="46098.42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46524.99"/>
    <n v="0"/>
    <n v="0"/>
    <n v="0"/>
    <n v="0"/>
    <n v="0"/>
    <n v="46098.42"/>
    <s v="Forecast"/>
  </r>
  <r>
    <x v="4"/>
    <x v="1"/>
    <s v="202509"/>
    <n v="5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4"/>
    <x v="2"/>
    <s v="202101"/>
    <n v="61"/>
    <n v="1518753.31"/>
    <n v="-0.17808584333149219"/>
    <s v="CohortAvg"/>
    <n v="-1.338167895623159E-2"/>
    <s v="CohortAvg"/>
    <n v="0.14419914846981041"/>
    <s v="CohortAvg"/>
    <n v="1.7831637962693981E-2"/>
    <s v="CohortAvg_NonZero"/>
    <n v="0"/>
    <s v="CohortAvg"/>
    <n v="0"/>
    <s v="Zero"/>
    <n v="0"/>
    <s v="CohortAvg"/>
    <n v="0"/>
    <s v="CohortAvg"/>
    <n v="0"/>
    <n v="-270468.46000000002"/>
    <n v="-20323.47"/>
    <n v="18250.240000000002"/>
    <n v="0"/>
    <n v="0"/>
    <n v="0"/>
    <n v="0"/>
    <n v="1246211.6200000001"/>
    <n v="0.261432"/>
    <n v="1.1686000000000001"/>
    <n v="0.30551899999999999"/>
    <s v="CohortAvg+Seasonal(1.169)"/>
    <n v="380741.59"/>
    <n v="451073.76"/>
    <n v="-70332.17"/>
    <x v="0"/>
    <n v="0"/>
    <n v="0.78500000000000003"/>
    <n v="0.24"/>
    <n v="0"/>
    <n v="0"/>
    <n v="0"/>
    <n v="451073.76"/>
    <n v="1518753.31"/>
    <n v="0.29700300000000002"/>
    <n v="-70332.17"/>
    <n v="-70332.17"/>
    <n v="0"/>
    <n v="-70332.17"/>
    <n v="1316543.79"/>
    <s v="Forecast"/>
  </r>
  <r>
    <x v="4"/>
    <x v="2"/>
    <s v="202201"/>
    <n v="41"/>
    <n v="138663.39000000001"/>
    <n v="-6.8971342088331958E-2"/>
    <s v="CohortAvg"/>
    <n v="-1.333141869819726E-2"/>
    <s v="CohortAvg"/>
    <n v="0.14870217965649621"/>
    <s v="CohortAvg"/>
    <n v="3.1662336526577753E-2"/>
    <s v="CohortAvg_NonZero"/>
    <n v="3.113009842517696E-7"/>
    <s v="CohortAvg"/>
    <n v="0"/>
    <s v="Zero"/>
    <n v="-8.3466195998218879E-5"/>
    <s v="CohortAvg"/>
    <n v="-3.7683491602941318E-7"/>
    <s v="CohortAvg"/>
    <n v="0"/>
    <n v="-9563.7999999999993"/>
    <n v="-1848.58"/>
    <n v="1718.3"/>
    <n v="0"/>
    <n v="0.04"/>
    <n v="-11.57"/>
    <n v="-0.05"/>
    <n v="128969.26"/>
    <n v="0.18045900000000001"/>
    <n v="1.1686000000000001"/>
    <n v="0.210891"/>
    <s v="CohortAvg+Seasonal(1.169)"/>
    <n v="27198.43"/>
    <n v="27639.07"/>
    <n v="-440.64"/>
    <x v="0"/>
    <n v="0"/>
    <n v="0.78500000000000003"/>
    <n v="0.24"/>
    <n v="0"/>
    <n v="0"/>
    <n v="0"/>
    <n v="27639.07"/>
    <n v="138663.39000000001"/>
    <n v="0.199325"/>
    <n v="-440.64"/>
    <n v="-440.59"/>
    <n v="0"/>
    <n v="-440.59"/>
    <n v="129409.85"/>
    <s v="Forecast"/>
  </r>
  <r>
    <x v="4"/>
    <x v="2"/>
    <s v="202301"/>
    <n v="32"/>
    <n v="9732379.1699999999"/>
    <n v="-4.0100787348169777E-2"/>
    <s v="CohortAvg"/>
    <n v="-1.538160334089095E-2"/>
    <s v="CohortAvg"/>
    <n v="0.17364906367513699"/>
    <s v="CohortAvg"/>
    <n v="1.912065693132986E-2"/>
    <s v="CohortAvg_NonZero"/>
    <n v="5.8452472324858901E-7"/>
    <s v="CohortAvg"/>
    <n v="0"/>
    <s v="Zero"/>
    <n v="-2.0853902312896839E-3"/>
    <s v="CohortAvg"/>
    <n v="-5.2472644755971418E-6"/>
    <s v="CohortAvg"/>
    <n v="0"/>
    <n v="-390276.07"/>
    <n v="-149699.6"/>
    <n v="140834.88"/>
    <n v="0"/>
    <n v="5.69"/>
    <n v="-20295.810000000001"/>
    <n v="-51.07"/>
    <n v="9333232.6999999993"/>
    <n v="0.18243799999999999"/>
    <n v="1.1686000000000001"/>
    <n v="0.213203"/>
    <s v="CohortTrend+Seasonal(1.169)"/>
    <n v="1989875.6"/>
    <n v="1946481.27"/>
    <n v="43394.33"/>
    <x v="0"/>
    <n v="0"/>
    <n v="0.78500000000000003"/>
    <n v="0.24"/>
    <n v="0"/>
    <n v="0"/>
    <n v="0"/>
    <n v="1946481.27"/>
    <n v="9732379.1699999999"/>
    <n v="0.20000100000000001"/>
    <n v="43394.33"/>
    <n v="43400.02"/>
    <n v="0"/>
    <n v="43400.02"/>
    <n v="9289832.6699999999"/>
    <s v="Forecast"/>
  </r>
  <r>
    <x v="4"/>
    <x v="2"/>
    <s v="202404"/>
    <n v="22"/>
    <n v="2489288.89"/>
    <n v="-4.0542895648570942E-2"/>
    <s v="CohortAvg"/>
    <n v="-1.5826305912978511E-2"/>
    <s v="CohortAvg"/>
    <n v="0.17648603589642761"/>
    <s v="CohortAvg"/>
    <n v="2.2477635412282478E-2"/>
    <s v="CohortAvg_NonZero"/>
    <n v="2.3009365162462928E-6"/>
    <s v="CohortAvg"/>
    <n v="0"/>
    <s v="Zero"/>
    <n v="-3.5643274513611251E-3"/>
    <s v="CohortAvg"/>
    <n v="-2.492494931767435E-5"/>
    <s v="CohortAvg"/>
    <n v="0"/>
    <n v="-100922.98"/>
    <n v="-39396.25"/>
    <n v="36610.39"/>
    <n v="0"/>
    <n v="5.73"/>
    <n v="-8872.64"/>
    <n v="-62.05"/>
    <n v="2385574.33"/>
    <n v="0.13536000000000001"/>
    <n v="1.1686000000000001"/>
    <n v="0.15818599999999999"/>
    <s v="CohortTrend+Seasonal(1.169)"/>
    <n v="377365.18"/>
    <n v="368921.04"/>
    <n v="8444.14"/>
    <x v="0"/>
    <n v="0"/>
    <n v="0.78500000000000003"/>
    <n v="0.24"/>
    <n v="0"/>
    <n v="0"/>
    <n v="0"/>
    <n v="368921.04"/>
    <n v="2489288.89"/>
    <n v="0.148203"/>
    <n v="8444.14"/>
    <n v="8449.86"/>
    <n v="0"/>
    <n v="8449.86"/>
    <n v="2377124.4700000002"/>
    <s v="Forecast"/>
  </r>
  <r>
    <x v="4"/>
    <x v="2"/>
    <s v="202405"/>
    <n v="21"/>
    <n v="2387716.09"/>
    <n v="-2.174325965292492E-2"/>
    <s v="CohortAvg"/>
    <n v="-1.5166486770240351E-2"/>
    <s v="CohortAvg"/>
    <n v="0.17494748938416091"/>
    <s v="CohortAvg"/>
    <n v="2.8731430481120791E-2"/>
    <s v="CohortAvg_NonZero"/>
    <n v="2.887674930230951E-6"/>
    <s v="CohortAvg"/>
    <n v="0"/>
    <s v="Zero"/>
    <n v="-5.8083913756162772E-3"/>
    <s v="CohortAvg"/>
    <n v="-3.9452269358776489E-5"/>
    <s v="CohortAvg"/>
    <n v="0"/>
    <n v="-51916.73"/>
    <n v="-36213.26"/>
    <n v="34810.410000000003"/>
    <n v="0"/>
    <n v="6.89"/>
    <n v="-13868.79"/>
    <n v="-94.2"/>
    <n v="2334389.61"/>
    <n v="0.114815"/>
    <n v="1.1686000000000001"/>
    <n v="0.13417699999999999"/>
    <s v="CohortTrend+Seasonal(1.169)"/>
    <n v="313221.55"/>
    <n v="300123.96999999997"/>
    <n v="13097.58"/>
    <x v="0"/>
    <n v="0"/>
    <n v="0.78500000000000003"/>
    <n v="0.24"/>
    <n v="0"/>
    <n v="0"/>
    <n v="0"/>
    <n v="300123.96999999997"/>
    <n v="2387716.09"/>
    <n v="0.125695"/>
    <n v="13097.58"/>
    <n v="13104.47"/>
    <n v="0"/>
    <n v="13104.47"/>
    <n v="2321285.14"/>
    <s v="Forecast"/>
  </r>
  <r>
    <x v="4"/>
    <x v="2"/>
    <s v="202406"/>
    <n v="20"/>
    <n v="2153463.06"/>
    <n v="-2.8706802848839572E-2"/>
    <s v="CohortAvg"/>
    <n v="-1.4958364855893641E-2"/>
    <s v="CohortAvg"/>
    <n v="0.17351037803917371"/>
    <s v="CohortAvg"/>
    <n v="5.2803962221415389E-2"/>
    <s v="CohortAvg_NonZero"/>
    <n v="2.62607567230894E-6"/>
    <s v="CohortAvg"/>
    <n v="0"/>
    <s v="Zero"/>
    <n v="-4.6917382682420466E-3"/>
    <s v="CohortAvg"/>
    <n v="-5.7805258663268443E-5"/>
    <s v="CohortAvg"/>
    <n v="0"/>
    <n v="-61819.040000000001"/>
    <n v="-32212.29"/>
    <n v="31137.35"/>
    <n v="0"/>
    <n v="5.66"/>
    <n v="-10103.49"/>
    <n v="-124.48"/>
    <n v="2090563.43"/>
    <n v="0.120978"/>
    <n v="1.1686000000000001"/>
    <n v="0.141379"/>
    <s v="CohortTrend+Seasonal(1.169)"/>
    <n v="295561.23"/>
    <n v="235648"/>
    <n v="59913.23"/>
    <x v="0"/>
    <n v="0"/>
    <n v="0.78500000000000003"/>
    <n v="0.24"/>
    <n v="0"/>
    <n v="0"/>
    <n v="0"/>
    <n v="235648"/>
    <n v="2153463.06"/>
    <n v="0.109427"/>
    <n v="59913.23"/>
    <n v="59918.89"/>
    <n v="0"/>
    <n v="59918.89"/>
    <n v="2030644.54"/>
    <s v="Forecast"/>
  </r>
  <r>
    <x v="4"/>
    <x v="2"/>
    <s v="202407"/>
    <n v="19"/>
    <n v="3774118.58"/>
    <n v="-2.734794065788209E-2"/>
    <s v="CohortAvg"/>
    <n v="-1.556987641865383E-2"/>
    <s v="CohortAvg"/>
    <n v="0.17705667659417509"/>
    <s v="CohortAvg"/>
    <n v="2.8384556994268648E-2"/>
    <s v="CohortAvg_NonZero"/>
    <n v="6.7691873103813506E-6"/>
    <s v="CohortAvg"/>
    <n v="0"/>
    <s v="Zero"/>
    <n v="-5.237487033335147E-3"/>
    <s v="CohortAvg"/>
    <n v="-4.6763961042754552E-5"/>
    <s v="CohortAvg"/>
    <n v="0"/>
    <n v="-103214.37"/>
    <n v="-58762.559999999998"/>
    <n v="55686.07"/>
    <n v="0"/>
    <n v="25.55"/>
    <n v="-19766.900000000001"/>
    <n v="-176.49"/>
    <n v="3667802.17"/>
    <n v="9.6042000000000002E-2"/>
    <n v="1.1686000000000001"/>
    <n v="0.112238"/>
    <s v="DonorCohort:202101+Seasonal(1.169)"/>
    <n v="411667.58"/>
    <n v="356894.66"/>
    <n v="54772.92"/>
    <x v="0"/>
    <n v="0"/>
    <n v="0.78500000000000003"/>
    <n v="0.24"/>
    <n v="0"/>
    <n v="0"/>
    <n v="0"/>
    <n v="356894.66"/>
    <n v="3774118.58"/>
    <n v="9.4563999999999995E-2"/>
    <n v="54772.92"/>
    <n v="54798.47"/>
    <n v="0"/>
    <n v="54798.47"/>
    <n v="3613003.7"/>
    <s v="Forecast"/>
  </r>
  <r>
    <x v="4"/>
    <x v="2"/>
    <s v="202408"/>
    <n v="18"/>
    <n v="2620370.86"/>
    <n v="-2.528915567143249E-2"/>
    <s v="CohortAvg"/>
    <n v="-1.641143802741429E-2"/>
    <s v="CohortAvg"/>
    <n v="0.1891207739571521"/>
    <s v="CohortAvg"/>
    <n v="1.901714896762478E-2"/>
    <s v="CohortAvg_NonZero"/>
    <n v="1.0339087593277599E-6"/>
    <s v="CohortAvg"/>
    <n v="0"/>
    <s v="Zero"/>
    <n v="-4.9916235200737069E-3"/>
    <s v="CohortAvg"/>
    <n v="-5.0360289042928852E-5"/>
    <s v="CohortAvg"/>
    <n v="0"/>
    <n v="-66266.97"/>
    <n v="-43004.05"/>
    <n v="41297.21"/>
    <n v="0"/>
    <n v="2.71"/>
    <n v="-13079.9"/>
    <n v="-131.96"/>
    <n v="2552394.34"/>
    <n v="8.2997000000000001E-2"/>
    <n v="1.1686000000000001"/>
    <n v="9.6992999999999996E-2"/>
    <s v="DonorCohort:202101+Seasonal(1.169)"/>
    <n v="247563.56"/>
    <n v="231254.79"/>
    <n v="16308.76"/>
    <x v="0"/>
    <n v="0"/>
    <n v="0.78500000000000003"/>
    <n v="0.24"/>
    <n v="0"/>
    <n v="0"/>
    <n v="0"/>
    <n v="231254.79"/>
    <n v="2620370.86"/>
    <n v="8.8252999999999998E-2"/>
    <n v="16308.76"/>
    <n v="16311.47"/>
    <n v="0"/>
    <n v="16311.47"/>
    <n v="2536082.87"/>
    <s v="Forecast"/>
  </r>
  <r>
    <x v="4"/>
    <x v="2"/>
    <s v="202409"/>
    <n v="17"/>
    <n v="2587070.87"/>
    <n v="-3.2232666777083897E-2"/>
    <s v="CohortAvg"/>
    <n v="-1.660653613476927E-2"/>
    <s v="CohortAvg"/>
    <n v="0.18686040035226431"/>
    <s v="CohortAvg"/>
    <n v="3.027449589140023E-2"/>
    <s v="CohortAvg_NonZero"/>
    <n v="8.8279431773813656E-6"/>
    <s v="CohortAvg"/>
    <n v="0"/>
    <s v="Zero"/>
    <n v="-1.32138230263997E-2"/>
    <s v="CohortAvg"/>
    <n v="-1.107099219422978E-4"/>
    <s v="CohortAvg"/>
    <n v="0"/>
    <n v="-83388.19"/>
    <n v="-42962.29"/>
    <n v="40285.089999999997"/>
    <n v="0"/>
    <n v="22.84"/>
    <n v="-34185.1"/>
    <n v="-286.41000000000003"/>
    <n v="2500982.64"/>
    <n v="7.7456999999999998E-2"/>
    <n v="1.1686000000000001"/>
    <n v="9.0520000000000003E-2"/>
    <s v="DonorCohort:202101+Seasonal(1.169)"/>
    <n v="226387.84"/>
    <n v="223876.1"/>
    <n v="2511.7399999999998"/>
    <x v="0"/>
    <n v="0"/>
    <n v="0.78500000000000003"/>
    <n v="0.24"/>
    <n v="0"/>
    <n v="0"/>
    <n v="0"/>
    <n v="223876.1"/>
    <n v="2587070.87"/>
    <n v="8.6537000000000003E-2"/>
    <n v="2511.7399999999998"/>
    <n v="2534.58"/>
    <n v="0"/>
    <n v="2534.58"/>
    <n v="2498448.06"/>
    <s v="Forecast"/>
  </r>
  <r>
    <x v="4"/>
    <x v="2"/>
    <s v="202410"/>
    <n v="16"/>
    <n v="2509431.75"/>
    <n v="-3.7852512458883748E-2"/>
    <s v="CohortAvg"/>
    <n v="-1.6552716617203801E-2"/>
    <s v="CohortAvg"/>
    <n v="0.18375679126948541"/>
    <s v="CohortAvg"/>
    <n v="2.4253533034067569E-2"/>
    <s v="CohortAvg_NonZero"/>
    <n v="4.5981210794628162E-6"/>
    <s v="CohortAvg"/>
    <n v="0"/>
    <s v="Zero"/>
    <n v="-9.449278307950686E-3"/>
    <s v="CohortAvg"/>
    <n v="-1.2247342825130931E-4"/>
    <s v="CohortAvg"/>
    <n v="0"/>
    <n v="-94988.3"/>
    <n v="-41537.910000000003"/>
    <n v="38427.089999999997"/>
    <n v="0"/>
    <n v="11.54"/>
    <n v="-23712.32"/>
    <n v="-307.33999999999997"/>
    <n v="2411321.09"/>
    <n v="7.5951000000000005E-2"/>
    <n v="1.1686000000000001"/>
    <n v="8.8759000000000005E-2"/>
    <s v="DonorCohort:202101+Seasonal(1.169)"/>
    <n v="214027.16"/>
    <n v="194863.43"/>
    <n v="19163.73"/>
    <x v="0"/>
    <n v="0"/>
    <n v="0.78500000000000003"/>
    <n v="0.24"/>
    <n v="0"/>
    <n v="0"/>
    <n v="0"/>
    <n v="194863.43"/>
    <n v="2509431.75"/>
    <n v="7.7651999999999999E-2"/>
    <n v="19163.73"/>
    <n v="19175.27"/>
    <n v="0"/>
    <n v="19175.27"/>
    <n v="2392145.8199999998"/>
    <s v="Forecast"/>
  </r>
  <r>
    <x v="4"/>
    <x v="2"/>
    <s v="202411"/>
    <n v="15"/>
    <n v="2791609.6"/>
    <n v="-3.6098777594254887E-2"/>
    <s v="CohortAvg"/>
    <n v="-1.7335832081179781E-2"/>
    <s v="CohortAvg"/>
    <n v="0.19186964184500019"/>
    <s v="CohortAvg"/>
    <n v="1.9880966943763019E-2"/>
    <s v="CohortAvg_NonZero"/>
    <n v="4.2230731847965468E-6"/>
    <s v="CohortAvg"/>
    <n v="0"/>
    <s v="Zero"/>
    <n v="-1.277513251190366E-2"/>
    <s v="CohortAvg"/>
    <n v="-1.153224607661199E-4"/>
    <s v="CohortAvg"/>
    <n v="0"/>
    <n v="-100773.69"/>
    <n v="-48394.879999999997"/>
    <n v="44635.43"/>
    <n v="0"/>
    <n v="11.79"/>
    <n v="-35663.18"/>
    <n v="-321.94"/>
    <n v="2687064.67"/>
    <n v="6.8154000000000006E-2"/>
    <n v="1.1686000000000001"/>
    <n v="7.9646999999999996E-2"/>
    <s v="DonorCohort:202101+Seasonal(1.169)"/>
    <n v="214016.62"/>
    <n v="178187.9"/>
    <n v="35828.720000000001"/>
    <x v="0"/>
    <n v="0"/>
    <n v="0.78500000000000003"/>
    <n v="0.24"/>
    <n v="0"/>
    <n v="0"/>
    <n v="0"/>
    <n v="178187.9"/>
    <n v="2791609.6"/>
    <n v="6.3829999999999998E-2"/>
    <n v="35828.720000000001"/>
    <n v="35840.51"/>
    <n v="0"/>
    <n v="35840.51"/>
    <n v="2651224.16"/>
    <s v="Forecast"/>
  </r>
  <r>
    <x v="4"/>
    <x v="2"/>
    <s v="202412"/>
    <n v="14"/>
    <n v="2385386.75"/>
    <n v="-2.242770539490184E-2"/>
    <s v="CohortAvg"/>
    <n v="-1.66274647202201E-2"/>
    <s v="CohortAvg"/>
    <n v="0.19162079057161979"/>
    <s v="CohortAvg"/>
    <n v="2.6202457897905689E-2"/>
    <s v="CohortAvg_NonZero"/>
    <n v="2.982317342413908E-6"/>
    <s v="CohortAvg"/>
    <n v="0"/>
    <s v="Zero"/>
    <n v="-1.3796122651782049E-2"/>
    <s v="CohortAvg"/>
    <n v="-1.1360406168024E-4"/>
    <s v="CohortAvg"/>
    <n v="0"/>
    <n v="-53498.75"/>
    <n v="-39662.93"/>
    <n v="38090.81"/>
    <n v="0"/>
    <n v="7.11"/>
    <n v="-32909.089999999997"/>
    <n v="-270.99"/>
    <n v="2330308.7599999998"/>
    <n v="5.6022000000000002E-2"/>
    <n v="1.1686000000000001"/>
    <n v="6.5468999999999999E-2"/>
    <s v="DonorCohort:202101+Seasonal(1.169)"/>
    <n v="152563.78"/>
    <n v="138537"/>
    <n v="14026.78"/>
    <x v="0"/>
    <n v="0"/>
    <n v="0.78500000000000003"/>
    <n v="0.24"/>
    <n v="0"/>
    <n v="0"/>
    <n v="0"/>
    <n v="138537"/>
    <n v="2385386.75"/>
    <n v="5.8076999999999997E-2"/>
    <n v="14026.78"/>
    <n v="14033.9"/>
    <n v="0"/>
    <n v="14033.9"/>
    <n v="2316274.86"/>
    <s v="Forecast"/>
  </r>
  <r>
    <x v="4"/>
    <x v="2"/>
    <s v="202501"/>
    <n v="13"/>
    <n v="4330515.3099999996"/>
    <n v="-2.9640900022537279E-2"/>
    <s v="CohortAvg"/>
    <n v="-1.734664960215752E-2"/>
    <s v="CohortAvg"/>
    <n v="0.19337846185804919"/>
    <s v="CohortAvg"/>
    <n v="1.388810307813808E-2"/>
    <s v="CohortAvg_NonZero"/>
    <n v="1.452102386416258E-4"/>
    <s v="CohortAvg"/>
    <n v="0"/>
    <s v="Zero"/>
    <n v="-1.7416212087114111E-2"/>
    <s v="CohortAvg"/>
    <n v="-1.4721297787353491E-4"/>
    <s v="CohortAvg"/>
    <n v="0"/>
    <n v="-128360.37"/>
    <n v="-75119.929999999993"/>
    <n v="69785.7"/>
    <n v="0"/>
    <n v="628.84"/>
    <n v="-75421.17"/>
    <n v="-637.51"/>
    <n v="4196191.87"/>
    <n v="5.0972999999999997E-2"/>
    <n v="1.1686000000000001"/>
    <n v="5.9568999999999997E-2"/>
    <s v="DonorCohort:202101+Seasonal(1.169)"/>
    <n v="249963.58"/>
    <n v="226995.36"/>
    <n v="22968.21"/>
    <x v="0"/>
    <n v="0"/>
    <n v="0.78500000000000003"/>
    <n v="0.24"/>
    <n v="0"/>
    <n v="0"/>
    <n v="0"/>
    <n v="226995.36"/>
    <n v="4330515.3099999996"/>
    <n v="5.2417999999999999E-2"/>
    <n v="22968.21"/>
    <n v="23597.05"/>
    <n v="0"/>
    <n v="23597.05"/>
    <n v="4172594.82"/>
    <s v="Forecast"/>
  </r>
  <r>
    <x v="4"/>
    <x v="2"/>
    <s v="202502"/>
    <n v="12"/>
    <n v="4459911.47"/>
    <n v="-3.3535762296860283E-2"/>
    <s v="CohortAvg"/>
    <n v="-1.7589292685076831E-2"/>
    <s v="CohortAvg"/>
    <n v="0.19988660151937759"/>
    <s v="CohortAvg"/>
    <n v="7.9645373695133598E-3"/>
    <s v="CohortAvg_NonZero"/>
    <n v="0"/>
    <s v="CohortAvg"/>
    <n v="0"/>
    <s v="Zero"/>
    <n v="-2.7207109098571311E-2"/>
    <s v="CohortAvg"/>
    <n v="-2.4873088696612252E-4"/>
    <s v="CohortAvg"/>
    <n v="0"/>
    <n v="-149566.53"/>
    <n v="-78446.69"/>
    <n v="74289.710000000006"/>
    <n v="0"/>
    <n v="0"/>
    <n v="-121341.3"/>
    <n v="-1109.32"/>
    <n v="4306187.96"/>
    <n v="4.6005999999999998E-2"/>
    <n v="1.1686000000000001"/>
    <n v="5.3763999999999999E-2"/>
    <s v="DonorCohort:202101+Seasonal(1.169)"/>
    <n v="231518.03"/>
    <n v="201471.9"/>
    <n v="30046.14"/>
    <x v="0"/>
    <n v="0"/>
    <n v="0.78500000000000003"/>
    <n v="0.24"/>
    <n v="0"/>
    <n v="0"/>
    <n v="0"/>
    <n v="201471.9"/>
    <n v="4459911.47"/>
    <n v="4.5173999999999999E-2"/>
    <n v="30046.14"/>
    <n v="30046.14"/>
    <n v="0"/>
    <n v="30046.14"/>
    <n v="4276141.82"/>
    <s v="Forecast"/>
  </r>
  <r>
    <x v="4"/>
    <x v="2"/>
    <s v="202503"/>
    <n v="11"/>
    <n v="5570697.2400000002"/>
    <n v="-2.279529575673089E-2"/>
    <s v="CohortAvg"/>
    <n v="-1.6914619769229582E-2"/>
    <s v="CohortAvg"/>
    <n v="0.2008777907663041"/>
    <s v="CohortAvg"/>
    <n v="7.1848262480383477E-3"/>
    <s v="CohortAvg_NonZero"/>
    <n v="2.198147318287289E-7"/>
    <s v="CohortAvg"/>
    <n v="0"/>
    <s v="Zero"/>
    <n v="0"/>
    <s v="CohortAvg"/>
    <n v="0"/>
    <s v="CohortAvg"/>
    <n v="0"/>
    <n v="-126985.69"/>
    <n v="-94226.23"/>
    <n v="93252.45"/>
    <n v="0"/>
    <n v="1.22"/>
    <n v="0"/>
    <n v="0"/>
    <n v="5442736.54"/>
    <n v="3.9648000000000003E-2"/>
    <n v="1.1686000000000001"/>
    <n v="4.6334E-2"/>
    <s v="DonorCohort:202101+Seasonal(1.169)"/>
    <n v="252185.43"/>
    <n v="208833.34"/>
    <n v="43352.09"/>
    <x v="0"/>
    <n v="0"/>
    <n v="0.78500000000000003"/>
    <n v="0.24"/>
    <n v="0"/>
    <n v="0"/>
    <n v="0"/>
    <n v="208833.34"/>
    <n v="5570697.2400000002"/>
    <n v="3.7488E-2"/>
    <n v="43352.09"/>
    <n v="43353.31"/>
    <n v="0"/>
    <n v="43353.31"/>
    <n v="5399383.2300000004"/>
    <s v="Forecast"/>
  </r>
  <r>
    <x v="4"/>
    <x v="2"/>
    <s v="202504"/>
    <n v="10"/>
    <n v="7041810.4199999999"/>
    <n v="-2.4362756613198679E-2"/>
    <s v="CohortAvg"/>
    <n v="-1.6794659192339481E-2"/>
    <s v="CohortAvg"/>
    <n v="0.19631847913156411"/>
    <s v="CohortAvg"/>
    <n v="3.260907177009143E-3"/>
    <s v="CohortAvg_NonZero"/>
    <n v="0"/>
    <s v="CohortAvg"/>
    <n v="0"/>
    <s v="Zero"/>
    <n v="0"/>
    <s v="CohortAvg"/>
    <n v="0"/>
    <s v="CohortAvg"/>
    <n v="0"/>
    <n v="-171557.91"/>
    <n v="-118264.81"/>
    <n v="115203.13"/>
    <n v="0"/>
    <n v="0"/>
    <n v="0"/>
    <n v="0"/>
    <n v="6867190.8200000003"/>
    <n v="3.2902000000000001E-2"/>
    <n v="1.1686000000000001"/>
    <n v="3.8450999999999999E-2"/>
    <s v="DonorCohort:202101+Seasonal(1.169)"/>
    <n v="264048.57"/>
    <n v="169909.38"/>
    <n v="94139.199999999997"/>
    <x v="0"/>
    <n v="0"/>
    <n v="0.78500000000000003"/>
    <n v="0.24"/>
    <n v="0"/>
    <n v="0"/>
    <n v="0"/>
    <n v="169909.38"/>
    <n v="7041810.4199999999"/>
    <n v="2.4129000000000001E-2"/>
    <n v="94139.199999999997"/>
    <n v="94139.199999999997"/>
    <n v="0"/>
    <n v="94139.199999999997"/>
    <n v="6773051.6299999999"/>
    <s v="Forecast"/>
  </r>
  <r>
    <x v="4"/>
    <x v="2"/>
    <s v="202505"/>
    <n v="9"/>
    <n v="6844680.3099999996"/>
    <n v="-2.3520618108372041E-2"/>
    <s v="CohortAvg"/>
    <n v="-1.421021998252596E-2"/>
    <s v="CohortAvg"/>
    <n v="0.16624015301842329"/>
    <s v="CohortAvg"/>
    <n v="0"/>
    <s v="CohortAvg_NoData_ERROR"/>
    <n v="0"/>
    <s v="CohortAvg"/>
    <n v="0"/>
    <s v="Zero"/>
    <n v="0"/>
    <s v="CohortAvg"/>
    <n v="0"/>
    <s v="CohortAvg"/>
    <n v="0"/>
    <n v="-160991.10999999999"/>
    <n v="-97264.41"/>
    <n v="94821.73"/>
    <n v="0"/>
    <n v="0"/>
    <n v="0"/>
    <n v="0"/>
    <n v="6681246.5099999998"/>
    <n v="2.1177000000000001E-2"/>
    <n v="1.1686000000000001"/>
    <n v="2.4747999999999999E-2"/>
    <s v="DonorCohort:202101+Seasonal(1.169)"/>
    <n v="165350.28"/>
    <n v="120725.05"/>
    <n v="44625.23"/>
    <x v="0"/>
    <n v="0"/>
    <n v="0.78500000000000003"/>
    <n v="0.24"/>
    <n v="0"/>
    <n v="0"/>
    <n v="0"/>
    <n v="120725.05"/>
    <n v="6844680.3099999996"/>
    <n v="1.7638000000000001E-2"/>
    <n v="44625.23"/>
    <n v="44625.23"/>
    <n v="0"/>
    <n v="44625.23"/>
    <n v="6636621.2800000003"/>
    <s v="Forecast"/>
  </r>
  <r>
    <x v="4"/>
    <x v="2"/>
    <s v="202506"/>
    <n v="8"/>
    <n v="6832510.8799999999"/>
    <n v="-1.6134049094485511E-2"/>
    <s v="CohortAvg"/>
    <n v="-1.306671792848646E-2"/>
    <s v="CohortAvg"/>
    <n v="0.15884553956028771"/>
    <s v="CohortAvg"/>
    <n v="0"/>
    <s v="CohortAvg_NoData_ERROR"/>
    <n v="0"/>
    <s v="CohortAvg"/>
    <n v="0"/>
    <s v="Zero"/>
    <n v="0"/>
    <s v="CohortAvg"/>
    <n v="0"/>
    <s v="CohortAvg"/>
    <n v="0"/>
    <n v="-110236.07"/>
    <n v="-89278.49"/>
    <n v="90442.82"/>
    <n v="0"/>
    <n v="0"/>
    <n v="0"/>
    <n v="0"/>
    <n v="6723439.1500000004"/>
    <n v="1.5480000000000001E-2"/>
    <n v="1.1686000000000001"/>
    <n v="1.8090999999999999E-2"/>
    <s v="DonorCohort:202101+Seasonal(1.169)"/>
    <n v="121632.64"/>
    <n v="102595.24"/>
    <n v="19037.41"/>
    <x v="0"/>
    <n v="0"/>
    <n v="0.78500000000000003"/>
    <n v="0.24"/>
    <n v="0"/>
    <n v="0"/>
    <n v="0"/>
    <n v="102595.24"/>
    <n v="6832510.8799999999"/>
    <n v="1.5016E-2"/>
    <n v="19037.41"/>
    <n v="19037.41"/>
    <n v="0"/>
    <n v="19037.41"/>
    <n v="6704401.7400000002"/>
    <s v="Forecast"/>
  </r>
  <r>
    <x v="4"/>
    <x v="2"/>
    <s v="202507"/>
    <n v="7"/>
    <n v="8507612.7300000004"/>
    <n v="-1.1235410682700149E-2"/>
    <s v="CohortAvg"/>
    <n v="-1.180834890395055E-2"/>
    <s v="CohortAvg"/>
    <n v="0.13010761395317089"/>
    <s v="CohortAvg"/>
    <n v="0"/>
    <s v="CohortAvg_NoData_ERROR"/>
    <n v="0"/>
    <s v="CohortAvg"/>
    <n v="0"/>
    <s v="Zero"/>
    <n v="0"/>
    <s v="CohortAvg"/>
    <n v="0"/>
    <s v="CohortAvg"/>
    <n v="0"/>
    <n v="-95586.52"/>
    <n v="-100460.86"/>
    <n v="92242.1"/>
    <n v="0"/>
    <n v="0"/>
    <n v="0"/>
    <n v="0"/>
    <n v="8403807.4499999993"/>
    <n v="1.3179E-2"/>
    <n v="1.1686000000000001"/>
    <n v="1.5401E-2"/>
    <s v="DonorCohort:202101+Seasonal(1.169)"/>
    <n v="129430.73"/>
    <n v="89558.84"/>
    <n v="39871.89"/>
    <x v="0"/>
    <n v="0"/>
    <n v="0.78500000000000003"/>
    <n v="0.24"/>
    <n v="0"/>
    <n v="0"/>
    <n v="0"/>
    <n v="89558.84"/>
    <n v="8507612.7300000004"/>
    <n v="1.0527E-2"/>
    <n v="39871.89"/>
    <n v="39871.89"/>
    <n v="0"/>
    <n v="39871.89"/>
    <n v="8363935.5499999998"/>
    <s v="Forecast"/>
  </r>
  <r>
    <x v="4"/>
    <x v="2"/>
    <s v="202508"/>
    <n v="6"/>
    <n v="7472959.0599999996"/>
    <n v="-1.241976959284777E-2"/>
    <s v="CohortAvg"/>
    <n v="-7.5974208593206083E-3"/>
    <s v="CohortAvg"/>
    <n v="0.1197382461885208"/>
    <s v="CohortAvg"/>
    <n v="0"/>
    <s v="CohortAvg_NoData_ERROR"/>
    <n v="2.2154872641803221E-5"/>
    <s v="CohortAvg"/>
    <n v="0"/>
    <s v="Zero"/>
    <n v="0"/>
    <s v="CohortAvg"/>
    <n v="0"/>
    <s v="CohortAvg"/>
    <n v="0"/>
    <n v="-92812.43"/>
    <n v="-56775.22"/>
    <n v="74566.58"/>
    <n v="0"/>
    <n v="165.56"/>
    <n v="0"/>
    <n v="0"/>
    <n v="7397772.4299999997"/>
    <n v="9.2390000000000007E-3"/>
    <n v="1.1686000000000001"/>
    <n v="1.0796999999999999E-2"/>
    <s v="DonorCohort:202101+Seasonal(1.169)"/>
    <n v="79875.97"/>
    <n v="54611.16"/>
    <n v="25264.799999999999"/>
    <x v="0"/>
    <n v="0"/>
    <n v="0.78500000000000003"/>
    <n v="0.24"/>
    <n v="0"/>
    <n v="0"/>
    <n v="0"/>
    <n v="54611.16"/>
    <n v="7472959.0599999996"/>
    <n v="7.3080000000000003E-3"/>
    <n v="25264.799999999999"/>
    <n v="25430.37"/>
    <n v="0"/>
    <n v="25430.37"/>
    <n v="7372342.0700000003"/>
    <s v="Forecast"/>
  </r>
  <r>
    <x v="4"/>
    <x v="2"/>
    <s v="202509"/>
    <n v="5"/>
    <n v="8727304.4299999997"/>
    <n v="-0.13290383530817301"/>
    <s v="CohortAvg"/>
    <n v="-1.630667040104266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159892.23"/>
    <n v="-142313.28"/>
    <n v="363637.68"/>
    <n v="0"/>
    <n v="0"/>
    <n v="0"/>
    <n v="0"/>
    <n v="7788736.6100000003"/>
    <n v="6.4140000000000004E-3"/>
    <n v="1.1686000000000001"/>
    <n v="7.4960000000000001E-3"/>
    <s v="DonorCohort:202101+Seasonal(1.169)"/>
    <n v="58380.83"/>
    <n v="34443.61"/>
    <n v="23937.22"/>
    <x v="0"/>
    <n v="0"/>
    <n v="0.78500000000000003"/>
    <n v="0.24"/>
    <n v="0"/>
    <n v="0"/>
    <n v="0"/>
    <n v="34443.61"/>
    <n v="8727304.4299999997"/>
    <n v="3.947E-3"/>
    <n v="23937.22"/>
    <n v="23937.22"/>
    <n v="0"/>
    <n v="23937.22"/>
    <n v="7764799.3899999997"/>
    <s v="Forecast"/>
  </r>
  <r>
    <x v="4"/>
    <x v="3"/>
    <s v="201912"/>
    <n v="74"/>
    <n v="56872.19"/>
    <n v="-7.6700496435201911E-3"/>
    <s v="CohortAvg"/>
    <n v="-6.597118136854787E-4"/>
    <s v="CohortAvg"/>
    <n v="0"/>
    <s v="CohortAvg"/>
    <n v="3.4328450463585181E-2"/>
    <s v="CohortAvg_NonZero"/>
    <n v="3.3009661550701161E-6"/>
    <s v="CohortAvg"/>
    <n v="0"/>
    <s v="Zero"/>
    <n v="0"/>
    <s v="CohortAvg"/>
    <n v="0"/>
    <s v="CohortAvg"/>
    <n v="0"/>
    <n v="-436.21"/>
    <n v="-37.520000000000003"/>
    <n v="0"/>
    <n v="0"/>
    <n v="0.19"/>
    <n v="0"/>
    <n v="0"/>
    <n v="56398.27"/>
    <n v="0.98792500000000005"/>
    <n v="1.0666"/>
    <n v="1.0537449999999999"/>
    <s v="CohortAvg+Seasonal(1.067)"/>
    <n v="59429.42"/>
    <n v="59067.83"/>
    <n v="361.59"/>
    <x v="0"/>
    <n v="0"/>
    <n v="0.78500000000000003"/>
    <n v="0.24"/>
    <n v="0"/>
    <n v="0"/>
    <n v="0"/>
    <n v="59067.83"/>
    <n v="56872.19"/>
    <n v="1.0386070000000001"/>
    <n v="361.59"/>
    <n v="361.77"/>
    <n v="0"/>
    <n v="361.77"/>
    <n v="56036.5"/>
    <s v="Forecast"/>
  </r>
  <r>
    <x v="4"/>
    <x v="3"/>
    <s v="202001"/>
    <n v="73"/>
    <n v="491.56"/>
    <n v="-0.5"/>
    <s v="CohortAvg"/>
    <n v="-8.5313012951829375E-5"/>
    <s v="CohortAvg"/>
    <n v="0"/>
    <s v="CohortAvg"/>
    <n v="1.840428238266624E-2"/>
    <s v="CohortAvg_NonZero"/>
    <n v="0"/>
    <s v="CohortAvg"/>
    <n v="0"/>
    <s v="Zero"/>
    <n v="0"/>
    <s v="CohortAvg"/>
    <n v="0"/>
    <s v="CohortAvg"/>
    <n v="0"/>
    <n v="-245.78"/>
    <n v="-0.04"/>
    <n v="0"/>
    <n v="0"/>
    <n v="0"/>
    <n v="0"/>
    <n v="0"/>
    <n v="245.74"/>
    <n v="0.83303700000000003"/>
    <n v="1.0666"/>
    <n v="0.88853800000000005"/>
    <s v="CohortAvg+Seasonal(1.067)"/>
    <n v="218.35"/>
    <n v="426.84"/>
    <n v="-208.5"/>
    <x v="0"/>
    <n v="0"/>
    <n v="0.78500000000000003"/>
    <n v="0.24"/>
    <n v="0"/>
    <n v="0"/>
    <n v="0"/>
    <n v="426.84"/>
    <n v="491.56"/>
    <n v="0.86834699999999998"/>
    <n v="-208.5"/>
    <n v="-208.5"/>
    <n v="0"/>
    <n v="-208.5"/>
    <n v="454.23"/>
    <s v="Forecast"/>
  </r>
  <r>
    <x v="4"/>
    <x v="3"/>
    <s v="202101"/>
    <n v="61"/>
    <n v="1405993.92"/>
    <n v="-0.1070999761507129"/>
    <s v="CohortAvg"/>
    <n v="-8.9077288350033496E-3"/>
    <s v="CohortAvg"/>
    <n v="0.1122684653586092"/>
    <s v="CohortAvg"/>
    <n v="5.2675176133382294E-3"/>
    <s v="CohortAvg_NonZero"/>
    <n v="0"/>
    <s v="CohortAvg"/>
    <n v="0"/>
    <s v="Zero"/>
    <n v="-9.683938606712552E-4"/>
    <s v="CohortAvg"/>
    <n v="-1.0100460920638209E-5"/>
    <s v="CohortAvg"/>
    <n v="0"/>
    <n v="-150581.92000000001"/>
    <n v="-12524.21"/>
    <n v="13154.06"/>
    <n v="0"/>
    <n v="0"/>
    <n v="-1361.56"/>
    <n v="-14.2"/>
    <n v="1256041.8600000001"/>
    <n v="0.27769300000000002"/>
    <n v="1.0666"/>
    <n v="0.29619400000000001"/>
    <s v="CohortAvg+Seasonal(1.067)"/>
    <n v="372031.76"/>
    <n v="409494.66"/>
    <n v="-37462.9"/>
    <x v="0"/>
    <n v="0"/>
    <n v="0.78500000000000003"/>
    <n v="0.24"/>
    <n v="0"/>
    <n v="0"/>
    <n v="0"/>
    <n v="409494.66"/>
    <n v="1405993.92"/>
    <n v="0.29124899999999998"/>
    <n v="-37462.9"/>
    <n v="-37462.9"/>
    <n v="0"/>
    <n v="-37462.9"/>
    <n v="1293504.76"/>
    <s v="Forecast"/>
  </r>
  <r>
    <x v="4"/>
    <x v="3"/>
    <s v="202201"/>
    <n v="41"/>
    <n v="312942.53000000003"/>
    <n v="-8.8785246405216303E-2"/>
    <s v="CohortAvg"/>
    <n v="-1.055871388101595E-2"/>
    <s v="CohortAvg"/>
    <n v="0.11452594808338409"/>
    <s v="CohortAvg"/>
    <n v="2.8277185680005479E-2"/>
    <s v="CohortAvg_NonZero"/>
    <n v="7.5514668012970022E-4"/>
    <s v="CohortAvg"/>
    <n v="0"/>
    <s v="Zero"/>
    <n v="-9.715830885520492E-4"/>
    <s v="CohortAvg"/>
    <n v="-8.470798841776181E-6"/>
    <s v="CohortAvg"/>
    <n v="0"/>
    <n v="-27784.68"/>
    <n v="-3304.27"/>
    <n v="2986.67"/>
    <n v="0"/>
    <n v="236.32"/>
    <n v="-304.05"/>
    <n v="-2.65"/>
    <n v="284603.93"/>
    <n v="0.30338900000000002"/>
    <n v="1.0666"/>
    <n v="0.323602"/>
    <s v="CohortAvg+Seasonal(1.067)"/>
    <n v="92098.43"/>
    <n v="98062.8"/>
    <n v="-5964.37"/>
    <x v="0"/>
    <n v="0"/>
    <n v="0.78500000000000003"/>
    <n v="0.24"/>
    <n v="0"/>
    <n v="0"/>
    <n v="0"/>
    <n v="98062.8"/>
    <n v="312942.53000000003"/>
    <n v="0.313357"/>
    <n v="-5964.37"/>
    <n v="-5728.05"/>
    <n v="0"/>
    <n v="-5728.05"/>
    <n v="290331.98"/>
    <s v="Forecast"/>
  </r>
  <r>
    <x v="4"/>
    <x v="3"/>
    <s v="202301"/>
    <n v="32"/>
    <n v="3522968.5"/>
    <n v="-7.0531182195967004E-2"/>
    <s v="CohortAvg"/>
    <n v="-1.6126368361804689E-2"/>
    <s v="CohortAvg"/>
    <n v="0.191537406864634"/>
    <s v="CohortAvg"/>
    <n v="2.2957441513472201E-2"/>
    <s v="CohortAvg_NonZero"/>
    <n v="2.5283939494670952E-5"/>
    <s v="CohortAvg"/>
    <n v="0"/>
    <s v="Zero"/>
    <n v="-2.908530952785926E-3"/>
    <s v="CohortAvg"/>
    <n v="-2.386338166131971E-5"/>
    <s v="CohortAvg"/>
    <n v="0"/>
    <n v="-248479.13"/>
    <n v="-56812.69"/>
    <n v="56231.69"/>
    <n v="0"/>
    <n v="89.07"/>
    <n v="-10246.66"/>
    <n v="-84.07"/>
    <n v="3273819.29"/>
    <n v="0.23546500000000001"/>
    <n v="1.0666"/>
    <n v="0.25115300000000002"/>
    <s v="CohortTrend+Seasonal(1.067)"/>
    <n v="822230.41"/>
    <n v="839426.72"/>
    <n v="-17196.310000000001"/>
    <x v="0"/>
    <n v="0"/>
    <n v="0.78500000000000003"/>
    <n v="0.24"/>
    <n v="0"/>
    <n v="0"/>
    <n v="0"/>
    <n v="839426.72"/>
    <n v="3522968.5"/>
    <n v="0.23827300000000001"/>
    <n v="-17196.310000000001"/>
    <n v="-17107.240000000002"/>
    <n v="0"/>
    <n v="-17107.240000000002"/>
    <n v="3290926.53"/>
    <s v="Forecast"/>
  </r>
  <r>
    <x v="4"/>
    <x v="3"/>
    <s v="202404"/>
    <n v="22"/>
    <n v="875508.85"/>
    <n v="-4.9402797379102643E-2"/>
    <s v="CohortAvg"/>
    <n v="-1.7490921322599579E-2"/>
    <s v="CohortAvg"/>
    <n v="0.1932935941565993"/>
    <s v="CohortAvg"/>
    <n v="5.7109993825469357E-2"/>
    <s v="CohortAvg_NonZero"/>
    <n v="5.6721758064942397E-6"/>
    <s v="CohortAvg"/>
    <n v="0"/>
    <s v="Zero"/>
    <n v="-1.114910659827026E-2"/>
    <s v="CohortAvg"/>
    <n v="-1.2227149335066229E-4"/>
    <s v="CohortAvg"/>
    <n v="0"/>
    <n v="-43252.59"/>
    <n v="-15313.46"/>
    <n v="14102.52"/>
    <n v="0"/>
    <n v="4.97"/>
    <n v="-9761.14"/>
    <n v="-107.05"/>
    <n v="831040.37"/>
    <n v="0.14982599999999999"/>
    <n v="1.0666"/>
    <n v="0.15980800000000001"/>
    <s v="CohortTrend+Seasonal(1.067)"/>
    <n v="132807.19"/>
    <n v="133139.21"/>
    <n v="-332.02"/>
    <x v="0"/>
    <n v="0"/>
    <n v="0.78500000000000003"/>
    <n v="0.24"/>
    <n v="0"/>
    <n v="0"/>
    <n v="0"/>
    <n v="133139.21"/>
    <n v="875508.85"/>
    <n v="0.15207100000000001"/>
    <n v="-332.02"/>
    <n v="-327.05"/>
    <n v="0"/>
    <n v="-327.05"/>
    <n v="831367.42"/>
    <s v="Forecast"/>
  </r>
  <r>
    <x v="4"/>
    <x v="3"/>
    <s v="202405"/>
    <n v="21"/>
    <n v="776622.49"/>
    <n v="-5.1699276615347088E-2"/>
    <s v="CohortAvg"/>
    <n v="-1.794512932427654E-2"/>
    <s v="CohortAvg"/>
    <n v="0.20161560994648911"/>
    <s v="CohortAvg"/>
    <n v="4.2459967283993143E-2"/>
    <s v="CohortAvg_NonZero"/>
    <n v="7.4942485966593396E-6"/>
    <s v="CohortAvg"/>
    <n v="0"/>
    <s v="Zero"/>
    <n v="-1.233083171143556E-2"/>
    <s v="CohortAvg"/>
    <n v="-1.114158569931751E-4"/>
    <s v="CohortAvg"/>
    <n v="0"/>
    <n v="-40150.82"/>
    <n v="-13936.59"/>
    <n v="13048.27"/>
    <n v="0"/>
    <n v="5.82"/>
    <n v="-9576.4"/>
    <n v="-86.53"/>
    <n v="735577.52"/>
    <n v="0.12671499999999999"/>
    <n v="1.0666"/>
    <n v="0.135157"/>
    <s v="CohortTrend+Seasonal(1.067)"/>
    <n v="99418.34"/>
    <n v="100489.48"/>
    <n v="-1071.1400000000001"/>
    <x v="0"/>
    <n v="0"/>
    <n v="0.78500000000000003"/>
    <n v="0.24"/>
    <n v="0"/>
    <n v="0"/>
    <n v="0"/>
    <n v="100489.48"/>
    <n v="776622.49"/>
    <n v="0.12939300000000001"/>
    <n v="-1071.1400000000001"/>
    <n v="-1065.32"/>
    <n v="0"/>
    <n v="-1065.32"/>
    <n v="736642.84"/>
    <s v="Forecast"/>
  </r>
  <r>
    <x v="4"/>
    <x v="3"/>
    <s v="202406"/>
    <n v="20"/>
    <n v="943509.45"/>
    <n v="-4.8793302502724102E-2"/>
    <s v="CohortAvg"/>
    <n v="-1.8157804914739499E-2"/>
    <s v="CohortAvg"/>
    <n v="0.20474590017469671"/>
    <s v="CohortAvg"/>
    <n v="3.6326124612439607E-2"/>
    <s v="CohortAvg_NonZero"/>
    <n v="6.0133530232382664E-6"/>
    <s v="CohortAvg"/>
    <n v="0"/>
    <s v="Zero"/>
    <n v="-1.513365508206618E-2"/>
    <s v="CohortAvg"/>
    <n v="-1.2845531937602799E-4"/>
    <s v="CohortAvg"/>
    <n v="0"/>
    <n v="-46036.94"/>
    <n v="-17132.060000000001"/>
    <n v="16098.31"/>
    <n v="0"/>
    <n v="5.67"/>
    <n v="-14278.75"/>
    <n v="-121.2"/>
    <n v="896433.08"/>
    <n v="0.100646"/>
    <n v="1.0666"/>
    <n v="0.107352"/>
    <s v="CohortTrend+Seasonal(1.067)"/>
    <n v="96233.67"/>
    <n v="71179.539999999994"/>
    <n v="25054.13"/>
    <x v="0"/>
    <n v="0"/>
    <n v="0.78500000000000003"/>
    <n v="0.24"/>
    <n v="0"/>
    <n v="0"/>
    <n v="0"/>
    <n v="71179.539999999994"/>
    <n v="943509.45"/>
    <n v="7.5440999999999994E-2"/>
    <n v="25054.13"/>
    <n v="25059.8"/>
    <n v="0"/>
    <n v="25059.8"/>
    <n v="871373.28"/>
    <s v="Forecast"/>
  </r>
  <r>
    <x v="4"/>
    <x v="3"/>
    <s v="202407"/>
    <n v="19"/>
    <n v="898781.6"/>
    <n v="-6.4506369152416226E-2"/>
    <s v="CohortAvg"/>
    <n v="-1.878035581252591E-2"/>
    <s v="CohortAvg"/>
    <n v="0.2088892242068015"/>
    <s v="CohortAvg"/>
    <n v="2.550954763282132E-2"/>
    <s v="CohortAvg_NonZero"/>
    <n v="1.2335410024603889E-5"/>
    <s v="CohortAvg"/>
    <n v="0"/>
    <s v="Zero"/>
    <n v="-1.765135603252109E-2"/>
    <s v="CohortAvg"/>
    <n v="-2.0556063201143589E-4"/>
    <s v="CohortAvg"/>
    <n v="0"/>
    <n v="-57977.14"/>
    <n v="-16879.439999999999"/>
    <n v="15645.48"/>
    <n v="0"/>
    <n v="11.09"/>
    <n v="-15864.71"/>
    <n v="-184.75"/>
    <n v="839559.42"/>
    <n v="7.1835999999999997E-2"/>
    <n v="1.0666"/>
    <n v="7.6621999999999996E-2"/>
    <s v="DonorCohort:202101+Seasonal(1.067)"/>
    <n v="64328.76"/>
    <n v="58213.81"/>
    <n v="6114.95"/>
    <x v="0"/>
    <n v="0"/>
    <n v="0.78500000000000003"/>
    <n v="0.24"/>
    <n v="0"/>
    <n v="0"/>
    <n v="0"/>
    <n v="58213.81"/>
    <n v="898781.6"/>
    <n v="6.4769999999999994E-2"/>
    <n v="6114.95"/>
    <n v="6126.04"/>
    <n v="0"/>
    <n v="6126.04"/>
    <n v="833433.38"/>
    <s v="Forecast"/>
  </r>
  <r>
    <x v="4"/>
    <x v="3"/>
    <s v="202408"/>
    <n v="18"/>
    <n v="1048154.23"/>
    <n v="-4.8839027450888903E-2"/>
    <s v="CohortAvg"/>
    <n v="-1.9175843929320199E-2"/>
    <s v="CohortAvg"/>
    <n v="0.2151864898499061"/>
    <s v="CohortAvg"/>
    <n v="2.9579976045212349E-2"/>
    <s v="CohortAvg_NonZero"/>
    <n v="1.241823105144331E-5"/>
    <s v="CohortAvg"/>
    <n v="0"/>
    <s v="Zero"/>
    <n v="-1.4060021447669531E-2"/>
    <s v="CohortAvg"/>
    <n v="-1.3352904644867801E-4"/>
    <s v="CohortAvg"/>
    <n v="0"/>
    <n v="-51190.83"/>
    <n v="-20099.240000000002"/>
    <n v="18795.72"/>
    <n v="0"/>
    <n v="13.02"/>
    <n v="-14737.07"/>
    <n v="-139.96"/>
    <n v="995646.86"/>
    <n v="6.1674E-2"/>
    <n v="1.0666"/>
    <n v="6.5782999999999994E-2"/>
    <s v="DonorCohort:202101+Seasonal(1.067)"/>
    <n v="65497.08"/>
    <n v="64659.31"/>
    <n v="837.77"/>
    <x v="0"/>
    <n v="0"/>
    <n v="0.78500000000000003"/>
    <n v="0.24"/>
    <n v="0"/>
    <n v="0"/>
    <n v="0"/>
    <n v="64659.31"/>
    <n v="1048154.23"/>
    <n v="6.1689000000000001E-2"/>
    <n v="837.77"/>
    <n v="850.78"/>
    <n v="0"/>
    <n v="850.78"/>
    <n v="994796.07"/>
    <s v="Forecast"/>
  </r>
  <r>
    <x v="4"/>
    <x v="3"/>
    <s v="202409"/>
    <n v="17"/>
    <n v="905398.13"/>
    <n v="-6.7887739118561441E-2"/>
    <s v="CohortAvg"/>
    <n v="-1.986740994150385E-2"/>
    <s v="CohortAvg"/>
    <n v="0.21201413650661641"/>
    <s v="CohortAvg"/>
    <n v="3.189315087481371E-2"/>
    <s v="CohortAvg_NonZero"/>
    <n v="7.0001171485593552E-6"/>
    <s v="CohortAvg"/>
    <n v="0"/>
    <s v="Zero"/>
    <n v="-1.7440180969823249E-2"/>
    <s v="CohortAvg"/>
    <n v="-1.5494037399938789E-4"/>
    <s v="CohortAvg"/>
    <n v="0"/>
    <n v="-61465.43"/>
    <n v="-17987.919999999998"/>
    <n v="15996.43"/>
    <n v="0"/>
    <n v="6.34"/>
    <n v="-15790.31"/>
    <n v="-140.28"/>
    <n v="841934.88"/>
    <n v="5.8741000000000002E-2"/>
    <n v="1.0666"/>
    <n v="6.2654000000000001E-2"/>
    <s v="DonorCohort:202101+Seasonal(1.067)"/>
    <n v="52750.82"/>
    <n v="52189"/>
    <n v="561.80999999999995"/>
    <x v="0"/>
    <n v="0"/>
    <n v="0.78500000000000003"/>
    <n v="0.24"/>
    <n v="0"/>
    <n v="0"/>
    <n v="0"/>
    <n v="52189"/>
    <n v="905398.13"/>
    <n v="5.7641999999999999E-2"/>
    <n v="561.80999999999995"/>
    <n v="568.15"/>
    <n v="0"/>
    <n v="568.15"/>
    <n v="841366.73"/>
    <s v="Forecast"/>
  </r>
  <r>
    <x v="4"/>
    <x v="3"/>
    <s v="202410"/>
    <n v="16"/>
    <n v="901438.79"/>
    <n v="-4.9102292464706918E-2"/>
    <s v="CohortAvg"/>
    <n v="-1.9717421713860692E-2"/>
    <s v="CohortAvg"/>
    <n v="0.21505374525434201"/>
    <s v="CohortAvg"/>
    <n v="3.3091794136202973E-2"/>
    <s v="CohortAvg_NonZero"/>
    <n v="4.2279872277979706E-6"/>
    <s v="CohortAvg"/>
    <n v="0"/>
    <s v="Zero"/>
    <n v="-2.491189356156271E-2"/>
    <s v="CohortAvg"/>
    <n v="-2.3336807822589049E-4"/>
    <s v="CohortAvg"/>
    <n v="0"/>
    <n v="-44262.71"/>
    <n v="-17774.05"/>
    <n v="16154.82"/>
    <n v="0"/>
    <n v="3.81"/>
    <n v="-22456.55"/>
    <n v="-210.37"/>
    <n v="855553.03"/>
    <n v="5.4886999999999998E-2"/>
    <n v="1.0666"/>
    <n v="5.8543999999999999E-2"/>
    <s v="DonorCohort:202101+Seasonal(1.067)"/>
    <n v="50087.71"/>
    <n v="48357.77"/>
    <n v="1729.94"/>
    <x v="0"/>
    <n v="0"/>
    <n v="0.78500000000000003"/>
    <n v="0.24"/>
    <n v="0"/>
    <n v="0"/>
    <n v="0"/>
    <n v="48357.77"/>
    <n v="901438.79"/>
    <n v="5.3644999999999998E-2"/>
    <n v="1729.94"/>
    <n v="1733.75"/>
    <n v="0"/>
    <n v="1733.75"/>
    <n v="853819.28"/>
    <s v="Forecast"/>
  </r>
  <r>
    <x v="4"/>
    <x v="3"/>
    <s v="202411"/>
    <n v="15"/>
    <n v="1014582.81"/>
    <n v="-5.1807178395303181E-2"/>
    <s v="CohortAvg"/>
    <n v="-1.9928009892383192E-2"/>
    <s v="CohortAvg"/>
    <n v="0.22443687316348229"/>
    <s v="CohortAvg"/>
    <n v="2.700126618730735E-2"/>
    <s v="CohortAvg_NonZero"/>
    <n v="2.4705906189169659E-6"/>
    <s v="CohortAvg"/>
    <n v="0"/>
    <s v="Zero"/>
    <n v="-3.035553322447556E-2"/>
    <s v="CohortAvg"/>
    <n v="-3.011824137590646E-4"/>
    <s v="CohortAvg"/>
    <n v="0"/>
    <n v="-52562.67"/>
    <n v="-20218.62"/>
    <n v="18975.82"/>
    <n v="0"/>
    <n v="2.5099999999999998"/>
    <n v="-30798.2"/>
    <n v="-305.57"/>
    <n v="960774.83"/>
    <n v="5.1081000000000001E-2"/>
    <n v="1.0666"/>
    <n v="5.4484999999999999E-2"/>
    <s v="DonorCohort:202101+Seasonal(1.067)"/>
    <n v="52347.56"/>
    <n v="45878.82"/>
    <n v="6468.74"/>
    <x v="0"/>
    <n v="0"/>
    <n v="0.78500000000000003"/>
    <n v="0.24"/>
    <n v="0"/>
    <n v="0"/>
    <n v="0"/>
    <n v="45878.82"/>
    <n v="1014582.81"/>
    <n v="4.5219000000000002E-2"/>
    <n v="6468.74"/>
    <n v="6471.25"/>
    <n v="0"/>
    <n v="6471.25"/>
    <n v="954303.58"/>
    <s v="Forecast"/>
  </r>
  <r>
    <x v="4"/>
    <x v="3"/>
    <s v="202412"/>
    <n v="14"/>
    <n v="1080331.21"/>
    <n v="-5.0884401547736137E-2"/>
    <s v="CohortAvg"/>
    <n v="-2.0482129433492188E-2"/>
    <s v="CohortAvg"/>
    <n v="0.22544347311298729"/>
    <s v="CohortAvg"/>
    <n v="2.9119574624581139E-2"/>
    <s v="CohortAvg_NonZero"/>
    <n v="5.8895317734724581E-6"/>
    <s v="CohortAvg"/>
    <n v="0"/>
    <s v="Zero"/>
    <n v="-4.5082875058822053E-2"/>
    <s v="CohortAvg"/>
    <n v="-4.8655759097220578E-4"/>
    <s v="CohortAvg"/>
    <n v="0"/>
    <n v="-54972.01"/>
    <n v="-22127.48"/>
    <n v="20296.13"/>
    <n v="0"/>
    <n v="6.36"/>
    <n v="-48704.44"/>
    <n v="-525.64"/>
    <n v="1023521.49"/>
    <n v="4.3057999999999999E-2"/>
    <n v="1.0666"/>
    <n v="4.5927000000000003E-2"/>
    <s v="DonorCohort:202101+Seasonal(1.067)"/>
    <n v="47007.42"/>
    <n v="43143.53"/>
    <n v="3863.9"/>
    <x v="0"/>
    <n v="0"/>
    <n v="0.78500000000000003"/>
    <n v="0.24"/>
    <n v="0"/>
    <n v="0"/>
    <n v="0"/>
    <n v="43143.53"/>
    <n v="1080331.21"/>
    <n v="3.9934999999999998E-2"/>
    <n v="3863.9"/>
    <n v="3870.26"/>
    <n v="0"/>
    <n v="3870.26"/>
    <n v="1019651.23"/>
    <s v="Forecast"/>
  </r>
  <r>
    <x v="4"/>
    <x v="3"/>
    <s v="202501"/>
    <n v="13"/>
    <n v="1755630.78"/>
    <n v="-5.1191392413980102E-2"/>
    <s v="CohortAvg"/>
    <n v="-2.0661538384468221E-2"/>
    <s v="CohortAvg"/>
    <n v="0.2277872847474284"/>
    <s v="CohortAvg"/>
    <n v="1.273455320457749E-2"/>
    <s v="CohortAvg_NonZero"/>
    <n v="1.7245512406566991E-5"/>
    <s v="CohortAvg"/>
    <n v="0"/>
    <s v="Zero"/>
    <n v="-4.346305312562191E-2"/>
    <s v="CohortAvg"/>
    <n v="-4.7907350028502678E-4"/>
    <s v="CohortAvg"/>
    <n v="0"/>
    <n v="-89873.18"/>
    <n v="-36274.03"/>
    <n v="33325.86"/>
    <n v="0"/>
    <n v="30.28"/>
    <n v="-76305.070000000007"/>
    <n v="-841.08"/>
    <n v="1662779.15"/>
    <n v="3.8026999999999998E-2"/>
    <n v="1.0666"/>
    <n v="4.0561E-2"/>
    <s v="DonorCohort:202101+Seasonal(1.067)"/>
    <n v="67443.19"/>
    <n v="62383.82"/>
    <n v="5059.37"/>
    <x v="0"/>
    <n v="0"/>
    <n v="0.78500000000000003"/>
    <n v="0.24"/>
    <n v="0"/>
    <n v="0"/>
    <n v="0"/>
    <n v="62383.82"/>
    <n v="1755630.78"/>
    <n v="3.5534000000000003E-2"/>
    <n v="5059.37"/>
    <n v="5089.6499999999996"/>
    <n v="0"/>
    <n v="5089.6499999999996"/>
    <n v="1657689.5"/>
    <s v="Forecast"/>
  </r>
  <r>
    <x v="4"/>
    <x v="3"/>
    <s v="202502"/>
    <n v="12"/>
    <n v="1905610.05"/>
    <n v="-5.2345527664888168E-2"/>
    <s v="CohortAvg"/>
    <n v="-1.962500445584919E-2"/>
    <s v="CohortAvg"/>
    <n v="0.23278647811715689"/>
    <s v="CohortAvg"/>
    <n v="1.675013423570143E-2"/>
    <s v="CohortAvg_NonZero"/>
    <n v="3.0660661992611919E-4"/>
    <s v="CohortAvg"/>
    <n v="0"/>
    <s v="Zero"/>
    <n v="-7.2097113136322624E-2"/>
    <s v="CohortAvg"/>
    <n v="-9.374921355103016E-4"/>
    <s v="CohortAvg"/>
    <n v="0"/>
    <n v="-99750.16"/>
    <n v="-37397.61"/>
    <n v="36966.69"/>
    <n v="0"/>
    <n v="584.27"/>
    <n v="-137388.98000000001"/>
    <n v="-1786.49"/>
    <n v="1804844.69"/>
    <n v="3.3834999999999997E-2"/>
    <n v="1.0666"/>
    <n v="3.6089999999999997E-2"/>
    <s v="DonorCohort:202101+Seasonal(1.067)"/>
    <n v="65136.34"/>
    <n v="56912.93"/>
    <n v="8223.42"/>
    <x v="0"/>
    <n v="0"/>
    <n v="0.78500000000000003"/>
    <n v="0.24"/>
    <n v="0"/>
    <n v="0"/>
    <n v="0"/>
    <n v="56912.93"/>
    <n v="1905610.05"/>
    <n v="2.9866E-2"/>
    <n v="8223.42"/>
    <n v="8807.69"/>
    <n v="0"/>
    <n v="8807.69"/>
    <n v="1796037"/>
    <s v="Forecast"/>
  </r>
  <r>
    <x v="4"/>
    <x v="3"/>
    <s v="202503"/>
    <n v="11"/>
    <n v="2160614.7599999998"/>
    <n v="-4.6407733394646287E-2"/>
    <s v="CohortAvg"/>
    <n v="-2.1866673789787239E-2"/>
    <s v="CohortAvg"/>
    <n v="0.25440540533305223"/>
    <s v="CohortAvg"/>
    <n v="4.6176837495393924E-3"/>
    <s v="CohortAvg_NonZero"/>
    <n v="9.7953063409000388E-7"/>
    <s v="CohortAvg"/>
    <n v="0"/>
    <s v="Zero"/>
    <n v="0"/>
    <s v="CohortAvg"/>
    <n v="0"/>
    <s v="CohortAvg"/>
    <n v="0"/>
    <n v="-100269.23"/>
    <n v="-47245.46"/>
    <n v="45806.01"/>
    <n v="0"/>
    <n v="2.12"/>
    <n v="0"/>
    <n v="0"/>
    <n v="2058903.96"/>
    <n v="2.8438999999999999E-2"/>
    <n v="1.0666"/>
    <n v="3.0332999999999999E-2"/>
    <s v="DonorCohort:202101+Seasonal(1.067)"/>
    <n v="62453.64"/>
    <n v="48486.49"/>
    <n v="13967.15"/>
    <x v="0"/>
    <n v="0"/>
    <n v="0.78500000000000003"/>
    <n v="0.24"/>
    <n v="0"/>
    <n v="0"/>
    <n v="0"/>
    <n v="48486.49"/>
    <n v="2160614.7599999998"/>
    <n v="2.2440999999999999E-2"/>
    <n v="13967.15"/>
    <n v="13969.27"/>
    <n v="0"/>
    <n v="13969.27"/>
    <n v="2044934.69"/>
    <s v="Forecast"/>
  </r>
  <r>
    <x v="4"/>
    <x v="3"/>
    <s v="202504"/>
    <n v="10"/>
    <n v="1894709.24"/>
    <n v="-5.4868012503788567E-2"/>
    <s v="CohortAvg"/>
    <n v="-2.1863112811841931E-2"/>
    <s v="CohortAvg"/>
    <n v="0.25139843250969679"/>
    <s v="CohortAvg"/>
    <n v="2.1791689037598898E-3"/>
    <s v="CohortAvg_NonZero"/>
    <n v="7.2292012920365124E-7"/>
    <s v="CohortAvg"/>
    <n v="0"/>
    <s v="Zero"/>
    <n v="0"/>
    <s v="CohortAvg"/>
    <n v="0"/>
    <s v="CohortAvg"/>
    <n v="0"/>
    <n v="-103958.93"/>
    <n v="-41424.239999999998"/>
    <n v="39693.910000000003"/>
    <n v="0"/>
    <n v="1.37"/>
    <n v="0"/>
    <n v="0"/>
    <n v="1789018.61"/>
    <n v="2.1368999999999999E-2"/>
    <n v="1.0666"/>
    <n v="2.2792E-2"/>
    <s v="DonorCohort:202101+Seasonal(1.067)"/>
    <n v="40775.85"/>
    <n v="37023.51"/>
    <n v="3752.34"/>
    <x v="0"/>
    <n v="0"/>
    <n v="0.78500000000000003"/>
    <n v="0.24"/>
    <n v="0"/>
    <n v="0"/>
    <n v="0"/>
    <n v="37023.51"/>
    <n v="1894709.24"/>
    <n v="1.9539999999999998E-2"/>
    <n v="3752.34"/>
    <n v="3753.71"/>
    <n v="0"/>
    <n v="3753.71"/>
    <n v="1785264.9"/>
    <s v="Forecast"/>
  </r>
  <r>
    <x v="4"/>
    <x v="3"/>
    <s v="202505"/>
    <n v="9"/>
    <n v="2182812.96"/>
    <n v="-4.2326772784205609E-2"/>
    <s v="CohortAvg"/>
    <n v="-1.843735852936379E-2"/>
    <s v="CohortAvg"/>
    <n v="0.20864957818611909"/>
    <s v="CohortAvg"/>
    <n v="0"/>
    <s v="CohortAvg_NoData_ERROR"/>
    <n v="0"/>
    <s v="CohortAvg"/>
    <n v="0"/>
    <s v="Zero"/>
    <n v="0"/>
    <s v="CohortAvg"/>
    <n v="0"/>
    <s v="CohortAvg"/>
    <n v="0"/>
    <n v="-92391.43"/>
    <n v="-40245.31"/>
    <n v="37953.58"/>
    <n v="0"/>
    <n v="0"/>
    <n v="0"/>
    <n v="0"/>
    <n v="2088129.81"/>
    <n v="1.8606999999999999E-2"/>
    <n v="1.0666"/>
    <n v="1.9845999999999999E-2"/>
    <s v="DonorCohort:202101+Seasonal(1.067)"/>
    <n v="41441.68"/>
    <n v="37240.51"/>
    <n v="4201.17"/>
    <x v="0"/>
    <n v="0"/>
    <n v="0.78500000000000003"/>
    <n v="0.24"/>
    <n v="0"/>
    <n v="0"/>
    <n v="0"/>
    <n v="37240.51"/>
    <n v="2182812.96"/>
    <n v="1.7061E-2"/>
    <n v="4201.17"/>
    <n v="4201.17"/>
    <n v="0"/>
    <n v="4201.17"/>
    <n v="2083928.64"/>
    <s v="Forecast"/>
  </r>
  <r>
    <x v="4"/>
    <x v="3"/>
    <s v="202506"/>
    <n v="8"/>
    <n v="2500335.69"/>
    <n v="-4.3127477018262229E-2"/>
    <s v="CohortAvg"/>
    <n v="-1.8170005340049929E-2"/>
    <s v="CohortAvg"/>
    <n v="0.20567428878505639"/>
    <s v="CohortAvg"/>
    <n v="0"/>
    <s v="CohortAvg_NoData_ERROR"/>
    <n v="0"/>
    <s v="CohortAvg"/>
    <n v="0"/>
    <s v="Zero"/>
    <n v="0"/>
    <s v="CohortAvg"/>
    <n v="0"/>
    <s v="CohortAvg"/>
    <n v="0"/>
    <n v="-107833.17"/>
    <n v="-45431.11"/>
    <n v="42854.559999999998"/>
    <n v="0"/>
    <n v="0"/>
    <n v="0"/>
    <n v="0"/>
    <n v="2389925.9700000002"/>
    <n v="1.6244999999999999E-2"/>
    <n v="1.0666"/>
    <n v="1.7328E-2"/>
    <s v="DonorCohort:202101+Seasonal(1.067)"/>
    <n v="41412.199999999997"/>
    <n v="32610.55"/>
    <n v="8801.64"/>
    <x v="0"/>
    <n v="0"/>
    <n v="0.78500000000000003"/>
    <n v="0.24"/>
    <n v="0"/>
    <n v="0"/>
    <n v="0"/>
    <n v="32610.55"/>
    <n v="2500335.69"/>
    <n v="1.3042E-2"/>
    <n v="8801.64"/>
    <n v="8801.64"/>
    <n v="0"/>
    <n v="8801.64"/>
    <n v="2381124.3199999998"/>
    <s v="Forecast"/>
  </r>
  <r>
    <x v="4"/>
    <x v="3"/>
    <s v="202507"/>
    <n v="7"/>
    <n v="2978825.99"/>
    <n v="-2.7338630885371099E-2"/>
    <s v="CohortAvg"/>
    <n v="-1.6417109289683821E-2"/>
    <s v="CohortAvg"/>
    <n v="0.17763704526140489"/>
    <s v="CohortAvg"/>
    <n v="0"/>
    <s v="CohortAvg_NoData_ERROR"/>
    <n v="0"/>
    <s v="CohortAvg"/>
    <n v="0"/>
    <s v="Zero"/>
    <n v="0"/>
    <s v="CohortAvg"/>
    <n v="0"/>
    <s v="CohortAvg"/>
    <n v="0"/>
    <n v="-81437.02"/>
    <n v="-48903.71"/>
    <n v="44095.82"/>
    <n v="0"/>
    <n v="0"/>
    <n v="0"/>
    <n v="0"/>
    <n v="2892581.08"/>
    <n v="1.2418999999999999E-2"/>
    <n v="1.0666"/>
    <n v="1.3247E-2"/>
    <s v="DonorCohort:202101+Seasonal(1.067)"/>
    <n v="38316.879999999997"/>
    <n v="33224.57"/>
    <n v="5092.32"/>
    <x v="0"/>
    <n v="0"/>
    <n v="0.78500000000000003"/>
    <n v="0.24"/>
    <n v="0"/>
    <n v="0"/>
    <n v="0"/>
    <n v="33224.57"/>
    <n v="2978825.99"/>
    <n v="1.1154000000000001E-2"/>
    <n v="5092.32"/>
    <n v="5092.32"/>
    <n v="0"/>
    <n v="5092.32"/>
    <n v="2887488.76"/>
    <s v="Forecast"/>
  </r>
  <r>
    <x v="4"/>
    <x v="3"/>
    <s v="202508"/>
    <n v="6"/>
    <n v="3196293.8"/>
    <n v="-2.4939555976233329E-2"/>
    <s v="CohortAvg"/>
    <n v="-1.1437367828554189E-2"/>
    <s v="CohortAvg"/>
    <n v="0.15597176128502929"/>
    <s v="CohortAvg"/>
    <n v="0"/>
    <s v="CohortAvg_NoData_ERROR"/>
    <n v="0"/>
    <s v="CohortAvg"/>
    <n v="0"/>
    <s v="Zero"/>
    <n v="0"/>
    <s v="CohortAvg"/>
    <n v="0"/>
    <s v="CohortAvg"/>
    <n v="0"/>
    <n v="-79714.149999999994"/>
    <n v="-36557.19"/>
    <n v="41544.300000000003"/>
    <n v="0"/>
    <n v="0"/>
    <n v="0"/>
    <n v="0"/>
    <n v="3121566.76"/>
    <n v="1.0621E-2"/>
    <n v="1.0666"/>
    <n v="1.1328E-2"/>
    <s v="DonorCohort:202101+Seasonal(1.067)"/>
    <n v="35361.58"/>
    <n v="22997.599999999999"/>
    <n v="12363.97"/>
    <x v="0"/>
    <n v="0"/>
    <n v="0.78500000000000003"/>
    <n v="0.24"/>
    <n v="0"/>
    <n v="0"/>
    <n v="0"/>
    <n v="22997.599999999999"/>
    <n v="3196293.8"/>
    <n v="7.195E-3"/>
    <n v="12363.97"/>
    <n v="12363.97"/>
    <n v="0"/>
    <n v="12363.97"/>
    <n v="3109202.78"/>
    <s v="Forecast"/>
  </r>
  <r>
    <x v="4"/>
    <x v="3"/>
    <s v="202509"/>
    <n v="5"/>
    <n v="3314123.22"/>
    <n v="-0.12833310461527231"/>
    <s v="CohortAvg"/>
    <n v="-1.877512440233573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25311.72"/>
    <n v="-62223.08"/>
    <n v="138088.47"/>
    <n v="0"/>
    <n v="0"/>
    <n v="0"/>
    <n v="0"/>
    <n v="2964676.89"/>
    <n v="6.8510000000000003E-3"/>
    <n v="1.0666"/>
    <n v="7.3080000000000003E-3"/>
    <s v="DonorCohort:202101+Seasonal(1.067)"/>
    <n v="21664.97"/>
    <n v="14912.03"/>
    <n v="6752.94"/>
    <x v="0"/>
    <n v="0"/>
    <n v="0.78500000000000003"/>
    <n v="0.24"/>
    <n v="0"/>
    <n v="0"/>
    <n v="0"/>
    <n v="14912.03"/>
    <n v="3314123.22"/>
    <n v="4.4999999999999997E-3"/>
    <n v="6752.94"/>
    <n v="6752.94"/>
    <n v="0"/>
    <n v="6752.94"/>
    <n v="2957923.95"/>
    <s v="Forecast"/>
  </r>
  <r>
    <x v="4"/>
    <x v="4"/>
    <s v="202101"/>
    <n v="59"/>
    <n v="1971586.48"/>
    <n v="-0.1312796851255692"/>
    <s v="CohortAvg"/>
    <n v="-1.0400096625932271E-2"/>
    <s v="CohortAvg"/>
    <n v="0.11687967639148469"/>
    <s v="CohortAvg"/>
    <n v="4.889231641073568E-2"/>
    <s v="CohortAvg_NonZero"/>
    <n v="0"/>
    <s v="CohortAvg"/>
    <n v="0"/>
    <s v="Zero"/>
    <n v="0"/>
    <s v="CohortAvg"/>
    <n v="0"/>
    <s v="CohortAvg"/>
    <n v="0"/>
    <n v="-258829.25"/>
    <n v="-20504.689999999999"/>
    <n v="19203.2"/>
    <n v="0"/>
    <n v="0"/>
    <n v="0"/>
    <n v="0"/>
    <n v="1711455.74"/>
    <n v="0.171097"/>
    <n v="1.1869000000000001"/>
    <n v="0.20308000000000001"/>
    <s v="CohortAvg+Seasonal(1.187)"/>
    <n v="347562.26"/>
    <n v="356577.5"/>
    <n v="-9015.24"/>
    <x v="0"/>
    <n v="0"/>
    <n v="0.78500000000000003"/>
    <n v="0.24"/>
    <n v="0"/>
    <n v="0"/>
    <n v="0"/>
    <n v="356577.5"/>
    <n v="1971586.48"/>
    <n v="0.18085799999999999"/>
    <n v="-9015.24"/>
    <n v="-9015.24"/>
    <n v="0"/>
    <n v="-9015.24"/>
    <n v="1720470.97"/>
    <s v="Forecast"/>
  </r>
  <r>
    <x v="4"/>
    <x v="4"/>
    <s v="202201"/>
    <n v="41"/>
    <n v="78296.92"/>
    <n v="-9.1911256123745774E-2"/>
    <s v="CohortAvg"/>
    <n v="-9.5175200542878084E-3"/>
    <s v="CohortAvg"/>
    <n v="0.1012527077973415"/>
    <s v="CohortAvg"/>
    <n v="3.465667522506477E-2"/>
    <s v="CohortAvg_NonZero"/>
    <n v="1.8680910390727869E-8"/>
    <s v="CohortAvg"/>
    <n v="0"/>
    <s v="Zero"/>
    <n v="0"/>
    <s v="CohortAvg"/>
    <n v="0"/>
    <s v="CohortAvg"/>
    <n v="0"/>
    <n v="-7196.37"/>
    <n v="-745.19"/>
    <n v="660.65"/>
    <n v="0"/>
    <n v="0"/>
    <n v="0"/>
    <n v="0"/>
    <n v="71016.009999999995"/>
    <n v="3.6181999999999999E-2"/>
    <n v="1.1869000000000001"/>
    <n v="4.2945999999999998E-2"/>
    <s v="CohortAvg+Seasonal(1.187)"/>
    <n v="3049.84"/>
    <n v="3162.3"/>
    <n v="-112.47"/>
    <x v="0"/>
    <n v="0"/>
    <n v="0.78500000000000003"/>
    <n v="0.24"/>
    <n v="0"/>
    <n v="0"/>
    <n v="0"/>
    <n v="3162.3"/>
    <n v="78296.92"/>
    <n v="4.0389000000000001E-2"/>
    <n v="-112.47"/>
    <n v="-112.46"/>
    <n v="0"/>
    <n v="-112.46"/>
    <n v="71128.47"/>
    <s v="Forecast"/>
  </r>
  <r>
    <x v="4"/>
    <x v="4"/>
    <s v="202405"/>
    <n v="21"/>
    <n v="4513.9399999999996"/>
    <n v="-1.655925819863998E-2"/>
    <s v="CohortAvg"/>
    <n v="-1.0437255637124479E-2"/>
    <s v="CohortAvg"/>
    <n v="0.1215927659463099"/>
    <s v="CohortAvg"/>
    <n v="0"/>
    <s v="CohortAvg_NoData_ERROR"/>
    <n v="0"/>
    <s v="CohortAvg"/>
    <n v="0"/>
    <s v="Zero"/>
    <n v="0"/>
    <s v="CohortAvg"/>
    <n v="0"/>
    <s v="CohortAvg"/>
    <n v="0"/>
    <n v="-74.75"/>
    <n v="-47.11"/>
    <n v="45.74"/>
    <n v="0"/>
    <n v="0"/>
    <n v="0"/>
    <n v="0"/>
    <n v="4437.82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4513.9399999999996"/>
    <n v="0"/>
    <n v="0"/>
    <n v="0"/>
    <n v="0"/>
    <n v="0"/>
    <n v="4437.82"/>
    <s v="Forecast"/>
  </r>
  <r>
    <x v="4"/>
    <x v="4"/>
    <s v="202407"/>
    <n v="19"/>
    <n v="2503.12"/>
    <n v="-5.2169121326897397E-2"/>
    <s v="CohortAvg"/>
    <n v="-1.0473754485021551E-2"/>
    <s v="CohortAvg"/>
    <n v="0.1205356525824859"/>
    <s v="CohortAvg"/>
    <n v="0"/>
    <s v="CohortAvg_NoData_ERROR"/>
    <n v="0"/>
    <s v="CohortAvg"/>
    <n v="0"/>
    <s v="Zero"/>
    <n v="0"/>
    <s v="CohortAvg"/>
    <n v="0"/>
    <s v="CohortAvg"/>
    <n v="0"/>
    <n v="-130.59"/>
    <n v="-26.22"/>
    <n v="25.14"/>
    <n v="0"/>
    <n v="0"/>
    <n v="0"/>
    <n v="0"/>
    <n v="2371.46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2503.12"/>
    <n v="0"/>
    <n v="0"/>
    <n v="0"/>
    <n v="0"/>
    <n v="0"/>
    <n v="2371.46"/>
    <s v="Forecast"/>
  </r>
  <r>
    <x v="4"/>
    <x v="4"/>
    <s v="202409"/>
    <n v="17"/>
    <n v="8581.51"/>
    <n v="-4.2471929667528052E-2"/>
    <s v="CohortAvg"/>
    <n v="-1.0443538117570249E-2"/>
    <s v="CohortAvg"/>
    <n v="0.12086343093567289"/>
    <s v="CohortAvg"/>
    <n v="0"/>
    <s v="CohortAvg_NoData_ERROR"/>
    <n v="0"/>
    <s v="CohortAvg"/>
    <n v="0"/>
    <s v="Zero"/>
    <n v="0"/>
    <s v="CohortAvg"/>
    <n v="0"/>
    <s v="CohortAvg"/>
    <n v="0"/>
    <n v="-364.47"/>
    <n v="-89.62"/>
    <n v="86.43"/>
    <n v="0"/>
    <n v="0"/>
    <n v="0"/>
    <n v="0"/>
    <n v="8213.85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8581.51"/>
    <n v="0"/>
    <n v="0"/>
    <n v="0"/>
    <n v="0"/>
    <n v="0"/>
    <n v="8213.85"/>
    <s v="Forecast"/>
  </r>
  <r>
    <x v="4"/>
    <x v="4"/>
    <s v="202504"/>
    <n v="10"/>
    <n v="4422.92"/>
    <n v="-1.2938464264479791E-2"/>
    <s v="CohortAvg"/>
    <n v="-1.042981267220607E-2"/>
    <s v="CohortAvg"/>
    <n v="0.1244320694306767"/>
    <s v="CohortAvg"/>
    <n v="0"/>
    <s v="CohortAvg_NoData_ERROR"/>
    <n v="0"/>
    <s v="CohortAvg"/>
    <n v="0"/>
    <s v="Zero"/>
    <n v="0"/>
    <s v="CohortAvg"/>
    <n v="0"/>
    <s v="CohortAvg"/>
    <n v="0"/>
    <n v="-57.23"/>
    <n v="-46.13"/>
    <n v="45.86"/>
    <n v="0"/>
    <n v="0"/>
    <n v="0"/>
    <n v="0"/>
    <n v="4365.43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4422.92"/>
    <n v="0"/>
    <n v="0"/>
    <n v="0"/>
    <n v="0"/>
    <n v="0"/>
    <n v="4365.43"/>
    <s v="Forecast"/>
  </r>
  <r>
    <x v="4"/>
    <x v="4"/>
    <s v="202507"/>
    <n v="7"/>
    <n v="9713.2000000000007"/>
    <n v="-8.034910356416184E-3"/>
    <s v="CohortAvg"/>
    <n v="-7.9424360810782333E-3"/>
    <s v="CohortAvg"/>
    <n v="9.4508709395386373E-2"/>
    <s v="CohortAvg"/>
    <n v="0"/>
    <s v="CohortAvg_NoData_ERROR"/>
    <n v="0"/>
    <s v="CohortAvg"/>
    <n v="0"/>
    <s v="Zero"/>
    <n v="0"/>
    <s v="CohortAvg"/>
    <n v="0"/>
    <s v="CohortAvg"/>
    <n v="0"/>
    <n v="-78.040000000000006"/>
    <n v="-77.150000000000006"/>
    <n v="76.5"/>
    <n v="0"/>
    <n v="0"/>
    <n v="0"/>
    <n v="0"/>
    <n v="9634.51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9713.2000000000007"/>
    <n v="0"/>
    <n v="0"/>
    <n v="0"/>
    <n v="0"/>
    <n v="0"/>
    <n v="9634.51"/>
    <s v="Forecast"/>
  </r>
  <r>
    <x v="4"/>
    <x v="4"/>
    <s v="202508"/>
    <n v="6"/>
    <n v="30050.39"/>
    <n v="-4.7637331401311368E-3"/>
    <s v="CohortAvg"/>
    <n v="-2.4518266888476632E-3"/>
    <s v="CohortAvg"/>
    <n v="8.5475468465291068E-2"/>
    <s v="CohortAvg"/>
    <n v="0"/>
    <s v="CohortAvg_NoData_ERROR"/>
    <n v="0"/>
    <s v="CohortAvg"/>
    <n v="0"/>
    <s v="Zero"/>
    <n v="0"/>
    <s v="CohortAvg"/>
    <n v="0"/>
    <s v="CohortAvg"/>
    <n v="0"/>
    <n v="-143.15"/>
    <n v="-73.680000000000007"/>
    <n v="214.05"/>
    <n v="0"/>
    <n v="0"/>
    <n v="0"/>
    <n v="0"/>
    <n v="30047.61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30050.39"/>
    <n v="0"/>
    <n v="0"/>
    <n v="0"/>
    <n v="0"/>
    <n v="0"/>
    <n v="30047.61"/>
    <s v="Forecast"/>
  </r>
  <r>
    <x v="4"/>
    <x v="4"/>
    <s v="202509"/>
    <n v="5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5"/>
    <x v="0"/>
    <s v="201912"/>
    <n v="75"/>
    <n v="355784.01"/>
    <n v="2.3195175350274638E-3"/>
    <s v="CohortAvg"/>
    <n v="1.6475752177813881E-3"/>
    <s v="CohortAvg"/>
    <n v="0"/>
    <s v="CohortAvg"/>
    <n v="2.5108681949692031E-2"/>
    <s v="CohortAvg_NonZero"/>
    <n v="3.6182532768447219E-4"/>
    <s v="CohortAvg"/>
    <n v="0"/>
    <s v="Zero"/>
    <n v="0"/>
    <s v="CohortAvg"/>
    <n v="0"/>
    <s v="CohortAvg"/>
    <n v="0"/>
    <n v="825.25"/>
    <n v="586.17999999999995"/>
    <n v="0"/>
    <n v="8933.27"/>
    <n v="128.72999999999999"/>
    <n v="0"/>
    <n v="0"/>
    <n v="345310.58"/>
    <n v="0.99635899999999999"/>
    <n v="0.95499999999999996"/>
    <n v="0.95147400000000004"/>
    <s v="CohortAvg+Seasonal(0.955)"/>
    <n v="328554.05"/>
    <n v="368531.07"/>
    <n v="-39977.01"/>
    <x v="1"/>
    <n v="8933.27"/>
    <n v="0.78500000000000003"/>
    <n v="0.24"/>
    <n v="7012.62"/>
    <n v="7012.62"/>
    <n v="2143.98"/>
    <n v="361518.45"/>
    <n v="346850.74"/>
    <n v="1.0422880000000001"/>
    <n v="-32964.400000000001"/>
    <n v="-32835.67"/>
    <n v="18089.87"/>
    <n v="-14745.8"/>
    <n v="360056.38"/>
    <s v="Forecast"/>
  </r>
  <r>
    <x v="5"/>
    <x v="0"/>
    <s v="202001"/>
    <n v="74"/>
    <n v="81692.41"/>
    <n v="3.69965165605095E-2"/>
    <s v="CohortAvg"/>
    <n v="1.605730468671591E-3"/>
    <s v="CohortAvg"/>
    <n v="0"/>
    <s v="CohortAvg"/>
    <n v="1.367276533925202E-2"/>
    <s v="CohortAvg_NonZero"/>
    <n v="0"/>
    <s v="CohortAvg"/>
    <n v="0"/>
    <s v="Zero"/>
    <n v="0"/>
    <s v="CohortAvg"/>
    <n v="0"/>
    <s v="CohortAvg"/>
    <n v="0"/>
    <n v="3022.33"/>
    <n v="131.18"/>
    <n v="0"/>
    <n v="1116.96"/>
    <n v="0"/>
    <n v="0"/>
    <n v="0"/>
    <n v="77421.94"/>
    <n v="0.99812900000000004"/>
    <n v="0.95499999999999996"/>
    <n v="0.95316400000000001"/>
    <s v="CohortAvg+Seasonal(0.955)"/>
    <n v="73795.820000000007"/>
    <n v="84810.32"/>
    <n v="-11014.5"/>
    <x v="1"/>
    <n v="1116.96"/>
    <n v="0.78500000000000003"/>
    <n v="0.24"/>
    <n v="876.81"/>
    <n v="876.81"/>
    <n v="268.07"/>
    <n v="83933.51"/>
    <n v="80575.45"/>
    <n v="1.041676"/>
    <n v="-10137.69"/>
    <n v="-10137.69"/>
    <n v="2261.85"/>
    <n v="-7875.84"/>
    <n v="85297.78"/>
    <s v="Forecast"/>
  </r>
  <r>
    <x v="5"/>
    <x v="0"/>
    <s v="202101"/>
    <n v="62"/>
    <n v="788113.92000000004"/>
    <n v="-1.734885486890773E-3"/>
    <s v="CohortAvg"/>
    <n v="-1.668986704213019E-3"/>
    <s v="CohortAvg"/>
    <n v="0"/>
    <s v="CohortAvg"/>
    <n v="1.6346912995190661E-2"/>
    <s v="CohortAvg_NonZero"/>
    <n v="2.5526319251226171E-4"/>
    <s v="CohortAvg"/>
    <n v="0"/>
    <s v="Zero"/>
    <n v="0"/>
    <s v="CohortAvg"/>
    <n v="0"/>
    <s v="CohortAvg"/>
    <n v="0"/>
    <n v="-1367.29"/>
    <n v="-1315.35"/>
    <n v="0"/>
    <n v="12883.23"/>
    <n v="201.18"/>
    <n v="0"/>
    <n v="0"/>
    <n v="772346.88"/>
    <n v="0.94604699999999997"/>
    <n v="0.95499999999999996"/>
    <n v="0.90342900000000004"/>
    <s v="CohortAvg+Seasonal(0.955)"/>
    <n v="697760.78"/>
    <n v="778005.72"/>
    <n v="-80244.94"/>
    <x v="1"/>
    <n v="12883.23"/>
    <n v="0.78500000000000003"/>
    <n v="0.24"/>
    <n v="10113.34"/>
    <n v="10113.34"/>
    <n v="3091.98"/>
    <n v="767892.39"/>
    <n v="775230.69"/>
    <n v="0.99053400000000003"/>
    <n v="-70131.61"/>
    <n v="-69930.429999999993"/>
    <n v="26088.54"/>
    <n v="-43841.89"/>
    <n v="816188.77"/>
    <s v="Forecast"/>
  </r>
  <r>
    <x v="5"/>
    <x v="0"/>
    <s v="202201"/>
    <n v="42"/>
    <n v="660914.04"/>
    <n v="-0.11465517418818651"/>
    <s v="CohortAvg"/>
    <n v="-7.4608318078109451E-3"/>
    <s v="CohortAvg"/>
    <n v="4.0430818085574687E-2"/>
    <s v="CohortAvg"/>
    <n v="3.926969200811193E-2"/>
    <s v="CohortAvg_NonZero"/>
    <n v="3.8911025256712752E-3"/>
    <s v="CohortAvg"/>
    <n v="0"/>
    <s v="Zero"/>
    <n v="-4.278982388219033E-4"/>
    <s v="CohortAvg"/>
    <n v="-9.5286217439213579E-6"/>
    <s v="CohortAvg"/>
    <n v="0"/>
    <n v="-75777.210000000006"/>
    <n v="-4930.97"/>
    <n v="2226.77"/>
    <n v="25953.89"/>
    <n v="2571.6799999999998"/>
    <n v="-282.8"/>
    <n v="-6.3"/>
    <n v="553907.06000000006"/>
    <n v="0.586947"/>
    <n v="0.95499999999999996"/>
    <n v="0.56050599999999995"/>
    <s v="CohortAvg+Seasonal(0.955)"/>
    <n v="310468.2"/>
    <n v="400977.6"/>
    <n v="-90509.4"/>
    <x v="1"/>
    <n v="25953.89"/>
    <n v="0.78500000000000003"/>
    <n v="0.24"/>
    <n v="20373.8"/>
    <n v="20373.8"/>
    <n v="6228.93"/>
    <n v="380603.8"/>
    <n v="634960.15"/>
    <n v="0.599414"/>
    <n v="-70135.600000000006"/>
    <n v="-67563.91"/>
    <n v="52556.63"/>
    <n v="-15007.29"/>
    <n v="568914.34"/>
    <s v="Forecast"/>
  </r>
  <r>
    <x v="5"/>
    <x v="0"/>
    <s v="202301"/>
    <n v="33"/>
    <n v="4636865.1500000004"/>
    <n v="-7.050335187876422E-2"/>
    <s v="CohortAvg"/>
    <n v="-1.72082197152101E-2"/>
    <s v="CohortAvg"/>
    <n v="0.20603121327311491"/>
    <s v="CohortAvg"/>
    <n v="6.0142274666510162E-2"/>
    <s v="CohortAvg_NonZero"/>
    <n v="1.4891469106182261E-4"/>
    <s v="CohortAvg"/>
    <n v="0"/>
    <s v="Zero"/>
    <n v="-5.2619891966072096E-3"/>
    <s v="CohortAvg"/>
    <n v="-8.0849608751945497E-5"/>
    <s v="CohortAvg"/>
    <n v="0"/>
    <n v="-326914.53999999998"/>
    <n v="-79792.19"/>
    <n v="79611.58"/>
    <n v="278871.62"/>
    <n v="690.5"/>
    <n v="-24399.13"/>
    <n v="-374.89"/>
    <n v="4030207.89"/>
    <n v="0.531833"/>
    <n v="0.95499999999999996"/>
    <n v="0.50787499999999997"/>
    <s v="CohortTrend+Seasonal(0.955)"/>
    <n v="2046840.46"/>
    <n v="2480640.5299999998"/>
    <n v="-433800.08"/>
    <x v="1"/>
    <n v="278871.62"/>
    <n v="0.78500000000000003"/>
    <n v="0.24"/>
    <n v="218914.22"/>
    <n v="218914.22"/>
    <n v="66929.19"/>
    <n v="2261726.31"/>
    <n v="4357993.54"/>
    <n v="0.51898299999999997"/>
    <n v="-214885.86"/>
    <n v="-214195.36"/>
    <n v="564715.03"/>
    <n v="350519.67"/>
    <n v="3679688.22"/>
    <s v="Forecast"/>
  </r>
  <r>
    <x v="5"/>
    <x v="0"/>
    <s v="202404"/>
    <n v="23"/>
    <n v="892194.75"/>
    <n v="-7.1199307528294592E-2"/>
    <s v="CohortAvg"/>
    <n v="-2.4186529037587199E-2"/>
    <s v="CohortAvg"/>
    <n v="0.25711722450171143"/>
    <s v="CohortAvg"/>
    <n v="0.1038021883227019"/>
    <s v="CohortAvg_NonZero"/>
    <n v="1.046641247639277E-4"/>
    <s v="CohortAvg"/>
    <n v="0"/>
    <s v="Zero"/>
    <n v="-8.3386102166092928E-3"/>
    <s v="CohortAvg"/>
    <n v="-8.4177871491764039E-6"/>
    <s v="CohortAvg"/>
    <n v="0"/>
    <n v="-63523.65"/>
    <n v="-21579.09"/>
    <n v="19116.55"/>
    <n v="92611.77"/>
    <n v="93.38"/>
    <n v="-7439.66"/>
    <n v="-7.51"/>
    <n v="733503.41"/>
    <n v="0.341117"/>
    <n v="0.95499999999999996"/>
    <n v="0.32574999999999998"/>
    <s v="CohortTrend+Seasonal(0.955)"/>
    <n v="238938.69"/>
    <n v="307270.23"/>
    <n v="-68331.539999999994"/>
    <x v="1"/>
    <n v="92611.77"/>
    <n v="0.78500000000000003"/>
    <n v="0.24"/>
    <n v="72700.240000000005"/>
    <n v="72700.240000000005"/>
    <n v="22226.82"/>
    <n v="234569.99"/>
    <n v="799582.98"/>
    <n v="0.29336499999999999"/>
    <n v="4368.7"/>
    <n v="4462.08"/>
    <n v="187538.83"/>
    <n v="192000.91"/>
    <n v="541502.5"/>
    <s v="Forecast"/>
  </r>
  <r>
    <x v="5"/>
    <x v="0"/>
    <s v="202405"/>
    <n v="22"/>
    <n v="1142185.51"/>
    <n v="-6.0218155110245121E-2"/>
    <s v="CohortAvg"/>
    <n v="-2.4354521580020931E-2"/>
    <s v="CohortAvg"/>
    <n v="0.26518909159859549"/>
    <s v="CohortAvg"/>
    <n v="0.1017719693545413"/>
    <s v="CohortAvg_NonZero"/>
    <n v="1.5510046210529739E-4"/>
    <s v="CohortAvg"/>
    <n v="0"/>
    <s v="Zero"/>
    <n v="-1.2441549814266629E-2"/>
    <s v="CohortAvg"/>
    <n v="-2.2443524725055929E-4"/>
    <s v="CohortAvg"/>
    <n v="0"/>
    <n v="-68780.3"/>
    <n v="-27817.38"/>
    <n v="25241.26"/>
    <n v="116242.47"/>
    <n v="177.15"/>
    <n v="-14210.56"/>
    <n v="-256.35000000000002"/>
    <n v="954409.46"/>
    <n v="0.30946899999999999"/>
    <n v="0.95499999999999996"/>
    <n v="0.29552800000000001"/>
    <s v="CohortTrend+Seasonal(0.955)"/>
    <n v="282054.56"/>
    <n v="358782.1"/>
    <n v="-76727.539999999994"/>
    <x v="1"/>
    <n v="116242.47"/>
    <n v="0.78500000000000003"/>
    <n v="0.24"/>
    <n v="91250.34"/>
    <n v="91250.34"/>
    <n v="27898.19"/>
    <n v="267531.76"/>
    <n v="1025943.04"/>
    <n v="0.26076700000000003"/>
    <n v="14522.8"/>
    <n v="14699.95"/>
    <n v="235391"/>
    <n v="250090.95"/>
    <n v="704318.51"/>
    <s v="Forecast"/>
  </r>
  <r>
    <x v="5"/>
    <x v="0"/>
    <s v="202406"/>
    <n v="21"/>
    <n v="1608644.18"/>
    <n v="-5.6118873269619562E-2"/>
    <s v="CohortAvg"/>
    <n v="-2.5585182582192102E-2"/>
    <s v="CohortAvg"/>
    <n v="0.28370618288965782"/>
    <s v="CohortAvg"/>
    <n v="6.5241589880947568E-2"/>
    <s v="CohortAvg_NonZero"/>
    <n v="2.79109177701467E-5"/>
    <s v="CohortAvg"/>
    <n v="0"/>
    <s v="Zero"/>
    <n v="-1.1159453339201359E-2"/>
    <s v="CohortAvg"/>
    <n v="-2.311441958405714E-4"/>
    <s v="CohortAvg"/>
    <n v="0"/>
    <n v="-90275.3"/>
    <n v="-41157.46"/>
    <n v="38031.86"/>
    <n v="104950.5"/>
    <n v="44.9"/>
    <n v="-17951.59"/>
    <n v="-371.83"/>
    <n v="1410247.89"/>
    <n v="0.26986500000000002"/>
    <n v="0.95499999999999996"/>
    <n v="0.25770799999999999"/>
    <s v="CohortTrend+Seasonal(0.955)"/>
    <n v="363431.86"/>
    <n v="439205.25"/>
    <n v="-75773.39"/>
    <x v="1"/>
    <n v="104950.5"/>
    <n v="0.78500000000000003"/>
    <n v="0.24"/>
    <n v="82386.149999999994"/>
    <n v="82386.149999999994"/>
    <n v="25188.12"/>
    <n v="356819.11"/>
    <n v="1503693.68"/>
    <n v="0.23729500000000001"/>
    <n v="6612.75"/>
    <n v="6657.65"/>
    <n v="212524.77"/>
    <n v="219182.42"/>
    <n v="1191065.46"/>
    <s v="Forecast"/>
  </r>
  <r>
    <x v="5"/>
    <x v="0"/>
    <s v="202407"/>
    <n v="20"/>
    <n v="1706554.51"/>
    <n v="-5.433315333513792E-2"/>
    <s v="CohortAvg"/>
    <n v="-2.6781669370493321E-2"/>
    <s v="CohortAvg"/>
    <n v="0.29230010105563398"/>
    <s v="CohortAvg"/>
    <n v="7.2599224757414774E-2"/>
    <s v="CohortAvg_NonZero"/>
    <n v="3.8241591294908377E-5"/>
    <s v="CohortAvg"/>
    <n v="0"/>
    <s v="Zero"/>
    <n v="-1.36562329269167E-2"/>
    <s v="CohortAvg"/>
    <n v="-1.177088725441739E-4"/>
    <s v="CohortAvg"/>
    <n v="0"/>
    <n v="-92722.49"/>
    <n v="-45704.38"/>
    <n v="41568.839999999997"/>
    <n v="123894.53"/>
    <n v="65.260000000000005"/>
    <n v="-23305.11"/>
    <n v="-200.88"/>
    <n v="1485736.68"/>
    <n v="0.23885899999999999"/>
    <n v="0.95499999999999996"/>
    <n v="0.228099"/>
    <s v="CohortTrend+Seasonal(0.955)"/>
    <n v="338894.68"/>
    <n v="338546.6"/>
    <n v="348.09"/>
    <x v="1"/>
    <n v="123894.53"/>
    <n v="0.78500000000000003"/>
    <n v="0.24"/>
    <n v="97257.21"/>
    <n v="97257.21"/>
    <n v="29734.69"/>
    <n v="241289.39"/>
    <n v="1582659.97"/>
    <n v="0.15245800000000001"/>
    <n v="97605.3"/>
    <n v="97670.56"/>
    <n v="250886.43"/>
    <n v="348556.99"/>
    <n v="1137179.7"/>
    <s v="Forecast"/>
  </r>
  <r>
    <x v="5"/>
    <x v="0"/>
    <s v="202408"/>
    <n v="19"/>
    <n v="1697324.14"/>
    <n v="-6.4950425813083232E-2"/>
    <s v="CohortAvg"/>
    <n v="-2.6307365163321619E-2"/>
    <s v="CohortAvg"/>
    <n v="0.28410682654269509"/>
    <s v="CohortAvg"/>
    <n v="9.0731693136481217E-2"/>
    <s v="CohortAvg_NonZero"/>
    <n v="1.302505658687968E-4"/>
    <s v="CohortAvg"/>
    <n v="0"/>
    <s v="Zero"/>
    <n v="-1.5943890305331169E-2"/>
    <s v="CohortAvg"/>
    <n v="-3.3778554692417241E-4"/>
    <s v="CohortAvg"/>
    <n v="0"/>
    <n v="-110241.93"/>
    <n v="-44652.13"/>
    <n v="40185.11"/>
    <n v="154001.09"/>
    <n v="221.08"/>
    <n v="-27061.95"/>
    <n v="-573.33000000000004"/>
    <n v="1428393.03"/>
    <n v="0.190751"/>
    <n v="0.95499999999999996"/>
    <n v="0.18215799999999999"/>
    <s v="DonorCohort:202101+Seasonal(0.955)"/>
    <n v="260193.04"/>
    <n v="312026.90999999997"/>
    <n v="-51833.87"/>
    <x v="1"/>
    <n v="154001.09"/>
    <n v="0.78500000000000003"/>
    <n v="0.24"/>
    <n v="120890.86"/>
    <n v="120890.86"/>
    <n v="36960.26"/>
    <n v="191136.05"/>
    <n v="1543323.04"/>
    <n v="0.123847"/>
    <n v="69056.98"/>
    <n v="69278.06"/>
    <n v="311852.21000000002"/>
    <n v="381130.27"/>
    <n v="1047262.75"/>
    <s v="Forecast"/>
  </r>
  <r>
    <x v="5"/>
    <x v="0"/>
    <s v="202409"/>
    <n v="18"/>
    <n v="1621497.24"/>
    <n v="-6.9452331085577523E-2"/>
    <s v="CohortAvg"/>
    <n v="-2.9027845372953321E-2"/>
    <s v="CohortAvg"/>
    <n v="0.30031702786820508"/>
    <s v="CohortAvg"/>
    <n v="9.5904503551220821E-2"/>
    <s v="CohortAvg_NonZero"/>
    <n v="3.3403779201728457E-4"/>
    <s v="CohortAvg"/>
    <n v="0"/>
    <s v="Zero"/>
    <n v="-1.9676868926037611E-2"/>
    <s v="CohortAvg"/>
    <n v="7.1443680459570608E-4"/>
    <s v="CohortAvg"/>
    <n v="0"/>
    <n v="-112616.76"/>
    <n v="-47068.57"/>
    <n v="40580.269999999997"/>
    <n v="155508.89000000001"/>
    <n v="541.64"/>
    <n v="-31905.99"/>
    <n v="1158.46"/>
    <n v="1346341.65"/>
    <n v="0.17676500000000001"/>
    <n v="0.95499999999999996"/>
    <n v="0.16880200000000001"/>
    <s v="DonorCohort:202101+Seasonal(0.955)"/>
    <n v="227264.82"/>
    <n v="302304.03999999998"/>
    <n v="-75039.23"/>
    <x v="1"/>
    <n v="155508.89000000001"/>
    <n v="0.78500000000000003"/>
    <n v="0.24"/>
    <n v="122074.48"/>
    <n v="122074.48"/>
    <n v="37322.129999999997"/>
    <n v="180229.57"/>
    <n v="1465988.35"/>
    <n v="0.12294099999999999"/>
    <n v="47035.25"/>
    <n v="47576.89"/>
    <n v="314905.5"/>
    <n v="362482.39"/>
    <n v="983859.26"/>
    <s v="Forecast"/>
  </r>
  <r>
    <x v="5"/>
    <x v="0"/>
    <s v="202410"/>
    <n v="17"/>
    <n v="2213681.62"/>
    <n v="-6.414416022401398E-2"/>
    <s v="CohortAvg"/>
    <n v="-2.9626924231124601E-2"/>
    <s v="CohortAvg"/>
    <n v="0.30237762786400291"/>
    <s v="CohortAvg"/>
    <n v="8.4989626418709163E-2"/>
    <s v="CohortAvg_NonZero"/>
    <n v="8.512906295593901E-5"/>
    <s v="CohortAvg"/>
    <n v="0"/>
    <s v="Zero"/>
    <n v="-2.2441967415427561E-2"/>
    <s v="CohortAvg"/>
    <n v="-3.5235912019375833E-4"/>
    <s v="CohortAvg"/>
    <n v="0"/>
    <n v="-141994.75"/>
    <n v="-65584.58"/>
    <n v="55780.65"/>
    <n v="188139.97"/>
    <n v="188.45"/>
    <n v="-49679.37"/>
    <n v="-780.01"/>
    <n v="1873554.52"/>
    <n v="0.17926500000000001"/>
    <n v="0.95499999999999996"/>
    <n v="0.17119000000000001"/>
    <s v="DonorCohort:202101+Seasonal(0.955)"/>
    <n v="320733.07"/>
    <n v="439695.72"/>
    <n v="-118962.65"/>
    <x v="1"/>
    <n v="188139.97"/>
    <n v="0.78500000000000003"/>
    <n v="0.24"/>
    <n v="147689.88"/>
    <n v="147689.88"/>
    <n v="45153.59"/>
    <n v="292005.84000000003"/>
    <n v="2025541.65"/>
    <n v="0.14416200000000001"/>
    <n v="28727.23"/>
    <n v="28915.68"/>
    <n v="380983.45"/>
    <n v="409899.13"/>
    <n v="1463655.39"/>
    <s v="Forecast"/>
  </r>
  <r>
    <x v="5"/>
    <x v="0"/>
    <s v="202411"/>
    <n v="16"/>
    <n v="2355559.7000000002"/>
    <n v="-6.8226965791135144E-2"/>
    <s v="CohortAvg"/>
    <n v="-3.0555124676077652E-2"/>
    <s v="CohortAvg"/>
    <n v="0.32274864154970151"/>
    <s v="CohortAvg"/>
    <n v="7.8166960622575596E-2"/>
    <s v="CohortAvg_NonZero"/>
    <n v="3.2366031061458257E-5"/>
    <s v="CohortAvg"/>
    <n v="0"/>
    <s v="Zero"/>
    <n v="-2.3230210408079641E-2"/>
    <s v="CohortAvg"/>
    <n v="-4.6788653508399728E-4"/>
    <s v="CohortAvg"/>
    <n v="0"/>
    <n v="-160712.69"/>
    <n v="-71974.42"/>
    <n v="63354.47"/>
    <n v="184126.94"/>
    <n v="76.239999999999995"/>
    <n v="-54720.15"/>
    <n v="-1102.1300000000001"/>
    <n v="2002023.88"/>
    <n v="0.19098799999999999"/>
    <n v="0.95499999999999996"/>
    <n v="0.18238399999999999"/>
    <s v="DonorCohort:202101+Seasonal(0.955)"/>
    <n v="365137.12"/>
    <n v="461460.81"/>
    <n v="-96323.68"/>
    <x v="1"/>
    <n v="184126.94"/>
    <n v="0.78500000000000003"/>
    <n v="0.24"/>
    <n v="144539.65"/>
    <n v="144539.65"/>
    <n v="44190.47"/>
    <n v="316921.15999999997"/>
    <n v="2171432.75"/>
    <n v="0.14595"/>
    <n v="48215.97"/>
    <n v="48292.21"/>
    <n v="372857.06"/>
    <n v="421149.26"/>
    <n v="1580874.61"/>
    <s v="Forecast"/>
  </r>
  <r>
    <x v="5"/>
    <x v="0"/>
    <s v="202412"/>
    <n v="15"/>
    <n v="2603134.89"/>
    <n v="-6.5193842883261341E-2"/>
    <s v="CohortAvg"/>
    <n v="-3.1866620613958417E-2"/>
    <s v="CohortAvg"/>
    <n v="0.33372220295037758"/>
    <s v="CohortAvg"/>
    <n v="7.2414830466964245E-2"/>
    <s v="CohortAvg_NonZero"/>
    <n v="3.9023599354320408E-5"/>
    <s v="CohortAvg"/>
    <n v="0"/>
    <s v="Zero"/>
    <n v="-3.5529701436777063E-2"/>
    <s v="CohortAvg"/>
    <n v="-5.2439276674381724E-4"/>
    <s v="CohortAvg"/>
    <n v="0"/>
    <n v="-169708.37"/>
    <n v="-82953.11"/>
    <n v="72393.66"/>
    <n v="188505.57"/>
    <n v="101.58"/>
    <n v="-92488.61"/>
    <n v="-1365.07"/>
    <n v="2234259.92"/>
    <n v="0.18836900000000001"/>
    <n v="0.95499999999999996"/>
    <n v="0.17988299999999999"/>
    <s v="DonorCohort:202101+Seasonal(0.955)"/>
    <n v="401905.6"/>
    <n v="443977.84"/>
    <n v="-42072.23"/>
    <x v="1"/>
    <n v="188505.57"/>
    <n v="0.78500000000000003"/>
    <n v="0.24"/>
    <n v="147976.87"/>
    <n v="147976.87"/>
    <n v="45241.34"/>
    <n v="296000.96000000002"/>
    <n v="2414629.3199999998"/>
    <n v="0.122587"/>
    <n v="105904.64"/>
    <n v="106006.22"/>
    <n v="381723.78"/>
    <n v="487730.01"/>
    <n v="1746529.91"/>
    <s v="Forecast"/>
  </r>
  <r>
    <x v="5"/>
    <x v="0"/>
    <s v="202501"/>
    <n v="14"/>
    <n v="2990439.91"/>
    <n v="-6.2543699348533724E-2"/>
    <s v="CohortAvg"/>
    <n v="-3.1365608681233621E-2"/>
    <s v="CohortAvg"/>
    <n v="0.34142256429820278"/>
    <s v="CohortAvg"/>
    <n v="6.1655459655264207E-2"/>
    <s v="CohortAvg_NonZero"/>
    <n v="7.8434147169298234E-5"/>
    <s v="CohortAvg"/>
    <n v="0"/>
    <s v="Zero"/>
    <n v="-4.8359565189360368E-2"/>
    <s v="CohortAvg"/>
    <n v="-9.4541710520086445E-4"/>
    <s v="CohortAvg"/>
    <n v="0"/>
    <n v="-187033.17"/>
    <n v="-93796.97"/>
    <n v="85083.64"/>
    <n v="184376.95"/>
    <n v="234.55"/>
    <n v="-144616.37"/>
    <n v="-2827.21"/>
    <n v="2610081.91"/>
    <n v="0.163996"/>
    <n v="0.95499999999999996"/>
    <n v="0.156608"/>
    <s v="DonorCohort:202101+Seasonal(0.955)"/>
    <n v="408760.02"/>
    <n v="573047.81999999995"/>
    <n v="-164287.79999999999"/>
    <x v="1"/>
    <n v="184376.95"/>
    <n v="0.78500000000000003"/>
    <n v="0.24"/>
    <n v="144735.9"/>
    <n v="144735.9"/>
    <n v="44250.47"/>
    <n v="428311.92"/>
    <n v="2806062.96"/>
    <n v="0.152638"/>
    <n v="-19551.900000000001"/>
    <n v="-19317.349999999999"/>
    <n v="373363.32"/>
    <n v="354045.97"/>
    <n v="2256035.94"/>
    <s v="Forecast"/>
  </r>
  <r>
    <x v="5"/>
    <x v="0"/>
    <s v="202502"/>
    <n v="13"/>
    <n v="4203357.74"/>
    <n v="-6.3275494947306679E-2"/>
    <s v="CohortAvg"/>
    <n v="-3.2121769652072189E-2"/>
    <s v="CohortAvg"/>
    <n v="0.36084747255012201"/>
    <s v="CohortAvg"/>
    <n v="3.5780638479860953E-2"/>
    <s v="CohortAvg_NonZero"/>
    <n v="1.0285021888168121E-4"/>
    <s v="CohortAvg"/>
    <n v="0"/>
    <s v="Zero"/>
    <n v="-8.548143883535575E-2"/>
    <s v="CohortAvg"/>
    <n v="-1.8483018530268381E-3"/>
    <s v="CohortAvg"/>
    <n v="0"/>
    <n v="-265969.53999999998"/>
    <n v="-135019.29"/>
    <n v="126397.58"/>
    <n v="150398.82"/>
    <n v="432.32"/>
    <n v="-359309.07"/>
    <n v="-7769.07"/>
    <n v="3777935.3599999999"/>
    <n v="0.184257"/>
    <n v="0.95499999999999996"/>
    <n v="0.175957"/>
    <s v="DonorCohort:202101+Seasonal(0.955)"/>
    <n v="664752.48"/>
    <n v="781324.53"/>
    <n v="-116572.05"/>
    <x v="1"/>
    <n v="150398.82"/>
    <n v="0.78500000000000003"/>
    <n v="0.24"/>
    <n v="118063.08"/>
    <n v="118063.08"/>
    <n v="36095.72"/>
    <n v="663261.44999999995"/>
    <n v="4052958.92"/>
    <n v="0.16364899999999999"/>
    <n v="1491.03"/>
    <n v="1923.35"/>
    <n v="304557.62"/>
    <n v="306480.96000000002"/>
    <n v="3471454.39"/>
    <s v="Forecast"/>
  </r>
  <r>
    <x v="5"/>
    <x v="0"/>
    <s v="202503"/>
    <n v="12"/>
    <n v="5588351.7800000003"/>
    <n v="-5.4656136147328102E-2"/>
    <s v="CohortAvg"/>
    <n v="-3.4904558877342791E-2"/>
    <s v="CohortAvg"/>
    <n v="0.42680251569223732"/>
    <s v="CohortAvg"/>
    <n v="2.337347755521255E-2"/>
    <s v="CohortAvg_NonZero"/>
    <n v="7.7342816690854293E-6"/>
    <s v="CohortAvg"/>
    <n v="0"/>
    <s v="Zero"/>
    <n v="0"/>
    <s v="CohortAvg"/>
    <n v="0"/>
    <s v="CohortAvg"/>
    <n v="0"/>
    <n v="-305437.71999999997"/>
    <n v="-195058.95"/>
    <n v="198760.22"/>
    <n v="130619.21"/>
    <n v="43.22"/>
    <n v="0"/>
    <n v="0"/>
    <n v="5155952.8899999997"/>
    <n v="0.178732"/>
    <n v="0.95499999999999996"/>
    <n v="0.170681"/>
    <s v="DonorCohort:202101+Seasonal(0.955)"/>
    <n v="880022.36"/>
    <n v="900286.48"/>
    <n v="-20264.12"/>
    <x v="1"/>
    <n v="130619.21"/>
    <n v="0.78500000000000003"/>
    <n v="0.24"/>
    <n v="102536.08"/>
    <n v="102536.08"/>
    <n v="31348.61"/>
    <n v="797750.4"/>
    <n v="5457732.5700000003"/>
    <n v="0.14616899999999999"/>
    <n v="82271.960000000006"/>
    <n v="82315.179999999993"/>
    <n v="264503.90999999997"/>
    <n v="346819.09"/>
    <n v="4809133.8"/>
    <s v="Forecast"/>
  </r>
  <r>
    <x v="5"/>
    <x v="0"/>
    <s v="202504"/>
    <n v="11"/>
    <n v="6996814.5700000003"/>
    <n v="-5.3210965414854483E-2"/>
    <s v="CohortAvg"/>
    <n v="-3.7101860431088179E-2"/>
    <s v="CohortAvg"/>
    <n v="0.43866085015833017"/>
    <s v="CohortAvg"/>
    <n v="1.013329171740706E-2"/>
    <s v="CohortAvg_NonZero"/>
    <n v="2.064852678238369E-6"/>
    <s v="CohortAvg"/>
    <n v="0"/>
    <s v="Zero"/>
    <n v="0"/>
    <s v="CohortAvg"/>
    <n v="0"/>
    <s v="CohortAvg"/>
    <n v="0"/>
    <n v="-372307.26"/>
    <n v="-259594.84"/>
    <n v="255769.05"/>
    <n v="70900.759999999995"/>
    <n v="14.45"/>
    <n v="0"/>
    <n v="0"/>
    <n v="6549766.3200000003"/>
    <n v="0.15490499999999999"/>
    <n v="0.95499999999999996"/>
    <n v="0.147927"/>
    <s v="DonorCohort:202101+Seasonal(0.955)"/>
    <n v="968885.5"/>
    <n v="993166.63"/>
    <n v="-24281.119999999999"/>
    <x v="1"/>
    <n v="70900.759999999995"/>
    <n v="0.78500000000000003"/>
    <n v="0.24"/>
    <n v="55657.1"/>
    <n v="55657.1"/>
    <n v="17016.18"/>
    <n v="937509.53"/>
    <n v="6925913.8099999996"/>
    <n v="0.13536300000000001"/>
    <n v="31375.98"/>
    <n v="31390.42"/>
    <n v="143574.04999999999"/>
    <n v="174964.47"/>
    <n v="6374801.8499999996"/>
    <s v="Forecast"/>
  </r>
  <r>
    <x v="5"/>
    <x v="0"/>
    <s v="202505"/>
    <n v="10"/>
    <n v="8637822.8100000005"/>
    <n v="-4.1477104486536423E-2"/>
    <s v="CohortAvg"/>
    <n v="-3.2607851495117961E-2"/>
    <s v="CohortAvg"/>
    <n v="0.3931277914704841"/>
    <s v="CohortAvg"/>
    <n v="0"/>
    <s v="CohortAvg_NoData_ERROR"/>
    <n v="8.2411349272982445E-7"/>
    <s v="CohortAvg"/>
    <n v="0"/>
    <s v="Zero"/>
    <n v="0"/>
    <s v="CohortAvg"/>
    <n v="0"/>
    <s v="CohortAvg"/>
    <n v="0"/>
    <n v="-358271.88"/>
    <n v="-281660.84000000003"/>
    <n v="282980.68"/>
    <n v="0"/>
    <n v="7.12"/>
    <n v="0"/>
    <n v="0"/>
    <n v="8280863.6500000004"/>
    <n v="0.136487"/>
    <n v="0.95499999999999996"/>
    <n v="0.13033800000000001"/>
    <s v="DonorCohort:202101+Seasonal(0.955)"/>
    <n v="1079312.1000000001"/>
    <n v="1078546.76"/>
    <n v="765.35"/>
    <x v="1"/>
    <n v="0"/>
    <n v="0.78500000000000003"/>
    <n v="0.24"/>
    <n v="0"/>
    <n v="0"/>
    <n v="0"/>
    <n v="1078546.76"/>
    <n v="8637822.8100000005"/>
    <n v="0.124863"/>
    <n v="765.35"/>
    <n v="772.46"/>
    <n v="0"/>
    <n v="772.46"/>
    <n v="8280091.1900000004"/>
    <s v="Forecast"/>
  </r>
  <r>
    <x v="5"/>
    <x v="0"/>
    <s v="202506"/>
    <n v="9"/>
    <n v="9732696.0099999998"/>
    <n v="-3.8591220808141813E-2"/>
    <s v="CohortAvg"/>
    <n v="-3.2626127253889671E-2"/>
    <s v="CohortAvg"/>
    <n v="0.39224164645758569"/>
    <s v="CohortAvg"/>
    <n v="0"/>
    <s v="CohortAvg_NoData_ERROR"/>
    <n v="0"/>
    <s v="CohortAvg"/>
    <n v="0"/>
    <s v="Zero"/>
    <n v="0"/>
    <s v="CohortAvg"/>
    <n v="0"/>
    <s v="CohortAvg"/>
    <n v="0"/>
    <n v="-375596.62"/>
    <n v="-317540.18"/>
    <n v="318130.73"/>
    <n v="0"/>
    <n v="0"/>
    <n v="0"/>
    <n v="0"/>
    <n v="9357689.9299999997"/>
    <n v="0.120061"/>
    <n v="0.95499999999999996"/>
    <n v="0.114653"/>
    <s v="DonorCohort:202101+Seasonal(0.955)"/>
    <n v="1072884.56"/>
    <n v="1050428.06"/>
    <n v="22456.5"/>
    <x v="1"/>
    <n v="0"/>
    <n v="0.78500000000000003"/>
    <n v="0.24"/>
    <n v="0"/>
    <n v="0"/>
    <n v="0"/>
    <n v="1050428.06"/>
    <n v="9732696.0099999998"/>
    <n v="0.107928"/>
    <n v="22456.5"/>
    <n v="22456.5"/>
    <n v="0"/>
    <n v="22456.5"/>
    <n v="9335233.4299999997"/>
    <s v="Forecast"/>
  </r>
  <r>
    <x v="5"/>
    <x v="0"/>
    <s v="202507"/>
    <n v="8"/>
    <n v="12405958.49"/>
    <n v="-3.4938708245372298E-2"/>
    <s v="CohortAvg"/>
    <n v="-3.2923178485054411E-2"/>
    <s v="CohortAvg"/>
    <n v="0.36873721610624888"/>
    <s v="CohortAvg"/>
    <n v="0"/>
    <s v="CohortAvg_NoData_ERROR"/>
    <n v="1.069034879765941E-5"/>
    <s v="CohortAvg"/>
    <n v="0"/>
    <s v="Zero"/>
    <n v="0"/>
    <s v="CohortAvg"/>
    <n v="0"/>
    <s v="CohortAvg"/>
    <n v="0"/>
    <n v="-433448.16"/>
    <n v="-408443.59"/>
    <n v="381211.55"/>
    <n v="0"/>
    <n v="132.62"/>
    <n v="0"/>
    <n v="0"/>
    <n v="11945145.66"/>
    <n v="0.10377699999999999"/>
    <n v="0.95499999999999996"/>
    <n v="9.9101999999999996E-2"/>
    <s v="DonorCohort:202101+Seasonal(0.955)"/>
    <n v="1183788.9099999999"/>
    <n v="1112614.8600000001"/>
    <n v="71174.05"/>
    <x v="1"/>
    <n v="0"/>
    <n v="0.78500000000000003"/>
    <n v="0.24"/>
    <n v="0"/>
    <n v="0"/>
    <n v="0"/>
    <n v="1112614.8600000001"/>
    <n v="12405958.49"/>
    <n v="8.9684E-2"/>
    <n v="71174.05"/>
    <n v="71306.67"/>
    <n v="0"/>
    <n v="71306.67"/>
    <n v="11873838.99"/>
    <s v="Forecast"/>
  </r>
  <r>
    <x v="5"/>
    <x v="0"/>
    <s v="202508"/>
    <n v="7"/>
    <n v="10071296.220000001"/>
    <n v="-3.376122592027684E-2"/>
    <s v="CohortAvg"/>
    <n v="-2.254609813562734E-2"/>
    <s v="CohortAvg"/>
    <n v="0.31730888390305811"/>
    <s v="CohortAvg"/>
    <n v="0"/>
    <s v="CohortAvg_NoData_ERROR"/>
    <n v="7.8672847675768569E-6"/>
    <s v="CohortAvg"/>
    <n v="0"/>
    <s v="Zero"/>
    <n v="0"/>
    <s v="CohortAvg"/>
    <n v="0"/>
    <s v="CohortAvg"/>
    <n v="0"/>
    <n v="-340019.31"/>
    <n v="-227068.43"/>
    <n v="266309.31"/>
    <n v="0"/>
    <n v="79.23"/>
    <n v="0"/>
    <n v="0"/>
    <n v="9770438.5600000005"/>
    <n v="8.6235000000000006E-2"/>
    <n v="0.95499999999999996"/>
    <n v="8.2350000000000007E-2"/>
    <s v="DonorCohort:202101+Seasonal(0.955)"/>
    <n v="804596.71"/>
    <n v="785894.33"/>
    <n v="18702.38"/>
    <x v="1"/>
    <n v="0"/>
    <n v="0.78500000000000003"/>
    <n v="0.24"/>
    <n v="0"/>
    <n v="0"/>
    <n v="0"/>
    <n v="785894.33"/>
    <n v="10071296.220000001"/>
    <n v="7.8033000000000005E-2"/>
    <n v="18702.38"/>
    <n v="18781.61"/>
    <n v="0"/>
    <n v="18781.61"/>
    <n v="9751656.9499999993"/>
    <s v="Forecast"/>
  </r>
  <r>
    <x v="5"/>
    <x v="0"/>
    <s v="202509"/>
    <n v="6"/>
    <n v="9110711.9000000004"/>
    <n v="-0.25680958605207688"/>
    <s v="CohortAvg"/>
    <n v="-5.337740704013423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339718.15"/>
    <n v="-486306.18"/>
    <n v="379613"/>
    <n v="0"/>
    <n v="0"/>
    <n v="0"/>
    <n v="0"/>
    <n v="6664300.5700000003"/>
    <n v="7.5032000000000001E-2"/>
    <n v="0.95499999999999996"/>
    <n v="7.1651999999999993E-2"/>
    <s v="DonorCohort:202101+Seasonal(0.955)"/>
    <n v="477510.6"/>
    <n v="507721.56"/>
    <n v="-30210.95"/>
    <x v="1"/>
    <n v="0"/>
    <n v="0.78500000000000003"/>
    <n v="0.24"/>
    <n v="0"/>
    <n v="0"/>
    <n v="0"/>
    <n v="507721.56"/>
    <n v="9110711.9000000004"/>
    <n v="5.5728E-2"/>
    <n v="-30210.95"/>
    <n v="-30210.95"/>
    <n v="0"/>
    <n v="-30210.95"/>
    <n v="6694511.5199999996"/>
    <s v="Forecast"/>
  </r>
  <r>
    <x v="5"/>
    <x v="1"/>
    <s v="202301"/>
    <n v="28"/>
    <n v="1026349.64"/>
    <n v="-1.1979693634041911E-2"/>
    <s v="CohortAvg"/>
    <n v="-5.8027073916618087E-3"/>
    <s v="CohortAvg"/>
    <n v="9.7156981371018789E-2"/>
    <s v="CohortAvg"/>
    <n v="2.433212622735571E-2"/>
    <s v="CohortAvg_NonZero"/>
    <n v="0"/>
    <s v="CohortAvg"/>
    <n v="0"/>
    <s v="Zero"/>
    <n v="0"/>
    <s v="CohortAvg"/>
    <n v="0"/>
    <s v="CohortAvg"/>
    <n v="0"/>
    <n v="-12295.35"/>
    <n v="-5955.61"/>
    <n v="8309.75"/>
    <n v="24973.27"/>
    <n v="0"/>
    <n v="0"/>
    <n v="0"/>
    <n v="991435.16"/>
    <n v="0.29008400000000001"/>
    <n v="1.0752999999999999"/>
    <n v="0.31191400000000002"/>
    <s v="CohortTrend+Seasonal(1.075)"/>
    <n v="309242.18"/>
    <n v="246520.89"/>
    <n v="62721.279999999999"/>
    <x v="1"/>
    <n v="24973.27"/>
    <n v="0.78500000000000003"/>
    <n v="0.24"/>
    <n v="19604.02"/>
    <n v="19604.02"/>
    <n v="5993.58"/>
    <n v="226916.88"/>
    <n v="1001376.37"/>
    <n v="0.226605"/>
    <n v="82325.3"/>
    <n v="82325.3"/>
    <n v="50570.87"/>
    <n v="132896.17000000001"/>
    <n v="858538.99"/>
    <s v="Forecast"/>
  </r>
  <r>
    <x v="5"/>
    <x v="1"/>
    <s v="202404"/>
    <n v="23"/>
    <n v="231934.22"/>
    <n v="-5.7405408151952483E-2"/>
    <s v="CohortAvg"/>
    <n v="-1.5122238818616549E-2"/>
    <s v="CohortAvg"/>
    <n v="0.15759132426480191"/>
    <s v="CohortAvg"/>
    <n v="5.0599546632095281E-2"/>
    <s v="CohortAvg_NonZero"/>
    <n v="0"/>
    <s v="CohortAvg"/>
    <n v="0"/>
    <s v="Zero"/>
    <n v="0"/>
    <s v="CohortAvg"/>
    <n v="0"/>
    <s v="CohortAvg"/>
    <n v="0"/>
    <n v="-13314.28"/>
    <n v="-3507.36"/>
    <n v="3045.9"/>
    <n v="11735.77"/>
    <n v="0"/>
    <n v="0"/>
    <n v="0"/>
    <n v="206422.71"/>
    <n v="0.17597599999999999"/>
    <n v="1.0752999999999999"/>
    <n v="0.189218"/>
    <s v="CohortTrend+Seasonal(1.075)"/>
    <n v="39058.97"/>
    <n v="34200.94"/>
    <n v="4858.03"/>
    <x v="1"/>
    <n v="11735.77"/>
    <n v="0.78500000000000003"/>
    <n v="0.24"/>
    <n v="9212.58"/>
    <n v="9212.58"/>
    <n v="2816.58"/>
    <n v="24988.36"/>
    <n v="220198.45"/>
    <n v="0.113481"/>
    <n v="14070.61"/>
    <n v="14070.61"/>
    <n v="23764.93"/>
    <n v="37835.54"/>
    <n v="168587.18"/>
    <s v="Forecast"/>
  </r>
  <r>
    <x v="5"/>
    <x v="1"/>
    <s v="202405"/>
    <n v="22"/>
    <n v="387571.95"/>
    <n v="-1.7415195631193831E-2"/>
    <s v="CohortAvg"/>
    <n v="-1.2840707841014039E-2"/>
    <s v="CohortAvg"/>
    <n v="0.1498209807648517"/>
    <s v="CohortAvg"/>
    <n v="6.5629022613298477E-2"/>
    <s v="CohortAvg_NonZero"/>
    <n v="1.75398496691198E-6"/>
    <s v="CohortAvg"/>
    <n v="0"/>
    <s v="Zero"/>
    <n v="0"/>
    <s v="CohortAvg"/>
    <n v="0"/>
    <s v="CohortAvg"/>
    <n v="0"/>
    <n v="-6749.64"/>
    <n v="-4976.7"/>
    <n v="4838.87"/>
    <n v="25435.97"/>
    <n v="0.68"/>
    <n v="0"/>
    <n v="0"/>
    <n v="355247.83"/>
    <n v="0.242976"/>
    <n v="1.0752999999999999"/>
    <n v="0.26126100000000002"/>
    <s v="CohortTrend+Seasonal(1.075)"/>
    <n v="92812.51"/>
    <n v="76157.55"/>
    <n v="16654.95"/>
    <x v="1"/>
    <n v="25435.97"/>
    <n v="0.78500000000000003"/>
    <n v="0.24"/>
    <n v="19967.23"/>
    <n v="19967.23"/>
    <n v="6104.63"/>
    <n v="56190.32"/>
    <n v="362135.98"/>
    <n v="0.155164"/>
    <n v="36622.19"/>
    <n v="36622.870000000003"/>
    <n v="51507.839999999997"/>
    <n v="88130.7"/>
    <n v="267117.13"/>
    <s v="Forecast"/>
  </r>
  <r>
    <x v="5"/>
    <x v="1"/>
    <s v="202406"/>
    <n v="21"/>
    <n v="220126.39"/>
    <n v="-1.7676136418075361E-2"/>
    <s v="CohortAvg"/>
    <n v="-1.5025541672543569E-2"/>
    <s v="CohortAvg"/>
    <n v="0.17898574533018999"/>
    <s v="CohortAvg"/>
    <n v="5.620844502272148E-2"/>
    <s v="CohortAvg_NonZero"/>
    <n v="0"/>
    <s v="CohortAvg"/>
    <n v="0"/>
    <s v="Zero"/>
    <n v="0"/>
    <s v="CohortAvg"/>
    <n v="0"/>
    <s v="CohortAvg"/>
    <n v="0"/>
    <n v="-3890.98"/>
    <n v="-3307.52"/>
    <n v="3283.29"/>
    <n v="12372.96"/>
    <n v="0"/>
    <n v="0"/>
    <n v="0"/>
    <n v="203838.22"/>
    <n v="0.17569799999999999"/>
    <n v="1.0752999999999999"/>
    <n v="0.18892"/>
    <s v="CohortTrend+Seasonal(1.075)"/>
    <n v="38509.089999999997"/>
    <n v="31493.8"/>
    <n v="7015.29"/>
    <x v="1"/>
    <n v="12372.96"/>
    <n v="0.78500000000000003"/>
    <n v="0.24"/>
    <n v="9712.7800000000007"/>
    <n v="9712.7800000000007"/>
    <n v="2969.51"/>
    <n v="21781.02"/>
    <n v="207753.43"/>
    <n v="0.104841"/>
    <n v="16728.07"/>
    <n v="16728.07"/>
    <n v="25055.25"/>
    <n v="41783.32"/>
    <n v="162054.9"/>
    <s v="Forecast"/>
  </r>
  <r>
    <x v="5"/>
    <x v="1"/>
    <s v="202407"/>
    <n v="20"/>
    <n v="352673.31"/>
    <n v="-4.1516750301853693E-2"/>
    <s v="CohortAvg"/>
    <n v="-1.5279174815365211E-2"/>
    <s v="CohortAvg"/>
    <n v="0.1702791352041203"/>
    <s v="CohortAvg"/>
    <n v="8.2761551975630079E-2"/>
    <s v="CohortAvg_NonZero"/>
    <n v="0"/>
    <s v="CohortAvg"/>
    <n v="0"/>
    <s v="Zero"/>
    <n v="0"/>
    <s v="CohortAvg"/>
    <n v="0"/>
    <s v="CohortAvg"/>
    <n v="0"/>
    <n v="-14641.85"/>
    <n v="-5388.56"/>
    <n v="5004.41"/>
    <n v="29187.79"/>
    <n v="0"/>
    <n v="0"/>
    <n v="0"/>
    <n v="308459.52000000002"/>
    <n v="0.172843"/>
    <n v="1.0752999999999999"/>
    <n v="0.18584999999999999"/>
    <s v="CohortTrend+Seasonal(1.075)"/>
    <n v="57327.1"/>
    <n v="56320.13"/>
    <n v="1006.97"/>
    <x v="1"/>
    <n v="29187.79"/>
    <n v="0.78500000000000003"/>
    <n v="0.24"/>
    <n v="22912.42"/>
    <n v="22912.42"/>
    <n v="7005.07"/>
    <n v="33407.72"/>
    <n v="323485.52"/>
    <n v="0.103274"/>
    <n v="23919.38"/>
    <n v="23919.38"/>
    <n v="59105.279999999999"/>
    <n v="83024.66"/>
    <n v="225434.87"/>
    <s v="Forecast"/>
  </r>
  <r>
    <x v="5"/>
    <x v="1"/>
    <s v="202408"/>
    <n v="19"/>
    <n v="409699.79"/>
    <n v="-5.4962334139272227E-2"/>
    <s v="CohortAvg"/>
    <n v="-1.6357609777693492E-2"/>
    <s v="CohortAvg"/>
    <n v="0.1830754886568918"/>
    <s v="CohortAvg"/>
    <n v="0.1104761026857973"/>
    <s v="CohortAvg_NonZero"/>
    <n v="5.6065436962939946E-9"/>
    <s v="CohortAvg"/>
    <n v="0"/>
    <s v="Zero"/>
    <n v="0"/>
    <s v="CohortAvg"/>
    <n v="0"/>
    <s v="CohortAvg"/>
    <n v="0"/>
    <n v="-22518.06"/>
    <n v="-6701.71"/>
    <n v="6250.5"/>
    <n v="45262.04"/>
    <n v="0"/>
    <n v="0"/>
    <n v="0"/>
    <n v="341468.49"/>
    <n v="0.18524499999999999"/>
    <n v="1.0752999999999999"/>
    <n v="0.199185"/>
    <s v="DonorCohort:202301+Seasonal(1.075)"/>
    <n v="68015.570000000007"/>
    <n v="56652.77"/>
    <n v="11362.8"/>
    <x v="1"/>
    <n v="45262.04"/>
    <n v="0.78500000000000003"/>
    <n v="0.24"/>
    <n v="35530.699999999997"/>
    <n v="35530.699999999997"/>
    <n v="10862.89"/>
    <n v="21122.07"/>
    <n v="364437.76000000001"/>
    <n v="5.7958000000000003E-2"/>
    <n v="46893.5"/>
    <n v="46893.5"/>
    <n v="91655.62"/>
    <n v="138549.13"/>
    <n v="202919.36"/>
    <s v="Forecast"/>
  </r>
  <r>
    <x v="5"/>
    <x v="1"/>
    <s v="202409"/>
    <n v="18"/>
    <n v="504555.56"/>
    <n v="-3.7059276893794797E-2"/>
    <s v="CohortAvg"/>
    <n v="-1.514474748428222E-2"/>
    <s v="CohortAvg"/>
    <n v="0.1830673333452465"/>
    <s v="CohortAvg"/>
    <n v="3.1430702189461063E-2"/>
    <s v="CohortAvg_NonZero"/>
    <n v="0"/>
    <s v="CohortAvg"/>
    <n v="0"/>
    <s v="Zero"/>
    <n v="0"/>
    <s v="CohortAvg"/>
    <n v="0"/>
    <s v="CohortAvg"/>
    <n v="0"/>
    <n v="-18698.46"/>
    <n v="-7641.37"/>
    <n v="7697.3"/>
    <n v="15858.54"/>
    <n v="0"/>
    <n v="0"/>
    <n v="0"/>
    <n v="470054.5"/>
    <n v="0.16040199999999999"/>
    <n v="1.0752999999999999"/>
    <n v="0.17247299999999999"/>
    <s v="DonorCohort:202301+Seasonal(1.075)"/>
    <n v="81071.88"/>
    <n v="95675.68"/>
    <n v="-14603.8"/>
    <x v="1"/>
    <n v="15858.54"/>
    <n v="0.78500000000000003"/>
    <n v="0.24"/>
    <n v="12448.95"/>
    <n v="12448.95"/>
    <n v="3806.05"/>
    <n v="83226.73"/>
    <n v="488697.03"/>
    <n v="0.17030300000000001"/>
    <n v="-2154.85"/>
    <n v="-2154.85"/>
    <n v="32113.53"/>
    <n v="29958.68"/>
    <n v="440095.82"/>
    <s v="Forecast"/>
  </r>
  <r>
    <x v="5"/>
    <x v="1"/>
    <s v="202410"/>
    <n v="17"/>
    <n v="398820.46"/>
    <n v="-1.494635704814337E-2"/>
    <s v="CohortAvg"/>
    <n v="-1.782033755037099E-2"/>
    <s v="CohortAvg"/>
    <n v="0.1885569361556694"/>
    <s v="CohortAvg"/>
    <n v="3.5424166790860849E-2"/>
    <s v="CohortAvg_NonZero"/>
    <n v="2.4597996581220269E-6"/>
    <s v="CohortAvg"/>
    <n v="0"/>
    <s v="Zero"/>
    <n v="0"/>
    <s v="CohortAvg"/>
    <n v="0"/>
    <s v="CohortAvg"/>
    <n v="0"/>
    <n v="-5960.91"/>
    <n v="-7107.12"/>
    <n v="6266.7"/>
    <n v="14127.88"/>
    <n v="0.98"/>
    <n v="0"/>
    <n v="0"/>
    <n v="377890.26"/>
    <n v="0.21996199999999999"/>
    <n v="1.0752999999999999"/>
    <n v="0.236515"/>
    <s v="DonorCohort:202301+Seasonal(1.075)"/>
    <n v="89376.82"/>
    <n v="64066.27"/>
    <n v="25310.55"/>
    <x v="1"/>
    <n v="14127.88"/>
    <n v="0.78500000000000003"/>
    <n v="0.24"/>
    <n v="11090.39"/>
    <n v="11090.39"/>
    <n v="3390.69"/>
    <n v="52975.88"/>
    <n v="384692.58"/>
    <n v="0.13771"/>
    <n v="36400.94"/>
    <n v="36401.919999999998"/>
    <n v="28608.959999999999"/>
    <n v="65010.879999999997"/>
    <n v="312879.38"/>
    <s v="Forecast"/>
  </r>
  <r>
    <x v="5"/>
    <x v="1"/>
    <s v="202411"/>
    <n v="16"/>
    <n v="478108.26"/>
    <n v="-4.0269573656399667E-2"/>
    <s v="CohortAvg"/>
    <n v="-1.48222413175737E-2"/>
    <s v="CohortAvg"/>
    <n v="0.1740089558886837"/>
    <s v="CohortAvg"/>
    <n v="3.5214683429170231E-2"/>
    <s v="CohortAvg_NonZero"/>
    <n v="0"/>
    <s v="CohortAvg"/>
    <n v="0"/>
    <s v="Zero"/>
    <n v="0"/>
    <s v="CohortAvg"/>
    <n v="0"/>
    <s v="CohortAvg"/>
    <n v="0"/>
    <n v="-19253.22"/>
    <n v="-7086.64"/>
    <n v="6932.93"/>
    <n v="16836.43"/>
    <n v="0"/>
    <n v="0"/>
    <n v="0"/>
    <n v="441864.91"/>
    <n v="0.18634100000000001"/>
    <n v="1.0752999999999999"/>
    <n v="0.20036399999999999"/>
    <s v="DonorCohort:202301+Seasonal(1.075)"/>
    <n v="88533.6"/>
    <n v="57767.86"/>
    <n v="30765.74"/>
    <x v="1"/>
    <n v="16836.43"/>
    <n v="0.78500000000000003"/>
    <n v="0.24"/>
    <n v="13216.6"/>
    <n v="13216.6"/>
    <n v="4040.74"/>
    <n v="44551.26"/>
    <n v="461271.83"/>
    <n v="9.6584000000000003E-2"/>
    <n v="43982.34"/>
    <n v="43982.34"/>
    <n v="34093.769999999997"/>
    <n v="78076.11"/>
    <n v="363788.79"/>
    <s v="Forecast"/>
  </r>
  <r>
    <x v="5"/>
    <x v="1"/>
    <s v="202412"/>
    <n v="15"/>
    <n v="40722.33"/>
    <n v="-8.6139575103197918E-3"/>
    <s v="CohortAvg"/>
    <n v="-1.2490601227361991E-2"/>
    <s v="CohortAvg"/>
    <n v="0.15182126859324671"/>
    <s v="CohortAvg"/>
    <n v="0.2"/>
    <s v="CohortAvg_NonZero"/>
    <n v="0"/>
    <s v="CohortAvg"/>
    <n v="0"/>
    <s v="Zero"/>
    <n v="0"/>
    <s v="CohortAvg"/>
    <n v="0"/>
    <s v="CohortAvg"/>
    <n v="0"/>
    <n v="-350.78"/>
    <n v="-508.65"/>
    <n v="515.21"/>
    <n v="8144.47"/>
    <n v="0"/>
    <n v="0"/>
    <n v="0"/>
    <n v="32233.65"/>
    <n v="0.140157"/>
    <n v="1.0752999999999999"/>
    <n v="0.15070500000000001"/>
    <s v="DonorCohort:202301+Seasonal(1.075)"/>
    <n v="4857.76"/>
    <n v="4338.2700000000004"/>
    <n v="519.49"/>
    <x v="1"/>
    <n v="8144.47"/>
    <n v="0.78500000000000003"/>
    <n v="0.24"/>
    <n v="6393.41"/>
    <n v="6393.41"/>
    <n v="1954.67"/>
    <n v="-2055.14"/>
    <n v="32577.87"/>
    <n v="-6.3084000000000001E-2"/>
    <n v="6912.9"/>
    <n v="6912.9"/>
    <n v="16492.54"/>
    <n v="23405.439999999999"/>
    <n v="8828.2099999999991"/>
    <s v="Forecast"/>
  </r>
  <r>
    <x v="5"/>
    <x v="1"/>
    <s v="202501"/>
    <n v="14"/>
    <n v="55959.22"/>
    <n v="-1.5177120819076099E-2"/>
    <s v="CohortAvg"/>
    <n v="-1.749547522497772E-2"/>
    <s v="CohortAvg"/>
    <n v="0.20444215976088659"/>
    <s v="CohortAvg"/>
    <n v="0"/>
    <s v="CohortAvg_NoData_ERROR"/>
    <n v="0"/>
    <s v="CohortAvg"/>
    <n v="0"/>
    <s v="Zero"/>
    <n v="0"/>
    <s v="CohortAvg"/>
    <n v="0"/>
    <s v="CohortAvg"/>
    <n v="0"/>
    <n v="-849.3"/>
    <n v="-979.03"/>
    <n v="953.37"/>
    <n v="0"/>
    <n v="0"/>
    <n v="0"/>
    <n v="0"/>
    <n v="55084.26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55959.22"/>
    <n v="0"/>
    <n v="0"/>
    <n v="0"/>
    <n v="0"/>
    <n v="0"/>
    <n v="55084.26"/>
    <s v="Forecast"/>
  </r>
  <r>
    <x v="5"/>
    <x v="1"/>
    <s v="202502"/>
    <n v="13"/>
    <n v="118591.93"/>
    <n v="-1.3554060562166461E-2"/>
    <s v="CohortAvg"/>
    <n v="-1.8476030729694129E-2"/>
    <s v="CohortAvg"/>
    <n v="0.1945090295598656"/>
    <s v="CohortAvg"/>
    <n v="0"/>
    <s v="CohortAvg_NoData_ERROR"/>
    <n v="0"/>
    <s v="CohortAvg"/>
    <n v="0"/>
    <s v="Zero"/>
    <n v="0"/>
    <s v="CohortAvg"/>
    <n v="0"/>
    <s v="CohortAvg"/>
    <n v="0"/>
    <n v="-1607.4"/>
    <n v="-2191.11"/>
    <n v="1922.27"/>
    <n v="0"/>
    <n v="0"/>
    <n v="0"/>
    <n v="0"/>
    <n v="116715.68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118591.93"/>
    <n v="0"/>
    <n v="0"/>
    <n v="0"/>
    <n v="0"/>
    <n v="0"/>
    <n v="116715.68"/>
    <s v="Forecast"/>
  </r>
  <r>
    <x v="5"/>
    <x v="1"/>
    <s v="202503"/>
    <n v="12"/>
    <n v="80390.460000000006"/>
    <n v="-9.8352030542494615E-3"/>
    <s v="CohortAvg"/>
    <n v="-1.4460318002995741E-2"/>
    <s v="CohortAvg"/>
    <n v="0.20800966786882749"/>
    <s v="CohortAvg"/>
    <n v="0"/>
    <s v="CohortAvg_NoData_ERROR"/>
    <n v="0"/>
    <s v="CohortAvg"/>
    <n v="0"/>
    <s v="Zero"/>
    <n v="0"/>
    <s v="CohortAvg"/>
    <n v="0"/>
    <s v="CohortAvg"/>
    <n v="0"/>
    <n v="-790.66"/>
    <n v="-1162.47"/>
    <n v="1393.5"/>
    <n v="0"/>
    <n v="0"/>
    <n v="0"/>
    <n v="0"/>
    <n v="79830.84"/>
    <n v="0.10606699999999999"/>
    <n v="1.0752999999999999"/>
    <n v="0.114049"/>
    <s v="DonorCohort:202301+Seasonal(1.075)"/>
    <n v="9104.6"/>
    <n v="7608.08"/>
    <n v="1496.52"/>
    <x v="1"/>
    <n v="0"/>
    <n v="0.78500000000000003"/>
    <n v="0.24"/>
    <n v="0"/>
    <n v="0"/>
    <n v="0"/>
    <n v="7608.08"/>
    <n v="80390.460000000006"/>
    <n v="9.4639000000000001E-2"/>
    <n v="1496.52"/>
    <n v="1496.52"/>
    <n v="0"/>
    <n v="1496.52"/>
    <n v="78334.320000000007"/>
    <s v="Forecast"/>
  </r>
  <r>
    <x v="5"/>
    <x v="1"/>
    <s v="202504"/>
    <n v="11"/>
    <n v="56580.57"/>
    <n v="-2.0631167725406008E-2"/>
    <s v="CohortAvg"/>
    <n v="-1.675008978225663E-2"/>
    <s v="CohortAvg"/>
    <n v="0.2025034438642713"/>
    <s v="CohortAvg"/>
    <n v="0"/>
    <s v="CohortAvg_NoData_ERROR"/>
    <n v="0"/>
    <s v="CohortAvg"/>
    <n v="0"/>
    <s v="Zero"/>
    <n v="0"/>
    <s v="CohortAvg"/>
    <n v="0"/>
    <s v="CohortAvg"/>
    <n v="0"/>
    <n v="-1167.32"/>
    <n v="-947.73"/>
    <n v="954.81"/>
    <n v="0"/>
    <n v="0"/>
    <n v="0"/>
    <n v="0"/>
    <n v="55420.33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56580.57"/>
    <n v="0"/>
    <n v="0"/>
    <n v="0"/>
    <n v="0"/>
    <n v="0"/>
    <n v="55420.33"/>
    <s v="Forecast"/>
  </r>
  <r>
    <x v="5"/>
    <x v="1"/>
    <s v="202505"/>
    <n v="10"/>
    <n v="15934.37"/>
    <n v="-9.0943433596514609E-3"/>
    <s v="CohortAvg"/>
    <n v="-1.485065600740406E-2"/>
    <s v="CohortAvg"/>
    <n v="0.17953859518725221"/>
    <s v="CohortAvg"/>
    <n v="0"/>
    <s v="CohortAvg_NoData_ERROR"/>
    <n v="0"/>
    <s v="CohortAvg"/>
    <n v="0"/>
    <s v="Zero"/>
    <n v="0"/>
    <s v="CohortAvg"/>
    <n v="0"/>
    <s v="CohortAvg"/>
    <n v="0"/>
    <n v="-144.91"/>
    <n v="-236.64"/>
    <n v="238.4"/>
    <n v="0"/>
    <n v="0"/>
    <n v="0"/>
    <n v="0"/>
    <n v="15791.22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15934.37"/>
    <n v="0"/>
    <n v="0"/>
    <n v="0"/>
    <n v="0"/>
    <n v="0"/>
    <n v="15791.22"/>
    <s v="Forecast"/>
  </r>
  <r>
    <x v="5"/>
    <x v="1"/>
    <s v="202506"/>
    <n v="9"/>
    <n v="28823.07"/>
    <n v="-1.221283092564374E-2"/>
    <s v="CohortAvg"/>
    <n v="-1.443841333089718E-2"/>
    <s v="CohortAvg"/>
    <n v="0.16774758544172039"/>
    <s v="CohortAvg"/>
    <n v="0"/>
    <s v="CohortAvg_NoData_ERROR"/>
    <n v="0"/>
    <s v="CohortAvg"/>
    <n v="0"/>
    <s v="Zero"/>
    <n v="0"/>
    <s v="CohortAvg"/>
    <n v="0"/>
    <s v="CohortAvg"/>
    <n v="0"/>
    <n v="-352.01"/>
    <n v="-416.16"/>
    <n v="402.92"/>
    <n v="0"/>
    <n v="0"/>
    <n v="0"/>
    <n v="0"/>
    <n v="28457.82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28823.07"/>
    <n v="0"/>
    <n v="0"/>
    <n v="0"/>
    <n v="0"/>
    <n v="0"/>
    <n v="28457.82"/>
    <s v="Forecast"/>
  </r>
  <r>
    <x v="5"/>
    <x v="1"/>
    <s v="202507"/>
    <n v="8"/>
    <n v="111552.14"/>
    <n v="-9.1975611007737313E-3"/>
    <s v="CohortAvg"/>
    <n v="-1.484495164485331E-2"/>
    <s v="CohortAvg"/>
    <n v="0.16444990300955389"/>
    <s v="CohortAvg"/>
    <n v="0"/>
    <s v="CohortAvg_NoData_ERROR"/>
    <n v="0"/>
    <s v="CohortAvg"/>
    <n v="0"/>
    <s v="Zero"/>
    <n v="0"/>
    <s v="CohortAvg"/>
    <n v="0"/>
    <s v="CohortAvg"/>
    <n v="0"/>
    <n v="-1026.01"/>
    <n v="-1655.99"/>
    <n v="1528.73"/>
    <n v="0"/>
    <n v="0"/>
    <n v="0"/>
    <n v="0"/>
    <n v="110398.88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111552.14"/>
    <n v="0"/>
    <n v="0"/>
    <n v="0"/>
    <n v="0"/>
    <n v="0"/>
    <n v="110398.88"/>
    <s v="Forecast"/>
  </r>
  <r>
    <x v="5"/>
    <x v="1"/>
    <s v="202508"/>
    <n v="7"/>
    <n v="46098.42"/>
    <n v="-1.0354515002365649E-2"/>
    <s v="CohortAvg"/>
    <n v="-1.040725863829095E-2"/>
    <s v="CohortAvg"/>
    <n v="0.12811496150673549"/>
    <s v="CohortAvg"/>
    <n v="0"/>
    <s v="CohortAvg_NoData_ERROR"/>
    <n v="0"/>
    <s v="CohortAvg"/>
    <n v="0"/>
    <s v="Zero"/>
    <n v="0"/>
    <s v="CohortAvg"/>
    <n v="0"/>
    <s v="CohortAvg"/>
    <n v="0"/>
    <n v="-477.33"/>
    <n v="-479.76"/>
    <n v="492.16"/>
    <n v="0"/>
    <n v="0"/>
    <n v="0"/>
    <n v="0"/>
    <n v="45633.49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46098.42"/>
    <n v="0"/>
    <n v="0"/>
    <n v="0"/>
    <n v="0"/>
    <n v="0"/>
    <n v="45633.49"/>
    <s v="Forecast"/>
  </r>
  <r>
    <x v="5"/>
    <x v="1"/>
    <s v="202509"/>
    <n v="6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5"/>
    <x v="2"/>
    <s v="202101"/>
    <n v="62"/>
    <n v="1246211.6200000001"/>
    <n v="-0.18322302912133689"/>
    <s v="CohortAvg"/>
    <n v="-1.3688131090999299E-2"/>
    <s v="CohortAvg"/>
    <n v="0.14821070397420091"/>
    <s v="CohortAvg"/>
    <n v="1.8040765435051301E-2"/>
    <s v="CohortAvg_NonZero"/>
    <n v="0"/>
    <s v="CohortAvg"/>
    <n v="0"/>
    <s v="Zero"/>
    <n v="0"/>
    <s v="CohortAvg"/>
    <n v="0"/>
    <s v="CohortAvg"/>
    <n v="0"/>
    <n v="-228334.67"/>
    <n v="-17058.310000000001"/>
    <n v="15391.83"/>
    <n v="22482.61"/>
    <n v="0"/>
    <n v="0"/>
    <n v="0"/>
    <n v="993727.86"/>
    <n v="0.26095400000000002"/>
    <n v="0.91979999999999995"/>
    <n v="0.240034"/>
    <s v="CohortAvg+Seasonal(0.920)"/>
    <n v="238528.71"/>
    <n v="380741.59"/>
    <n v="-142212.88"/>
    <x v="1"/>
    <n v="22482.61"/>
    <n v="0.78500000000000003"/>
    <n v="0.24"/>
    <n v="17648.849999999999"/>
    <n v="17648.849999999999"/>
    <n v="5395.83"/>
    <n v="363092.74"/>
    <n v="1223729.01"/>
    <n v="0.29670999999999997"/>
    <n v="-124564.03"/>
    <n v="-124564.03"/>
    <n v="45527.29"/>
    <n v="-79036.740000000005"/>
    <n v="1072764.6000000001"/>
    <s v="Forecast"/>
  </r>
  <r>
    <x v="5"/>
    <x v="2"/>
    <s v="202201"/>
    <n v="42"/>
    <n v="128969.26"/>
    <n v="-6.7631220493967248E-2"/>
    <s v="CohortAvg"/>
    <n v="-1.3367700049196079E-2"/>
    <s v="CohortAvg"/>
    <n v="0.1490560031828537"/>
    <s v="CohortAvg"/>
    <n v="3.2239293754147892E-2"/>
    <s v="CohortAvg_NonZero"/>
    <n v="3.3893130023371871E-7"/>
    <s v="CohortAvg"/>
    <n v="0"/>
    <s v="Zero"/>
    <n v="-7.3717519562731379E-5"/>
    <s v="CohortAvg"/>
    <n v="-3.3282138909159459E-7"/>
    <s v="CohortAvg"/>
    <n v="0"/>
    <n v="-8722.35"/>
    <n v="-1724.02"/>
    <n v="1601.97"/>
    <n v="4157.88"/>
    <n v="0.04"/>
    <n v="-9.51"/>
    <n v="-0.04"/>
    <n v="115966.94"/>
    <n v="0.184803"/>
    <n v="0.91979999999999995"/>
    <n v="0.169988"/>
    <s v="CohortAvg+Seasonal(0.920)"/>
    <n v="19713.009999999998"/>
    <n v="27198.43"/>
    <n v="-7485.42"/>
    <x v="1"/>
    <n v="4157.88"/>
    <n v="0.78500000000000003"/>
    <n v="0.24"/>
    <n v="3263.93"/>
    <n v="3263.93"/>
    <n v="997.89"/>
    <n v="23934.5"/>
    <n v="124811.38"/>
    <n v="0.19176499999999999"/>
    <n v="-4221.49"/>
    <n v="-4221.4399999999996"/>
    <n v="8419.7000000000007"/>
    <n v="4198.26"/>
    <n v="111768.68"/>
    <s v="Forecast"/>
  </r>
  <r>
    <x v="5"/>
    <x v="2"/>
    <s v="202301"/>
    <n v="33"/>
    <n v="9333232.6999999993"/>
    <n v="-3.9019824886115592E-2"/>
    <s v="CohortAvg"/>
    <n v="-1.5381289772387169E-2"/>
    <s v="CohortAvg"/>
    <n v="0.17393970677637141"/>
    <s v="CohortAvg"/>
    <n v="1.9397128872771442E-2"/>
    <s v="CohortAvg_NonZero"/>
    <n v="5.1583568321511487E-7"/>
    <s v="CohortAvg"/>
    <n v="0"/>
    <s v="Zero"/>
    <n v="-1.594993692937629E-3"/>
    <s v="CohortAvg"/>
    <n v="-3.5886633352140009E-6"/>
    <s v="CohortAvg"/>
    <n v="0"/>
    <n v="-364181.11"/>
    <n v="-143557.16"/>
    <n v="135284.98000000001"/>
    <n v="181037.92"/>
    <n v="4.8099999999999996"/>
    <n v="-14886.45"/>
    <n v="-33.49"/>
    <n v="8779736.6799999997"/>
    <n v="0.18933900000000001"/>
    <n v="0.91979999999999995"/>
    <n v="0.17416100000000001"/>
    <s v="CohortTrend+Seasonal(0.920)"/>
    <n v="1529084.5"/>
    <n v="1989875.6"/>
    <n v="-460791.1"/>
    <x v="1"/>
    <n v="181037.92"/>
    <n v="0.78500000000000003"/>
    <n v="0.24"/>
    <n v="142114.76999999999"/>
    <n v="142114.76999999999"/>
    <n v="43449.1"/>
    <n v="1847760.84"/>
    <n v="9152194.7799999993"/>
    <n v="0.20189299999999999"/>
    <n v="-318676.33"/>
    <n v="-318671.52"/>
    <n v="366601.78"/>
    <n v="47930.26"/>
    <n v="8731806.4199999999"/>
    <s v="Forecast"/>
  </r>
  <r>
    <x v="5"/>
    <x v="2"/>
    <s v="202404"/>
    <n v="23"/>
    <n v="2385574.33"/>
    <n v="-4.1289283214802831E-2"/>
    <s v="CohortAvg"/>
    <n v="-1.589781345044192E-2"/>
    <s v="CohortAvg"/>
    <n v="0.17634165253453571"/>
    <s v="CohortAvg"/>
    <n v="2.224020665014962E-2"/>
    <s v="CohortAvg_NonZero"/>
    <n v="1.9880025691351172E-6"/>
    <s v="CohortAvg"/>
    <n v="0"/>
    <s v="Zero"/>
    <n v="-3.2270861166714239E-3"/>
    <s v="CohortAvg"/>
    <n v="-2.0055244648834171E-5"/>
    <s v="CohortAvg"/>
    <n v="0"/>
    <n v="-98498.65"/>
    <n v="-37925.42"/>
    <n v="35056.339999999997"/>
    <n v="53055.67"/>
    <n v="4.74"/>
    <n v="-7698.45"/>
    <n v="-47.84"/>
    <n v="2231146.19"/>
    <n v="0.14064499999999999"/>
    <n v="0.91979999999999995"/>
    <n v="0.12937000000000001"/>
    <s v="CohortTrend+Seasonal(0.920)"/>
    <n v="288642.71999999997"/>
    <n v="377365.18"/>
    <n v="-88722.46"/>
    <x v="1"/>
    <n v="53055.67"/>
    <n v="0.78500000000000003"/>
    <n v="0.24"/>
    <n v="41648.699999999997"/>
    <n v="41648.699999999997"/>
    <n v="12733.36"/>
    <n v="335716.48"/>
    <n v="2332518.66"/>
    <n v="0.143929"/>
    <n v="-47073.760000000002"/>
    <n v="-47069.02"/>
    <n v="107437.72"/>
    <n v="60368.7"/>
    <n v="2170777.4900000002"/>
    <s v="Forecast"/>
  </r>
  <r>
    <x v="5"/>
    <x v="2"/>
    <s v="202405"/>
    <n v="22"/>
    <n v="2334389.61"/>
    <n v="-2.0978637619307738E-2"/>
    <s v="CohortAvg"/>
    <n v="-1.514897750258358E-2"/>
    <s v="CohortAvg"/>
    <n v="0.17442551291677399"/>
    <s v="CohortAvg"/>
    <n v="2.9637360345693298E-2"/>
    <s v="CohortAvg_NonZero"/>
    <n v="2.452085577216814E-6"/>
    <s v="CohortAvg"/>
    <n v="0"/>
    <s v="Zero"/>
    <n v="-5.739981848041479E-3"/>
    <s v="CohortAvg"/>
    <n v="-3.7413900017790447E-5"/>
    <s v="CohortAvg"/>
    <n v="0"/>
    <n v="-48972.31"/>
    <n v="-35363.620000000003"/>
    <n v="33931.43"/>
    <n v="69185.149999999994"/>
    <n v="5.72"/>
    <n v="-13399.35"/>
    <n v="-87.34"/>
    <n v="2214794.2400000002"/>
    <n v="0.119311"/>
    <n v="0.91979999999999995"/>
    <n v="0.109746"/>
    <s v="CohortTrend+Seasonal(0.920)"/>
    <n v="243064.31"/>
    <n v="313221.55"/>
    <n v="-70157.23"/>
    <x v="1"/>
    <n v="69185.149999999994"/>
    <n v="0.78500000000000003"/>
    <n v="0.24"/>
    <n v="54310.34"/>
    <n v="54310.34"/>
    <n v="16604.439999999999"/>
    <n v="258911.21"/>
    <n v="2265204.4700000002"/>
    <n v="0.114299"/>
    <n v="-15846.89"/>
    <n v="-15841.17"/>
    <n v="140099.92000000001"/>
    <n v="124258.75"/>
    <n v="2090535.49"/>
    <s v="Forecast"/>
  </r>
  <r>
    <x v="5"/>
    <x v="2"/>
    <s v="202406"/>
    <n v="21"/>
    <n v="2090563.43"/>
    <n v="-2.8334559281179759E-2"/>
    <s v="CohortAvg"/>
    <n v="-1.503877667027031E-2"/>
    <s v="CohortAvg"/>
    <n v="0.1730259075041167"/>
    <s v="CohortAvg"/>
    <n v="5.6071320044526717E-2"/>
    <s v="CohortAvg_NonZero"/>
    <n v="2.1258027892501012E-6"/>
    <s v="CohortAvg"/>
    <n v="0"/>
    <s v="Zero"/>
    <n v="-4.2233498011140643E-3"/>
    <s v="CohortAvg"/>
    <n v="-5.594716886448387E-5"/>
    <s v="CohortAvg"/>
    <n v="0"/>
    <n v="-59235.19"/>
    <n v="-31439.52"/>
    <n v="30143.47"/>
    <n v="117220.65"/>
    <n v="4.4400000000000004"/>
    <n v="-8829.18"/>
    <n v="-116.96"/>
    <n v="1912807.09"/>
    <n v="0.12531100000000001"/>
    <n v="0.91979999999999995"/>
    <n v="0.11526500000000001"/>
    <s v="CohortTrend+Seasonal(0.920)"/>
    <n v="220479.26"/>
    <n v="295561.23"/>
    <n v="-75081.97"/>
    <x v="1"/>
    <n v="117220.65"/>
    <n v="0.78500000000000003"/>
    <n v="0.24"/>
    <n v="92018.21"/>
    <n v="92018.21"/>
    <n v="28132.959999999999"/>
    <n v="203543.02"/>
    <n v="1973342.78"/>
    <n v="0.103146"/>
    <n v="16936.240000000002"/>
    <n v="16940.68"/>
    <n v="237371.82"/>
    <n v="254312.5"/>
    <n v="1658494.59"/>
    <s v="Forecast"/>
  </r>
  <r>
    <x v="5"/>
    <x v="2"/>
    <s v="202407"/>
    <n v="20"/>
    <n v="3667802.17"/>
    <n v="-2.739749608315141E-2"/>
    <s v="CohortAvg"/>
    <n v="-1.559313479443993E-2"/>
    <s v="CohortAvg"/>
    <n v="0.17669853098989871"/>
    <s v="CohortAvg"/>
    <n v="2.9653891665418479E-2"/>
    <s v="CohortAvg_NonZero"/>
    <n v="6.9360696105471342E-6"/>
    <s v="CohortAvg"/>
    <n v="0"/>
    <s v="Zero"/>
    <n v="-5.1547739811446001E-3"/>
    <s v="CohortAvg"/>
    <n v="-4.525491215012103E-5"/>
    <s v="CohortAvg"/>
    <n v="0"/>
    <n v="-100488.6"/>
    <n v="-57192.53"/>
    <n v="54007.94"/>
    <n v="108764.61"/>
    <n v="25.44"/>
    <n v="-18906.689999999999"/>
    <n v="-165.99"/>
    <n v="3455338.93"/>
    <n v="0.10396900000000001"/>
    <n v="0.91979999999999995"/>
    <n v="9.5633999999999997E-2"/>
    <s v="CohortTrend+Seasonal(0.920)"/>
    <n v="330449.09999999998"/>
    <n v="411667.58"/>
    <n v="-81218.48"/>
    <x v="1"/>
    <n v="108764.61"/>
    <n v="0.78500000000000003"/>
    <n v="0.24"/>
    <n v="85380.22"/>
    <n v="85380.22"/>
    <n v="26103.51"/>
    <n v="326287.35999999999"/>
    <n v="3559037.56"/>
    <n v="9.1678999999999997E-2"/>
    <n v="4161.74"/>
    <n v="4187.18"/>
    <n v="220248.33"/>
    <n v="224435.51"/>
    <n v="3230903.42"/>
    <s v="Forecast"/>
  </r>
  <r>
    <x v="5"/>
    <x v="2"/>
    <s v="202408"/>
    <n v="19"/>
    <n v="2552394.34"/>
    <n v="-2.4913990743843581E-2"/>
    <s v="CohortAvg"/>
    <n v="-1.6420759676054379E-2"/>
    <s v="CohortAvg"/>
    <n v="0.18880211605922051"/>
    <s v="CohortAvg"/>
    <n v="1.9890280988034751E-2"/>
    <s v="CohortAvg_NonZero"/>
    <n v="8.7984351369087618E-7"/>
    <s v="CohortAvg"/>
    <n v="0"/>
    <s v="Zero"/>
    <n v="-4.118620942601489E-3"/>
    <s v="CohortAvg"/>
    <n v="-4.2266538697428853E-5"/>
    <s v="CohortAvg"/>
    <n v="0"/>
    <n v="-63590.33"/>
    <n v="-41912.25"/>
    <n v="40158.120000000003"/>
    <n v="50767.839999999997"/>
    <n v="2.25"/>
    <n v="-10512.34"/>
    <n v="-107.88"/>
    <n v="2436279.79"/>
    <n v="9.6042000000000002E-2"/>
    <n v="0.91979999999999995"/>
    <n v="8.8343000000000005E-2"/>
    <s v="DonorCohort:202101+Seasonal(0.920)"/>
    <n v="215227.55"/>
    <n v="247563.56"/>
    <n v="-32336.01"/>
    <x v="1"/>
    <n v="50767.839999999997"/>
    <n v="0.78500000000000003"/>
    <n v="0.24"/>
    <n v="39852.75"/>
    <n v="39852.75"/>
    <n v="12184.28"/>
    <n v="207710.8"/>
    <n v="2501626.5"/>
    <n v="8.3030000000000007E-2"/>
    <n v="7516.75"/>
    <n v="7518.99"/>
    <n v="102804.88"/>
    <n v="110323.87"/>
    <n v="2325955.92"/>
    <s v="Forecast"/>
  </r>
  <r>
    <x v="5"/>
    <x v="2"/>
    <s v="202409"/>
    <n v="18"/>
    <n v="2500982.64"/>
    <n v="-3.225155641824258E-2"/>
    <s v="CohortAvg"/>
    <n v="-1.6633269814097702E-2"/>
    <s v="CohortAvg"/>
    <n v="0.18632333155773451"/>
    <s v="CohortAvg"/>
    <n v="3.1743815947389627E-2"/>
    <s v="CohortAvg_NonZero"/>
    <n v="8.8705897677760686E-6"/>
    <s v="CohortAvg"/>
    <n v="0"/>
    <s v="Zero"/>
    <n v="-1.2818221088642759E-2"/>
    <s v="CohortAvg"/>
    <n v="-1.060904415651051E-4"/>
    <s v="CohortAvg"/>
    <n v="0"/>
    <n v="-80660.58"/>
    <n v="-41599.519999999997"/>
    <n v="38832.620000000003"/>
    <n v="79390.73"/>
    <n v="22.19"/>
    <n v="-32058.15"/>
    <n v="-265.33"/>
    <n v="2338142.2400000002"/>
    <n v="8.2997000000000001E-2"/>
    <n v="0.91979999999999995"/>
    <n v="7.6342999999999994E-2"/>
    <s v="DonorCohort:202101+Seasonal(0.920)"/>
    <n v="178500.65"/>
    <n v="226387.84"/>
    <n v="-47887.19"/>
    <x v="1"/>
    <n v="79390.73"/>
    <n v="0.78500000000000003"/>
    <n v="0.24"/>
    <n v="62321.73"/>
    <n v="62321.73"/>
    <n v="19053.78"/>
    <n v="164066.12"/>
    <n v="2421591.91"/>
    <n v="6.7751000000000006E-2"/>
    <n v="14434.54"/>
    <n v="14456.72"/>
    <n v="160766.23000000001"/>
    <n v="175222.96"/>
    <n v="2162919.2799999998"/>
    <s v="Forecast"/>
  </r>
  <r>
    <x v="5"/>
    <x v="2"/>
    <s v="202410"/>
    <n v="17"/>
    <n v="2411321.09"/>
    <n v="-3.8710315177493369E-2"/>
    <s v="CohortAvg"/>
    <n v="-1.6584203196633431E-2"/>
    <s v="CohortAvg"/>
    <n v="0.1831815300444731"/>
    <s v="CohortAvg"/>
    <n v="2.5814908774415321E-2"/>
    <s v="CohortAvg_NonZero"/>
    <n v="3.9582094191132534E-6"/>
    <s v="CohortAvg"/>
    <n v="0"/>
    <s v="Zero"/>
    <n v="-8.7519650186800146E-3"/>
    <s v="CohortAvg"/>
    <n v="-1.188208365182231E-4"/>
    <s v="CohortAvg"/>
    <n v="0"/>
    <n v="-93343"/>
    <n v="-39989.839999999997"/>
    <n v="36809.120000000003"/>
    <n v="62248.03"/>
    <n v="9.5399999999999991"/>
    <n v="-21103.8"/>
    <n v="-286.52"/>
    <n v="2252539.7999999998"/>
    <n v="7.7456999999999998E-2"/>
    <n v="0.91979999999999995"/>
    <n v="7.1248000000000006E-2"/>
    <s v="DonorCohort:202101+Seasonal(0.920)"/>
    <n v="160488.84"/>
    <n v="214027.16"/>
    <n v="-53538.32"/>
    <x v="1"/>
    <n v="62248.03"/>
    <n v="0.78500000000000003"/>
    <n v="0.24"/>
    <n v="48864.71"/>
    <n v="48864.71"/>
    <n v="14939.53"/>
    <n v="165162.46"/>
    <n v="2349073.06"/>
    <n v="7.0309999999999997E-2"/>
    <n v="-4673.62"/>
    <n v="-4664.07"/>
    <n v="126052.27"/>
    <n v="121388.2"/>
    <n v="2131151.6"/>
    <s v="Forecast"/>
  </r>
  <r>
    <x v="5"/>
    <x v="2"/>
    <s v="202411"/>
    <n v="16"/>
    <n v="2687064.67"/>
    <n v="-3.6206880334842623E-2"/>
    <s v="CohortAvg"/>
    <n v="-1.7386420835528181E-2"/>
    <s v="CohortAvg"/>
    <n v="0.1913089349612638"/>
    <s v="CohortAvg"/>
    <n v="2.0359602710990771E-2"/>
    <s v="CohortAvg_NonZero"/>
    <n v="3.6411328803804051E-6"/>
    <s v="CohortAvg"/>
    <n v="0"/>
    <s v="Zero"/>
    <n v="-1.1922413556507579E-2"/>
    <s v="CohortAvg"/>
    <n v="-1.0685009423449879E-4"/>
    <s v="CohortAvg"/>
    <n v="0"/>
    <n v="-97290.23"/>
    <n v="-46718.44"/>
    <n v="42838.29"/>
    <n v="54707.57"/>
    <n v="9.7799999999999994"/>
    <n v="-32036.3"/>
    <n v="-287.11"/>
    <n v="2531176.94"/>
    <n v="7.5951000000000005E-2"/>
    <n v="0.91979999999999995"/>
    <n v="6.9861999999999994E-2"/>
    <s v="DonorCohort:202101+Seasonal(0.920)"/>
    <n v="176834.21"/>
    <n v="214016.62"/>
    <n v="-37182.410000000003"/>
    <x v="1"/>
    <n v="54707.57"/>
    <n v="0.78500000000000003"/>
    <n v="0.24"/>
    <n v="42945.440000000002"/>
    <n v="42945.440000000002"/>
    <n v="13129.82"/>
    <n v="171071.18"/>
    <n v="2632357.1"/>
    <n v="6.4988000000000004E-2"/>
    <n v="5763.03"/>
    <n v="5772.82"/>
    <n v="110782.83"/>
    <n v="116555.64"/>
    <n v="2414621.2999999998"/>
    <s v="Forecast"/>
  </r>
  <r>
    <x v="5"/>
    <x v="2"/>
    <s v="202412"/>
    <n v="15"/>
    <n v="2330308.7599999998"/>
    <n v="-2.173974676005648E-2"/>
    <s v="CohortAvg"/>
    <n v="-1.6627934609716032E-2"/>
    <s v="CohortAvg"/>
    <n v="0.19094878774476001"/>
    <s v="CohortAvg"/>
    <n v="2.6727306073418219E-2"/>
    <s v="CohortAvg_NonZero"/>
    <n v="2.4927392990522372E-6"/>
    <s v="CohortAvg"/>
    <n v="0"/>
    <s v="Zero"/>
    <n v="-1.2368257595942589E-2"/>
    <s v="CohortAvg"/>
    <n v="-9.7599450081753522E-5"/>
    <s v="CohortAvg"/>
    <n v="0"/>
    <n v="-50660.32"/>
    <n v="-38748.22"/>
    <n v="37080.800000000003"/>
    <n v="62282.879999999997"/>
    <n v="5.81"/>
    <n v="-28821.86"/>
    <n v="-227.44"/>
    <n v="2215692.33"/>
    <n v="6.8154000000000006E-2"/>
    <n v="0.91979999999999995"/>
    <n v="6.2689999999999996E-2"/>
    <s v="DonorCohort:202101+Seasonal(0.920)"/>
    <n v="138902.09"/>
    <n v="152563.78"/>
    <n v="-13661.69"/>
    <x v="1"/>
    <n v="62282.879999999997"/>
    <n v="0.78500000000000003"/>
    <n v="0.24"/>
    <n v="48892.06"/>
    <n v="48892.06"/>
    <n v="14947.89"/>
    <n v="103671.72"/>
    <n v="2268025.88"/>
    <n v="4.5710000000000001E-2"/>
    <n v="35230.370000000003"/>
    <n v="35236.18"/>
    <n v="126122.82"/>
    <n v="161359"/>
    <n v="2054333.33"/>
    <s v="Forecast"/>
  </r>
  <r>
    <x v="5"/>
    <x v="2"/>
    <s v="202501"/>
    <n v="14"/>
    <n v="4196191.87"/>
    <n v="-2.9815270556616529E-2"/>
    <s v="CohortAvg"/>
    <n v="-1.7384974759264159E-2"/>
    <s v="CohortAvg"/>
    <n v="0.19247141192404749"/>
    <s v="CohortAvg"/>
    <n v="1.432729470151755E-2"/>
    <s v="CohortAvg_NonZero"/>
    <n v="1.157524001722281E-4"/>
    <s v="CohortAvg"/>
    <n v="0"/>
    <s v="Zero"/>
    <n v="-1.81473427507612E-2"/>
    <s v="CohortAvg"/>
    <n v="-1.5211725019284269E-4"/>
    <s v="CohortAvg"/>
    <n v="0"/>
    <n v="-125110.6"/>
    <n v="-72950.69"/>
    <n v="67303.91"/>
    <n v="60120.08"/>
    <n v="485.72"/>
    <n v="-76149.73"/>
    <n v="-638.30999999999995"/>
    <n v="4004828.7"/>
    <n v="5.6022000000000002E-2"/>
    <n v="0.91979999999999995"/>
    <n v="5.1531E-2"/>
    <s v="DonorCohort:202101+Seasonal(0.920)"/>
    <n v="206372.51"/>
    <n v="249963.58"/>
    <n v="-43591.07"/>
    <x v="1"/>
    <n v="60120.08"/>
    <n v="0.78500000000000003"/>
    <n v="0.24"/>
    <n v="47194.26"/>
    <n v="47194.26"/>
    <n v="14428.82"/>
    <n v="202769.32"/>
    <n v="4136071.79"/>
    <n v="4.9024999999999999E-2"/>
    <n v="3603.19"/>
    <n v="4088.91"/>
    <n v="121743.16"/>
    <n v="125832.07"/>
    <n v="3878996.63"/>
    <s v="Forecast"/>
  </r>
  <r>
    <x v="5"/>
    <x v="2"/>
    <s v="202502"/>
    <n v="13"/>
    <n v="4306187.96"/>
    <n v="-3.3683013434130972E-2"/>
    <s v="CohortAvg"/>
    <n v="-1.7595574367659031E-2"/>
    <s v="CohortAvg"/>
    <n v="0.19894264951810561"/>
    <s v="CohortAvg"/>
    <n v="7.9645373695133598E-3"/>
    <s v="CohortAvg_NonZero"/>
    <n v="0"/>
    <s v="CohortAvg"/>
    <n v="0"/>
    <s v="Zero"/>
    <n v="-2.9563445085487361E-2"/>
    <s v="CohortAvg"/>
    <n v="-2.702728133020815E-4"/>
    <s v="CohortAvg"/>
    <n v="0"/>
    <n v="-145045.39000000001"/>
    <n v="-75769.850000000006"/>
    <n v="71390.37"/>
    <n v="34296.79"/>
    <n v="0"/>
    <n v="-127305.75"/>
    <n v="-1163.8499999999999"/>
    <n v="4122466.3"/>
    <n v="5.0972999999999997E-2"/>
    <n v="0.91979999999999995"/>
    <n v="4.6886999999999998E-2"/>
    <s v="DonorCohort:202101+Seasonal(0.920)"/>
    <n v="193289.58"/>
    <n v="231518.03"/>
    <n v="-38228.449999999997"/>
    <x v="1"/>
    <n v="34296.79"/>
    <n v="0.78500000000000003"/>
    <n v="0.24"/>
    <n v="26922.98"/>
    <n v="26922.98"/>
    <n v="8231.23"/>
    <n v="204595.05"/>
    <n v="4271891.17"/>
    <n v="4.7892999999999998E-2"/>
    <n v="-11305.47"/>
    <n v="-11305.47"/>
    <n v="69451.009999999995"/>
    <n v="58145.54"/>
    <n v="4064320.76"/>
    <s v="Forecast"/>
  </r>
  <r>
    <x v="5"/>
    <x v="2"/>
    <s v="202503"/>
    <n v="12"/>
    <n v="5442736.54"/>
    <n v="-2.2704952900253591E-2"/>
    <s v="CohortAvg"/>
    <n v="-1.6938963883955799E-2"/>
    <s v="CohortAvg"/>
    <n v="0.2009772218358942"/>
    <s v="CohortAvg"/>
    <n v="7.1848262480383477E-3"/>
    <s v="CohortAvg_NonZero"/>
    <n v="1.3517342704410339E-7"/>
    <s v="CohortAvg"/>
    <n v="0"/>
    <s v="Zero"/>
    <n v="0"/>
    <s v="CohortAvg"/>
    <n v="0"/>
    <s v="CohortAvg"/>
    <n v="0"/>
    <n v="-123577.08"/>
    <n v="-92194.32"/>
    <n v="91155.51"/>
    <n v="39105.120000000003"/>
    <n v="0.74"/>
    <n v="0"/>
    <n v="0"/>
    <n v="5279014.8"/>
    <n v="4.6005999999999998E-2"/>
    <n v="0.91979999999999995"/>
    <n v="4.2318000000000001E-2"/>
    <s v="DonorCohort:202101+Seasonal(0.920)"/>
    <n v="223395.63"/>
    <n v="252185.43"/>
    <n v="-28789.8"/>
    <x v="1"/>
    <n v="39105.120000000003"/>
    <n v="0.78500000000000003"/>
    <n v="0.24"/>
    <n v="30697.52"/>
    <n v="30697.52"/>
    <n v="9385.23"/>
    <n v="221487.91"/>
    <n v="5403631.4299999997"/>
    <n v="4.0988999999999998E-2"/>
    <n v="1907.72"/>
    <n v="1908.45"/>
    <n v="79187.86"/>
    <n v="81096.31"/>
    <n v="5197918.49"/>
    <s v="Forecast"/>
  </r>
  <r>
    <x v="5"/>
    <x v="2"/>
    <s v="202504"/>
    <n v="11"/>
    <n v="6867190.8200000003"/>
    <n v="-2.4430673028015361E-2"/>
    <s v="CohortAvg"/>
    <n v="-1.6824280758904579E-2"/>
    <s v="CohortAvg"/>
    <n v="0.1963453183812961"/>
    <s v="CohortAvg"/>
    <n v="3.260907177009143E-3"/>
    <s v="CohortAvg_NonZero"/>
    <n v="0"/>
    <s v="CohortAvg"/>
    <n v="0"/>
    <s v="Zero"/>
    <n v="0"/>
    <s v="CohortAvg"/>
    <n v="0"/>
    <s v="CohortAvg"/>
    <n v="0"/>
    <n v="-167770.09"/>
    <n v="-115535.55"/>
    <n v="112361.73"/>
    <n v="22393.27"/>
    <n v="0"/>
    <n v="0"/>
    <n v="0"/>
    <n v="6673853.6399999997"/>
    <n v="3.9648000000000003E-2"/>
    <n v="0.91979999999999995"/>
    <n v="3.6470000000000002E-2"/>
    <s v="DonorCohort:202101+Seasonal(0.920)"/>
    <n v="243393.68"/>
    <n v="264048.57"/>
    <n v="-20654.900000000001"/>
    <x v="1"/>
    <n v="22393.27"/>
    <n v="0.78500000000000003"/>
    <n v="0.24"/>
    <n v="17578.72"/>
    <n v="17578.72"/>
    <n v="5374.39"/>
    <n v="246469.86"/>
    <n v="6844797.5499999998"/>
    <n v="3.6007999999999998E-2"/>
    <n v="-3076.18"/>
    <n v="-3076.18"/>
    <n v="45346.38"/>
    <n v="42270.2"/>
    <n v="6631583.4500000002"/>
    <s v="Forecast"/>
  </r>
  <r>
    <x v="5"/>
    <x v="2"/>
    <s v="202505"/>
    <n v="10"/>
    <n v="6681246.5099999998"/>
    <n v="-2.4386095398074039E-2"/>
    <s v="CohortAvg"/>
    <n v="-1.4733106864999859E-2"/>
    <s v="CohortAvg"/>
    <n v="0.1723572149260276"/>
    <s v="CohortAvg"/>
    <n v="0"/>
    <s v="CohortAvg_NoData_ERROR"/>
    <n v="0"/>
    <s v="CohortAvg"/>
    <n v="0"/>
    <s v="Zero"/>
    <n v="0"/>
    <s v="CohortAvg"/>
    <n v="0"/>
    <s v="CohortAvg"/>
    <n v="0"/>
    <n v="-162929.51"/>
    <n v="-98435.520000000004"/>
    <n v="95963.42"/>
    <n v="0"/>
    <n v="0"/>
    <n v="0"/>
    <n v="0"/>
    <n v="6515844.9000000004"/>
    <n v="3.2902000000000001E-2"/>
    <n v="0.91979999999999995"/>
    <n v="3.0265E-2"/>
    <s v="DonorCohort:202101+Seasonal(0.920)"/>
    <n v="197199.31"/>
    <n v="165350.28"/>
    <n v="31849.02"/>
    <x v="1"/>
    <n v="0"/>
    <n v="0.78500000000000003"/>
    <n v="0.24"/>
    <n v="0"/>
    <n v="0"/>
    <n v="0"/>
    <n v="165350.28"/>
    <n v="6681246.5099999998"/>
    <n v="2.4747999999999999E-2"/>
    <n v="31849.02"/>
    <n v="31849.02"/>
    <n v="0"/>
    <n v="31849.02"/>
    <n v="6483995.8700000001"/>
    <s v="Forecast"/>
  </r>
  <r>
    <x v="5"/>
    <x v="2"/>
    <s v="202506"/>
    <n v="9"/>
    <n v="6723439.1500000004"/>
    <n v="-1.714679243591425E-2"/>
    <s v="CohortAvg"/>
    <n v="-1.3886923166421761E-2"/>
    <s v="CohortAvg"/>
    <n v="0.16881636347208059"/>
    <s v="CohortAvg"/>
    <n v="0"/>
    <s v="CohortAvg_NoData_ERROR"/>
    <n v="0"/>
    <s v="CohortAvg"/>
    <n v="0"/>
    <s v="Zero"/>
    <n v="0"/>
    <s v="CohortAvg"/>
    <n v="0"/>
    <s v="CohortAvg"/>
    <n v="0"/>
    <n v="-115285.42"/>
    <n v="-93367.88"/>
    <n v="94585.55"/>
    <n v="0"/>
    <n v="0"/>
    <n v="0"/>
    <n v="0"/>
    <n v="6609371.4000000004"/>
    <n v="2.1177000000000001E-2"/>
    <n v="0.91979999999999995"/>
    <n v="1.9479E-2"/>
    <s v="DonorCohort:202101+Seasonal(0.920)"/>
    <n v="128747.13"/>
    <n v="121632.64"/>
    <n v="7114.48"/>
    <x v="1"/>
    <n v="0"/>
    <n v="0.78500000000000003"/>
    <n v="0.24"/>
    <n v="0"/>
    <n v="0"/>
    <n v="0"/>
    <n v="121632.64"/>
    <n v="6723439.1500000004"/>
    <n v="1.8090999999999999E-2"/>
    <n v="7114.48"/>
    <n v="7114.48"/>
    <n v="0"/>
    <n v="7114.48"/>
    <n v="6602256.9100000001"/>
    <s v="Forecast"/>
  </r>
  <r>
    <x v="5"/>
    <x v="2"/>
    <s v="202507"/>
    <n v="8"/>
    <n v="8403807.4499999993"/>
    <n v="-1.310797912981684E-2"/>
    <s v="CohortAvg"/>
    <n v="-1.3776407054608969E-2"/>
    <s v="CohortAvg"/>
    <n v="0.15179221627869929"/>
    <s v="CohortAvg"/>
    <n v="0"/>
    <s v="CohortAvg_NoData_ERROR"/>
    <n v="0"/>
    <s v="CohortAvg"/>
    <n v="0"/>
    <s v="Zero"/>
    <n v="0"/>
    <s v="CohortAvg"/>
    <n v="0"/>
    <s v="CohortAvg"/>
    <n v="0"/>
    <n v="-110156.93"/>
    <n v="-115774.27"/>
    <n v="106302.71"/>
    <n v="0"/>
    <n v="0"/>
    <n v="0"/>
    <n v="0"/>
    <n v="8284178.9500000002"/>
    <n v="1.5480000000000001E-2"/>
    <n v="0.91979999999999995"/>
    <n v="1.4239E-2"/>
    <s v="DonorCohort:202101+Seasonal(0.920)"/>
    <n v="117960.9"/>
    <n v="129430.73"/>
    <n v="-11469.83"/>
    <x v="1"/>
    <n v="0"/>
    <n v="0.78500000000000003"/>
    <n v="0.24"/>
    <n v="0"/>
    <n v="0"/>
    <n v="0"/>
    <n v="129430.73"/>
    <n v="8403807.4499999993"/>
    <n v="1.5401E-2"/>
    <n v="-11469.83"/>
    <n v="-11469.83"/>
    <n v="0"/>
    <n v="-11469.83"/>
    <n v="8295648.7800000003"/>
    <s v="Forecast"/>
  </r>
  <r>
    <x v="5"/>
    <x v="2"/>
    <s v="202508"/>
    <n v="7"/>
    <n v="7397772.4299999997"/>
    <n v="-1.366174655213255E-2"/>
    <s v="CohortAvg"/>
    <n v="-8.3571629452526691E-3"/>
    <s v="CohortAvg"/>
    <n v="0.13171207080737279"/>
    <s v="CohortAvg"/>
    <n v="0"/>
    <s v="CohortAvg_NoData_ERROR"/>
    <n v="2.4370359905983541E-5"/>
    <s v="CohortAvg"/>
    <n v="0"/>
    <s v="Zero"/>
    <n v="0"/>
    <s v="CohortAvg"/>
    <n v="0"/>
    <s v="CohortAvg"/>
    <n v="0"/>
    <n v="-101066.49"/>
    <n v="-61824.39"/>
    <n v="81197.990000000005"/>
    <n v="0"/>
    <n v="180.29"/>
    <n v="0"/>
    <n v="0"/>
    <n v="7315899.2599999998"/>
    <n v="1.3179E-2"/>
    <n v="0.91979999999999995"/>
    <n v="1.2122000000000001E-2"/>
    <s v="DonorCohort:202101+Seasonal(0.920)"/>
    <n v="88686.8"/>
    <n v="79875.97"/>
    <n v="8810.83"/>
    <x v="1"/>
    <n v="0"/>
    <n v="0.78500000000000003"/>
    <n v="0.24"/>
    <n v="0"/>
    <n v="0"/>
    <n v="0"/>
    <n v="79875.97"/>
    <n v="7397772.4299999997"/>
    <n v="1.0796999999999999E-2"/>
    <n v="8810.83"/>
    <n v="8991.1200000000008"/>
    <n v="0"/>
    <n v="8991.1200000000008"/>
    <n v="7306908.1399999997"/>
    <s v="Forecast"/>
  </r>
  <r>
    <x v="5"/>
    <x v="2"/>
    <s v="202509"/>
    <n v="6"/>
    <n v="7788736.6100000003"/>
    <n v="-0.1661297941352162"/>
    <s v="CohortAvg"/>
    <n v="-2.038333800130331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293941.21"/>
    <n v="-158760.45000000001"/>
    <n v="324530.69"/>
    <n v="0"/>
    <n v="0"/>
    <n v="0"/>
    <n v="0"/>
    <n v="6660565.6399999997"/>
    <n v="9.2390000000000007E-3"/>
    <n v="0.91979999999999995"/>
    <n v="8.4989999999999996E-3"/>
    <s v="DonorCohort:202101+Seasonal(0.920)"/>
    <n v="56605.19"/>
    <n v="58380.83"/>
    <n v="-1775.65"/>
    <x v="1"/>
    <n v="0"/>
    <n v="0.78500000000000003"/>
    <n v="0.24"/>
    <n v="0"/>
    <n v="0"/>
    <n v="0"/>
    <n v="58380.83"/>
    <n v="7788736.6100000003"/>
    <n v="7.4960000000000001E-3"/>
    <n v="-1775.65"/>
    <n v="-1775.65"/>
    <n v="0"/>
    <n v="-1775.65"/>
    <n v="6662341.29"/>
    <s v="Forecast"/>
  </r>
  <r>
    <x v="5"/>
    <x v="3"/>
    <s v="201912"/>
    <n v="75"/>
    <n v="56398.27"/>
    <n v="-7.4324830675788142E-3"/>
    <s v="CohortAvg"/>
    <n v="-6.556891834444584E-4"/>
    <s v="CohortAvg"/>
    <n v="0"/>
    <s v="CohortAvg"/>
    <n v="2.7405268668186961E-2"/>
    <s v="CohortAvg_NonZero"/>
    <n v="2.7677371793828611E-6"/>
    <s v="CohortAvg"/>
    <n v="0"/>
    <s v="Zero"/>
    <n v="0"/>
    <s v="CohortAvg"/>
    <n v="0"/>
    <s v="CohortAvg"/>
    <n v="0"/>
    <n v="-419.18"/>
    <n v="-36.979999999999997"/>
    <n v="0"/>
    <n v="1545.61"/>
    <n v="0.16"/>
    <n v="0"/>
    <n v="0"/>
    <n v="54396.35"/>
    <n v="0.98739100000000002"/>
    <n v="0.99629999999999996"/>
    <n v="0.98371200000000003"/>
    <s v="CohortAvg+Seasonal(0.996)"/>
    <n v="53510.33"/>
    <n v="59429.42"/>
    <n v="-5919.09"/>
    <x v="1"/>
    <n v="1545.61"/>
    <n v="0.78500000000000003"/>
    <n v="0.24"/>
    <n v="1213.3"/>
    <n v="1213.3"/>
    <n v="370.95"/>
    <n v="58216.11"/>
    <n v="54852.66"/>
    <n v="1.061318"/>
    <n v="-4705.78"/>
    <n v="-4705.63"/>
    <n v="3129.86"/>
    <n v="-1575.77"/>
    <n v="55972.11"/>
    <s v="Forecast"/>
  </r>
  <r>
    <x v="5"/>
    <x v="3"/>
    <s v="202001"/>
    <n v="74"/>
    <n v="245.74"/>
    <n v="-0.5"/>
    <s v="CohortAvg"/>
    <n v="-7.5348632173991036E-5"/>
    <s v="CohortAvg"/>
    <n v="0"/>
    <s v="CohortAvg"/>
    <n v="1.832524137262543E-2"/>
    <s v="CohortAvg_NonZero"/>
    <n v="0"/>
    <s v="CohortAvg"/>
    <n v="0"/>
    <s v="Zero"/>
    <n v="0"/>
    <s v="CohortAvg"/>
    <n v="0"/>
    <s v="CohortAvg"/>
    <n v="0"/>
    <n v="-122.87"/>
    <n v="-0.02"/>
    <n v="0"/>
    <n v="4.5"/>
    <n v="0"/>
    <n v="0"/>
    <n v="0"/>
    <n v="118.35"/>
    <n v="0.82822700000000005"/>
    <n v="0.99629999999999996"/>
    <n v="0.82514100000000001"/>
    <s v="CohortAvg+Seasonal(0.996)"/>
    <n v="97.65"/>
    <n v="218.35"/>
    <n v="-120.69"/>
    <x v="1"/>
    <n v="4.5"/>
    <n v="0.78500000000000003"/>
    <n v="0.24"/>
    <n v="3.54"/>
    <n v="3.54"/>
    <n v="1.08"/>
    <n v="214.81"/>
    <n v="241.23"/>
    <n v="0.89047100000000001"/>
    <n v="-117.16"/>
    <n v="-117.16"/>
    <n v="9.1199999999999992"/>
    <n v="-108.04"/>
    <n v="226.39"/>
    <s v="Forecast"/>
  </r>
  <r>
    <x v="5"/>
    <x v="3"/>
    <s v="202101"/>
    <n v="62"/>
    <n v="1256041.8600000001"/>
    <n v="-0.1063349938409527"/>
    <s v="CohortAvg"/>
    <n v="-8.6484019668765962E-3"/>
    <s v="CohortAvg"/>
    <n v="0.11118486640262649"/>
    <s v="CohortAvg"/>
    <n v="5.958381149767291E-3"/>
    <s v="CohortAvg_NonZero"/>
    <n v="0"/>
    <s v="CohortAvg"/>
    <n v="0"/>
    <s v="Zero"/>
    <n v="-6.1817050429843919E-4"/>
    <s v="CohortAvg"/>
    <n v="-6.6039514271727048E-6"/>
    <s v="CohortAvg"/>
    <n v="0"/>
    <n v="-133561.20000000001"/>
    <n v="-10862.75"/>
    <n v="11637.74"/>
    <n v="7483.98"/>
    <n v="0"/>
    <n v="-776.45"/>
    <n v="-8.2899999999999991"/>
    <n v="1115771.6599999999"/>
    <n v="0.27644800000000003"/>
    <n v="0.99629999999999996"/>
    <n v="0.275418"/>
    <s v="CohortAvg+Seasonal(0.996)"/>
    <n v="307303.61"/>
    <n v="372031.76"/>
    <n v="-64728.15"/>
    <x v="1"/>
    <n v="7483.98"/>
    <n v="0.78500000000000003"/>
    <n v="0.24"/>
    <n v="5874.92"/>
    <n v="5874.92"/>
    <n v="1796.15"/>
    <n v="366156.84"/>
    <n v="1248557.8799999999"/>
    <n v="0.29326400000000002"/>
    <n v="-58853.23"/>
    <n v="-58853.23"/>
    <n v="15155.05"/>
    <n v="-43698.18"/>
    <n v="1159469.8400000001"/>
    <s v="Forecast"/>
  </r>
  <r>
    <x v="5"/>
    <x v="3"/>
    <s v="202201"/>
    <n v="42"/>
    <n v="284603.93"/>
    <n v="-8.8770321111527495E-2"/>
    <s v="CohortAvg"/>
    <n v="-1.050123111568298E-2"/>
    <s v="CohortAvg"/>
    <n v="0.1139698749902651"/>
    <s v="CohortAvg"/>
    <n v="2.9974651890045459E-2"/>
    <s v="CohortAvg_NonZero"/>
    <n v="8.0673034342593588E-4"/>
    <s v="CohortAvg"/>
    <n v="0"/>
    <s v="Zero"/>
    <n v="-7.3232891325151225E-4"/>
    <s v="CohortAvg"/>
    <n v="-6.3110181721284124E-6"/>
    <s v="CohortAvg"/>
    <n v="0"/>
    <n v="-25264.38"/>
    <n v="-2988.69"/>
    <n v="2703.02"/>
    <n v="8530.9"/>
    <n v="229.6"/>
    <n v="-208.42"/>
    <n v="-1.8"/>
    <n v="250293.38"/>
    <n v="0.30469499999999999"/>
    <n v="0.99629999999999996"/>
    <n v="0.30355900000000002"/>
    <s v="CohortAvg+Seasonal(0.996)"/>
    <n v="75978.91"/>
    <n v="92098.43"/>
    <n v="-16119.52"/>
    <x v="1"/>
    <n v="8530.9"/>
    <n v="0.78500000000000003"/>
    <n v="0.24"/>
    <n v="6696.76"/>
    <n v="6696.76"/>
    <n v="2047.42"/>
    <n v="85401.67"/>
    <n v="276073.03000000003"/>
    <n v="0.30934400000000001"/>
    <n v="-9422.76"/>
    <n v="-9193.16"/>
    <n v="17275.080000000002"/>
    <n v="8081.92"/>
    <n v="242211.46"/>
    <s v="Forecast"/>
  </r>
  <r>
    <x v="5"/>
    <x v="3"/>
    <s v="202301"/>
    <n v="33"/>
    <n v="3273819.29"/>
    <n v="-7.0272570519138933E-2"/>
    <s v="CohortAvg"/>
    <n v="-1.6135004392669079E-2"/>
    <s v="CohortAvg"/>
    <n v="0.19139607139719739"/>
    <s v="CohortAvg"/>
    <n v="2.3604747859261688E-2"/>
    <s v="CohortAvg_NonZero"/>
    <n v="1.521369898746517E-5"/>
    <s v="CohortAvg"/>
    <n v="0"/>
    <s v="Zero"/>
    <n v="-2.6885179523443129E-3"/>
    <s v="CohortAvg"/>
    <n v="-2.0316529139537481E-5"/>
    <s v="CohortAvg"/>
    <n v="0"/>
    <n v="-230059.7"/>
    <n v="-52823.09"/>
    <n v="52216.35"/>
    <n v="77277.679999999993"/>
    <n v="49.81"/>
    <n v="-8801.7199999999993"/>
    <n v="-66.510000000000005"/>
    <n v="2965825.37"/>
    <n v="0.24404500000000001"/>
    <n v="0.99629999999999996"/>
    <n v="0.24313599999999999"/>
    <s v="CohortTrend+Seasonal(0.996)"/>
    <n v="721098.23999999999"/>
    <n v="822230.41"/>
    <n v="-101132.17"/>
    <x v="1"/>
    <n v="77277.679999999993"/>
    <n v="0.78500000000000003"/>
    <n v="0.24"/>
    <n v="60662.98"/>
    <n v="60662.98"/>
    <n v="18546.64"/>
    <n v="761567.43"/>
    <n v="3196541.61"/>
    <n v="0.23824699999999999"/>
    <n v="-40469.199999999997"/>
    <n v="-40419.39"/>
    <n v="156487.29999999999"/>
    <n v="116067.91"/>
    <n v="2849757.46"/>
    <s v="Forecast"/>
  </r>
  <r>
    <x v="5"/>
    <x v="3"/>
    <s v="202404"/>
    <n v="23"/>
    <n v="831040.37"/>
    <n v="-4.9635921201523249E-2"/>
    <s v="CohortAvg"/>
    <n v="-1.7509260879872299E-2"/>
    <s v="CohortAvg"/>
    <n v="0.1926971556819238"/>
    <s v="CohortAvg"/>
    <n v="5.9087502366677397E-2"/>
    <s v="CohortAvg_NonZero"/>
    <n v="4.9169721271967182E-6"/>
    <s v="CohortAvg"/>
    <n v="0"/>
    <s v="Zero"/>
    <n v="-1.084638945932228E-2"/>
    <s v="CohortAvg"/>
    <n v="-1.1997935475870079E-4"/>
    <s v="CohortAvg"/>
    <n v="0"/>
    <n v="-41249.449999999997"/>
    <n v="-14550.9"/>
    <n v="13344.93"/>
    <n v="49104.1"/>
    <n v="4.09"/>
    <n v="-9013.7900000000009"/>
    <n v="-99.71"/>
    <n v="739476.75"/>
    <n v="0.15484899999999999"/>
    <n v="0.99629999999999996"/>
    <n v="0.15427199999999999"/>
    <s v="CohortTrend+Seasonal(0.996)"/>
    <n v="114080.62"/>
    <n v="132807.19"/>
    <n v="-18726.580000000002"/>
    <x v="1"/>
    <n v="49104.1"/>
    <n v="0.78500000000000003"/>
    <n v="0.24"/>
    <n v="38546.720000000001"/>
    <n v="38546.720000000001"/>
    <n v="11784.98"/>
    <n v="94260.479999999996"/>
    <n v="781936.27"/>
    <n v="0.120548"/>
    <n v="19820.14"/>
    <n v="19824.23"/>
    <n v="99435.8"/>
    <n v="119260.03"/>
    <n v="620216.72"/>
    <s v="Forecast"/>
  </r>
  <r>
    <x v="5"/>
    <x v="3"/>
    <s v="202405"/>
    <n v="22"/>
    <n v="735577.52"/>
    <n v="-5.1863756758830308E-2"/>
    <s v="CohortAvg"/>
    <n v="-1.793911214110587E-2"/>
    <s v="CohortAvg"/>
    <n v="0.2010785823992399"/>
    <s v="CohortAvg"/>
    <n v="4.3705526872606537E-2"/>
    <s v="CohortAvg_NonZero"/>
    <n v="6.5310691381417337E-6"/>
    <s v="CohortAvg"/>
    <n v="0"/>
    <s v="Zero"/>
    <n v="-1.2376505041610159E-2"/>
    <s v="CohortAvg"/>
    <n v="-1.112028041747261E-4"/>
    <s v="CohortAvg"/>
    <n v="0"/>
    <n v="-38149.81"/>
    <n v="-13195.61"/>
    <n v="12325.74"/>
    <n v="32148.799999999999"/>
    <n v="4.8"/>
    <n v="-9103.8799999999992"/>
    <n v="-81.8"/>
    <n v="664404.23"/>
    <n v="0.13022"/>
    <n v="0.99629999999999996"/>
    <n v="0.12973399999999999"/>
    <s v="CohortTrend+Seasonal(0.996)"/>
    <n v="86196.11"/>
    <n v="99418.34"/>
    <n v="-13222.24"/>
    <x v="1"/>
    <n v="32148.799999999999"/>
    <n v="0.78500000000000003"/>
    <n v="0.24"/>
    <n v="25236.81"/>
    <n v="25236.81"/>
    <n v="7715.71"/>
    <n v="74181.53"/>
    <n v="703428.72"/>
    <n v="0.105457"/>
    <n v="12014.57"/>
    <n v="12019.38"/>
    <n v="65101.33"/>
    <n v="77120.7"/>
    <n v="587283.53"/>
    <s v="Forecast"/>
  </r>
  <r>
    <x v="5"/>
    <x v="3"/>
    <s v="202406"/>
    <n v="21"/>
    <n v="896433.08"/>
    <n v="-4.8467773955803171E-2"/>
    <s v="CohortAvg"/>
    <n v="-1.814107738357016E-2"/>
    <s v="CohortAvg"/>
    <n v="0.20404942540738971"/>
    <s v="CohortAvg"/>
    <n v="3.7514199364727538E-2"/>
    <s v="CohortAvg_NonZero"/>
    <n v="4.5699828428731653E-6"/>
    <s v="CohortAvg"/>
    <n v="0"/>
    <s v="Zero"/>
    <n v="-1.471406676341246E-2"/>
    <s v="CohortAvg"/>
    <n v="-1.2165775607831389E-4"/>
    <s v="CohortAvg"/>
    <n v="0"/>
    <n v="-43448.12"/>
    <n v="-16262.26"/>
    <n v="15243.05"/>
    <n v="33628.97"/>
    <n v="4.0999999999999996"/>
    <n v="-13190.18"/>
    <n v="-109.06"/>
    <n v="818332.69"/>
    <n v="0.103301"/>
    <n v="0.99629999999999996"/>
    <n v="0.10291599999999999"/>
    <s v="CohortTrend+Seasonal(0.996)"/>
    <n v="84219.31"/>
    <n v="96233.67"/>
    <n v="-12014.36"/>
    <x v="1"/>
    <n v="33628.97"/>
    <n v="0.78500000000000003"/>
    <n v="0.24"/>
    <n v="26398.74"/>
    <n v="26398.74"/>
    <n v="8070.95"/>
    <n v="69834.929999999993"/>
    <n v="862804.11"/>
    <n v="8.0938999999999997E-2"/>
    <n v="14384.38"/>
    <n v="14388.48"/>
    <n v="68098.66"/>
    <n v="82487.14"/>
    <n v="735845.55"/>
    <s v="Forecast"/>
  </r>
  <r>
    <x v="5"/>
    <x v="3"/>
    <s v="202407"/>
    <n v="20"/>
    <n v="839559.42"/>
    <n v="-6.5339687782032904E-2"/>
    <s v="CohortAvg"/>
    <n v="-1.8847786894216439E-2"/>
    <s v="CohortAvg"/>
    <n v="0.20816059522972649"/>
    <s v="CohortAvg"/>
    <n v="2.6240835975828089E-2"/>
    <s v="CohortAvg_NonZero"/>
    <n v="9.594357383499276E-6"/>
    <s v="CohortAvg"/>
    <n v="0"/>
    <s v="Zero"/>
    <n v="-1.740774803335211E-2"/>
    <s v="CohortAvg"/>
    <n v="-2.0391513755972941E-4"/>
    <s v="CohortAvg"/>
    <n v="0"/>
    <n v="-54856.55"/>
    <n v="-15823.84"/>
    <n v="14563.6"/>
    <n v="22030.74"/>
    <n v="8.06"/>
    <n v="-14614.84"/>
    <n v="-171.2"/>
    <n v="761403.84"/>
    <n v="8.6703000000000002E-2"/>
    <n v="0.99629999999999996"/>
    <n v="8.6379999999999998E-2"/>
    <s v="CohortTrend+Seasonal(0.996)"/>
    <n v="65770.28"/>
    <n v="64328.76"/>
    <n v="1441.52"/>
    <x v="1"/>
    <n v="22030.74"/>
    <n v="0.78500000000000003"/>
    <n v="0.24"/>
    <n v="17294.13"/>
    <n v="17294.13"/>
    <n v="5287.38"/>
    <n v="47034.63"/>
    <n v="817528.68"/>
    <n v="5.7533000000000001E-2"/>
    <n v="18735.650000000001"/>
    <n v="18743.71"/>
    <n v="44612.25"/>
    <n v="63355.96"/>
    <n v="698047.88"/>
    <s v="Forecast"/>
  </r>
  <r>
    <x v="5"/>
    <x v="3"/>
    <s v="202408"/>
    <n v="19"/>
    <n v="995646.86"/>
    <n v="-4.9050541439438877E-2"/>
    <s v="CohortAvg"/>
    <n v="-1.9191401687786741E-2"/>
    <s v="CohortAvg"/>
    <n v="0.2147641407308927"/>
    <s v="CohortAvg"/>
    <n v="3.0435031929870921E-2"/>
    <s v="CohortAvg_NonZero"/>
    <n v="7.9519050840432388E-6"/>
    <s v="CohortAvg"/>
    <n v="0"/>
    <s v="Zero"/>
    <n v="-1.33649621980732E-2"/>
    <s v="CohortAvg"/>
    <n v="-1.241783529128806E-4"/>
    <s v="CohortAvg"/>
    <n v="0"/>
    <n v="-48837.02"/>
    <n v="-19107.86"/>
    <n v="17819.099999999999"/>
    <n v="30302.54"/>
    <n v="7.92"/>
    <n v="-13306.78"/>
    <n v="-123.64"/>
    <n v="915210.62"/>
    <n v="7.1835999999999997E-2"/>
    <n v="0.99629999999999996"/>
    <n v="7.1568000000000007E-2"/>
    <s v="DonorCohort:202101+Seasonal(0.996)"/>
    <n v="65500.07"/>
    <n v="65497.08"/>
    <n v="2.99"/>
    <x v="1"/>
    <n v="30302.54"/>
    <n v="0.78500000000000003"/>
    <n v="0.24"/>
    <n v="23787.5"/>
    <n v="23787.5"/>
    <n v="7272.61"/>
    <n v="41709.58"/>
    <n v="965344.31"/>
    <n v="4.3207000000000002E-2"/>
    <n v="23790.49"/>
    <n v="23798.41"/>
    <n v="61362.65"/>
    <n v="85161.06"/>
    <n v="830049.57"/>
    <s v="Forecast"/>
  </r>
  <r>
    <x v="5"/>
    <x v="3"/>
    <s v="202409"/>
    <n v="18"/>
    <n v="841934.88"/>
    <n v="-6.9719041806900528E-2"/>
    <s v="CohortAvg"/>
    <n v="-1.9941759267693551E-2"/>
    <s v="CohortAvg"/>
    <n v="0.21153829650492731"/>
    <s v="CohortAvg"/>
    <n v="3.3164551638100608E-2"/>
    <s v="CohortAvg_NonZero"/>
    <n v="5.9101638565097681E-6"/>
    <s v="CohortAvg"/>
    <n v="0"/>
    <s v="Zero"/>
    <n v="-1.6571846683171531E-2"/>
    <s v="CohortAvg"/>
    <n v="-1.4329979765838959E-4"/>
    <s v="CohortAvg"/>
    <n v="0"/>
    <n v="-58698.89"/>
    <n v="-16789.66"/>
    <n v="14841.79"/>
    <n v="27922.39"/>
    <n v="4.9800000000000004"/>
    <n v="-13952.42"/>
    <n v="-120.65"/>
    <n v="753360.74"/>
    <n v="6.1674E-2"/>
    <n v="0.99629999999999996"/>
    <n v="6.1445E-2"/>
    <s v="DonorCohort:202101+Seasonal(0.996)"/>
    <n v="46289.94"/>
    <n v="52750.82"/>
    <n v="-6460.88"/>
    <x v="1"/>
    <n v="27922.39"/>
    <n v="0.78500000000000003"/>
    <n v="0.24"/>
    <n v="21919.08"/>
    <n v="21919.08"/>
    <n v="6701.37"/>
    <n v="30831.74"/>
    <n v="814012.49"/>
    <n v="3.7876E-2"/>
    <n v="15458.2"/>
    <n v="15463.18"/>
    <n v="56542.85"/>
    <n v="72006.02"/>
    <n v="681354.72"/>
    <s v="Forecast"/>
  </r>
  <r>
    <x v="5"/>
    <x v="3"/>
    <s v="202410"/>
    <n v="17"/>
    <n v="855553.03"/>
    <n v="-4.8841338883804729E-2"/>
    <s v="CohortAvg"/>
    <n v="-1.9795484079610931E-2"/>
    <s v="CohortAvg"/>
    <n v="0.21447243601666441"/>
    <s v="CohortAvg"/>
    <n v="3.4593371896889671E-2"/>
    <s v="CohortAvg_NonZero"/>
    <n v="3.6469713131210389E-6"/>
    <s v="CohortAvg"/>
    <n v="0"/>
    <s v="Zero"/>
    <n v="-2.3089657812106899E-2"/>
    <s v="CohortAvg"/>
    <n v="-2.086660081453839E-4"/>
    <s v="CohortAvg"/>
    <n v="0"/>
    <n v="-41786.36"/>
    <n v="-16936.09"/>
    <n v="15291.05"/>
    <n v="29596.46"/>
    <n v="3.12"/>
    <n v="-19754.43"/>
    <n v="-178.52"/>
    <n v="782522.05"/>
    <n v="5.8741000000000002E-2"/>
    <n v="0.99629999999999996"/>
    <n v="5.8521999999999998E-2"/>
    <s v="DonorCohort:202101+Seasonal(0.996)"/>
    <n v="45794.6"/>
    <n v="50087.71"/>
    <n v="-4293.1099999999997"/>
    <x v="1"/>
    <n v="29596.46"/>
    <n v="0.78500000000000003"/>
    <n v="0.24"/>
    <n v="23233.22"/>
    <n v="23233.22"/>
    <n v="7103.15"/>
    <n v="26854.48"/>
    <n v="825956.57"/>
    <n v="3.2513E-2"/>
    <n v="18940.12"/>
    <n v="18943.240000000002"/>
    <n v="59932.84"/>
    <n v="78876.08"/>
    <n v="703645.97"/>
    <s v="Forecast"/>
  </r>
  <r>
    <x v="5"/>
    <x v="3"/>
    <s v="202411"/>
    <n v="16"/>
    <n v="960774.83"/>
    <n v="-5.1851503317859371E-2"/>
    <s v="CohortAvg"/>
    <n v="-1.9977151394962221E-2"/>
    <s v="CohortAvg"/>
    <n v="0.22400873056798151"/>
    <s v="CohortAvg"/>
    <n v="2.745949555545385E-2"/>
    <s v="CohortAvg_NonZero"/>
    <n v="1.849244693263818E-6"/>
    <s v="CohortAvg"/>
    <n v="0"/>
    <s v="Zero"/>
    <n v="-2.7819986503661701E-2"/>
    <s v="CohortAvg"/>
    <n v="-2.6962947805682239E-4"/>
    <s v="CohortAvg"/>
    <n v="0"/>
    <n v="-49817.62"/>
    <n v="-19193.54"/>
    <n v="17935.16"/>
    <n v="26382.39"/>
    <n v="1.78"/>
    <n v="-26728.74"/>
    <n v="-259.05"/>
    <n v="883314.66"/>
    <n v="5.4886999999999998E-2"/>
    <n v="0.99629999999999996"/>
    <n v="5.4683000000000002E-2"/>
    <s v="DonorCohort:202101+Seasonal(0.996)"/>
    <n v="48302.17"/>
    <n v="52347.56"/>
    <n v="-4045.39"/>
    <x v="1"/>
    <n v="26382.39"/>
    <n v="0.78500000000000003"/>
    <n v="0.24"/>
    <n v="20710.18"/>
    <n v="20710.18"/>
    <n v="6331.77"/>
    <n v="31637.38"/>
    <n v="934392.44"/>
    <n v="3.3859E-2"/>
    <n v="16664.79"/>
    <n v="16666.57"/>
    <n v="53424.34"/>
    <n v="70090.91"/>
    <n v="813223.75"/>
    <s v="Forecast"/>
  </r>
  <r>
    <x v="5"/>
    <x v="3"/>
    <s v="202412"/>
    <n v="15"/>
    <n v="1023521.49"/>
    <n v="-5.0617952672524842E-2"/>
    <s v="CohortAvg"/>
    <n v="-2.0498533715113221E-2"/>
    <s v="CohortAvg"/>
    <n v="0.22439420150593661"/>
    <s v="CohortAvg"/>
    <n v="3.013002869577297E-2"/>
    <s v="CohortAvg_NonZero"/>
    <n v="4.7453943272259966E-6"/>
    <s v="CohortAvg"/>
    <n v="0"/>
    <s v="Zero"/>
    <n v="-4.4523510635846107E-2"/>
    <s v="CohortAvg"/>
    <n v="-4.7362356411459732E-4"/>
    <s v="CohortAvg"/>
    <n v="0"/>
    <n v="-51808.56"/>
    <n v="-20980.69"/>
    <n v="19139.36"/>
    <n v="30838.73"/>
    <n v="4.8600000000000003"/>
    <n v="-45570.77"/>
    <n v="-484.76"/>
    <n v="939028.01"/>
    <n v="5.1081000000000001E-2"/>
    <n v="0.99629999999999996"/>
    <n v="5.0890999999999999E-2"/>
    <s v="DonorCohort:202101+Seasonal(0.996)"/>
    <n v="47788.160000000003"/>
    <n v="47007.42"/>
    <n v="780.74"/>
    <x v="1"/>
    <n v="30838.73"/>
    <n v="0.78500000000000003"/>
    <n v="0.24"/>
    <n v="24208.400000000001"/>
    <n v="24208.400000000001"/>
    <n v="7401.3"/>
    <n v="22799.02"/>
    <n v="992682.76"/>
    <n v="2.2967000000000001E-2"/>
    <n v="24989.14"/>
    <n v="24994"/>
    <n v="62448.43"/>
    <n v="87442.43"/>
    <n v="851585.57"/>
    <s v="Forecast"/>
  </r>
  <r>
    <x v="5"/>
    <x v="3"/>
    <s v="202501"/>
    <n v="14"/>
    <n v="1662779.15"/>
    <n v="-5.1579171461904022E-2"/>
    <s v="CohortAvg"/>
    <n v="-2.068245812196378E-2"/>
    <s v="CohortAvg"/>
    <n v="0.22666262900749079"/>
    <s v="CohortAvg"/>
    <n v="1.310495562257916E-2"/>
    <s v="CohortAvg_NonZero"/>
    <n v="1.741058433215311E-5"/>
    <s v="CohortAvg"/>
    <n v="0"/>
    <s v="Zero"/>
    <n v="-4.4393125397058808E-2"/>
    <s v="CohortAvg"/>
    <n v="-4.8548770855694288E-4"/>
    <s v="CohortAvg"/>
    <n v="0"/>
    <n v="-85764.77"/>
    <n v="-34390.36"/>
    <n v="31407.49"/>
    <n v="21790.65"/>
    <n v="28.95"/>
    <n v="-73815.960000000006"/>
    <n v="-807.26"/>
    <n v="1552211.91"/>
    <n v="4.3057999999999999E-2"/>
    <n v="0.99629999999999996"/>
    <n v="4.2897999999999999E-2"/>
    <s v="DonorCohort:202101+Seasonal(0.996)"/>
    <n v="66586.7"/>
    <n v="67443.19"/>
    <n v="-856.49"/>
    <x v="1"/>
    <n v="21790.65"/>
    <n v="0.78500000000000003"/>
    <n v="0.24"/>
    <n v="17105.66"/>
    <n v="17105.66"/>
    <n v="5229.76"/>
    <n v="50337.53"/>
    <n v="1640988.5"/>
    <n v="3.0675000000000001E-2"/>
    <n v="16249.17"/>
    <n v="16278.12"/>
    <n v="44126.06"/>
    <n v="60404.18"/>
    <n v="1491807.73"/>
    <s v="Forecast"/>
  </r>
  <r>
    <x v="5"/>
    <x v="3"/>
    <s v="202502"/>
    <n v="13"/>
    <n v="1804844.69"/>
    <n v="-5.2618911443130488E-2"/>
    <s v="CohortAvg"/>
    <n v="-1.946336594033404E-2"/>
    <s v="CohortAvg"/>
    <n v="0.2307248695158331"/>
    <s v="CohortAvg"/>
    <n v="1.7468366292565631E-2"/>
    <s v="CohortAvg_NonZero"/>
    <n v="3.3243203927915427E-4"/>
    <s v="CohortAvg"/>
    <n v="0"/>
    <s v="Zero"/>
    <n v="-7.8341254019515388E-2"/>
    <s v="CohortAvg"/>
    <n v="-1.018685857649259E-3"/>
    <s v="CohortAvg"/>
    <n v="0"/>
    <n v="-94968.960000000006"/>
    <n v="-35128.35"/>
    <n v="34701.879999999997"/>
    <n v="31527.69"/>
    <n v="599.99"/>
    <n v="-141393.79999999999"/>
    <n v="-1838.57"/>
    <n v="1677321.58"/>
    <n v="3.8026999999999998E-2"/>
    <n v="0.99629999999999996"/>
    <n v="3.7885000000000002E-2"/>
    <s v="DonorCohort:202101+Seasonal(0.996)"/>
    <n v="63545.8"/>
    <n v="65136.34"/>
    <n v="-1590.54"/>
    <x v="1"/>
    <n v="31527.69"/>
    <n v="0.78500000000000003"/>
    <n v="0.24"/>
    <n v="24749.24"/>
    <n v="24749.24"/>
    <n v="7566.65"/>
    <n v="40387.11"/>
    <n v="1773317.01"/>
    <n v="2.2775E-2"/>
    <n v="23158.69"/>
    <n v="23758.68"/>
    <n v="63843.57"/>
    <n v="87602.25"/>
    <n v="1589719.33"/>
    <s v="Forecast"/>
  </r>
  <r>
    <x v="5"/>
    <x v="3"/>
    <s v="202503"/>
    <n v="12"/>
    <n v="2058903.96"/>
    <n v="-4.6056052400339581E-2"/>
    <s v="CohortAvg"/>
    <n v="-2.189439077134208E-2"/>
    <s v="CohortAvg"/>
    <n v="0.25452072010651278"/>
    <s v="CohortAvg"/>
    <n v="4.6176837495393924E-3"/>
    <s v="CohortAvg_NonZero"/>
    <n v="6.0235504510132433E-7"/>
    <s v="CohortAvg"/>
    <n v="0"/>
    <s v="Zero"/>
    <n v="0"/>
    <s v="CohortAvg"/>
    <n v="0"/>
    <s v="CohortAvg"/>
    <n v="0"/>
    <n v="-94824.99"/>
    <n v="-45078.45"/>
    <n v="43669.48"/>
    <n v="9507.3700000000008"/>
    <n v="1.24"/>
    <n v="0"/>
    <n v="0"/>
    <n v="1953161.39"/>
    <n v="3.3834999999999997E-2"/>
    <n v="0.99629999999999996"/>
    <n v="3.3709000000000003E-2"/>
    <s v="DonorCohort:202101+Seasonal(0.996)"/>
    <n v="65839.820000000007"/>
    <n v="62453.64"/>
    <n v="3386.19"/>
    <x v="1"/>
    <n v="9507.3700000000008"/>
    <n v="0.78500000000000003"/>
    <n v="0.24"/>
    <n v="7463.28"/>
    <n v="7463.28"/>
    <n v="2281.77"/>
    <n v="54990.36"/>
    <n v="2049396.59"/>
    <n v="2.6832000000000002E-2"/>
    <n v="10849.47"/>
    <n v="10850.71"/>
    <n v="19252.419999999998"/>
    <n v="30103.13"/>
    <n v="1923058.26"/>
    <s v="Forecast"/>
  </r>
  <r>
    <x v="5"/>
    <x v="3"/>
    <s v="202504"/>
    <n v="11"/>
    <n v="1789018.61"/>
    <n v="-5.5102601002356373E-2"/>
    <s v="CohortAvg"/>
    <n v="-2.190423426940908E-2"/>
    <s v="CohortAvg"/>
    <n v="0.25121516471158351"/>
    <s v="CohortAvg"/>
    <n v="2.1791689037598898E-3"/>
    <s v="CohortAvg_NonZero"/>
    <n v="5.3722888032977212E-7"/>
    <s v="CohortAvg"/>
    <n v="0"/>
    <s v="Zero"/>
    <n v="0"/>
    <s v="CohortAvg"/>
    <n v="0"/>
    <s v="CohortAvg"/>
    <n v="0"/>
    <n v="-98579.58"/>
    <n v="-39187.08"/>
    <n v="37452.379999999997"/>
    <n v="3898.57"/>
    <n v="0.96"/>
    <n v="0"/>
    <n v="0"/>
    <n v="1684804.79"/>
    <n v="2.8438999999999999E-2"/>
    <n v="0.99629999999999996"/>
    <n v="2.8333000000000001E-2"/>
    <s v="DonorCohort:202101+Seasonal(0.996)"/>
    <n v="47735.14"/>
    <n v="40775.85"/>
    <n v="6959.29"/>
    <x v="1"/>
    <n v="3898.57"/>
    <n v="0.78500000000000003"/>
    <n v="0.24"/>
    <n v="3060.38"/>
    <n v="3060.38"/>
    <n v="935.66"/>
    <n v="37715.47"/>
    <n v="1785120.03"/>
    <n v="2.1128000000000001E-2"/>
    <n v="10019.67"/>
    <n v="10020.629999999999"/>
    <n v="7894.61"/>
    <n v="17915.25"/>
    <n v="1666889.55"/>
    <s v="Forecast"/>
  </r>
  <r>
    <x v="5"/>
    <x v="3"/>
    <s v="202505"/>
    <n v="10"/>
    <n v="2088129.81"/>
    <n v="-4.388425143643828E-2"/>
    <s v="CohortAvg"/>
    <n v="-1.911578947092047E-2"/>
    <s v="CohortAvg"/>
    <n v="0.2163271600674265"/>
    <s v="CohortAvg"/>
    <n v="0"/>
    <s v="CohortAvg_NoData_ERROR"/>
    <n v="0"/>
    <s v="CohortAvg"/>
    <n v="0"/>
    <s v="Zero"/>
    <n v="0"/>
    <s v="CohortAvg"/>
    <n v="0"/>
    <s v="CohortAvg"/>
    <n v="0"/>
    <n v="-91636.01"/>
    <n v="-39916.25"/>
    <n v="37643.269999999997"/>
    <n v="0"/>
    <n v="0"/>
    <n v="0"/>
    <n v="0"/>
    <n v="1994220.81"/>
    <n v="2.1368999999999999E-2"/>
    <n v="0.99629999999999996"/>
    <n v="2.1288999999999999E-2"/>
    <s v="DonorCohort:202101+Seasonal(0.996)"/>
    <n v="42454.96"/>
    <n v="41441.68"/>
    <n v="1013.28"/>
    <x v="1"/>
    <n v="0"/>
    <n v="0.78500000000000003"/>
    <n v="0.24"/>
    <n v="0"/>
    <n v="0"/>
    <n v="0"/>
    <n v="41441.68"/>
    <n v="2088129.81"/>
    <n v="1.9845999999999999E-2"/>
    <n v="1013.28"/>
    <n v="1013.28"/>
    <n v="0"/>
    <n v="1013.28"/>
    <n v="1993207.53"/>
    <s v="Forecast"/>
  </r>
  <r>
    <x v="5"/>
    <x v="3"/>
    <s v="202506"/>
    <n v="9"/>
    <n v="2389925.9700000002"/>
    <n v="-4.5834613021573073E-2"/>
    <s v="CohortAvg"/>
    <n v="-1.9310546800788989E-2"/>
    <s v="CohortAvg"/>
    <n v="0.21858457963952971"/>
    <s v="CohortAvg"/>
    <n v="0"/>
    <s v="CohortAvg_NoData_ERROR"/>
    <n v="0"/>
    <s v="CohortAvg"/>
    <n v="0"/>
    <s v="Zero"/>
    <n v="0"/>
    <s v="CohortAvg"/>
    <n v="0"/>
    <s v="CohortAvg"/>
    <n v="0"/>
    <n v="-109541.33"/>
    <n v="-46150.78"/>
    <n v="43533.41"/>
    <n v="0"/>
    <n v="0"/>
    <n v="0"/>
    <n v="0"/>
    <n v="2277767.27"/>
    <n v="1.8606999999999999E-2"/>
    <n v="0.99629999999999996"/>
    <n v="1.8537000000000001E-2"/>
    <s v="DonorCohort:202101+Seasonal(0.996)"/>
    <n v="42223.69"/>
    <n v="41412.199999999997"/>
    <n v="811.49"/>
    <x v="1"/>
    <n v="0"/>
    <n v="0.78500000000000003"/>
    <n v="0.24"/>
    <n v="0"/>
    <n v="0"/>
    <n v="0"/>
    <n v="41412.199999999997"/>
    <n v="2389925.9700000002"/>
    <n v="1.7328E-2"/>
    <n v="811.49"/>
    <n v="811.49"/>
    <n v="0"/>
    <n v="811.49"/>
    <n v="2276955.7799999998"/>
    <s v="Forecast"/>
  </r>
  <r>
    <x v="5"/>
    <x v="3"/>
    <s v="202507"/>
    <n v="8"/>
    <n v="2892581.08"/>
    <n v="-3.1895069366266279E-2"/>
    <s v="CohortAvg"/>
    <n v="-1.915329417129779E-2"/>
    <s v="CohortAvg"/>
    <n v="0.20724321947163901"/>
    <s v="CohortAvg"/>
    <n v="0"/>
    <s v="CohortAvg_NoData_ERROR"/>
    <n v="0"/>
    <s v="CohortAvg"/>
    <n v="0"/>
    <s v="Zero"/>
    <n v="0"/>
    <s v="CohortAvg"/>
    <n v="0"/>
    <s v="CohortAvg"/>
    <n v="0"/>
    <n v="-92259.07"/>
    <n v="-55402.46"/>
    <n v="49955.65"/>
    <n v="0"/>
    <n v="0"/>
    <n v="0"/>
    <n v="0"/>
    <n v="2794875.2"/>
    <n v="1.6244999999999999E-2"/>
    <n v="0.99629999999999996"/>
    <n v="1.6185000000000001E-2"/>
    <s v="DonorCohort:202101+Seasonal(0.996)"/>
    <n v="45234.86"/>
    <n v="38316.879999999997"/>
    <n v="6917.98"/>
    <x v="1"/>
    <n v="0"/>
    <n v="0.78500000000000003"/>
    <n v="0.24"/>
    <n v="0"/>
    <n v="0"/>
    <n v="0"/>
    <n v="38316.879999999997"/>
    <n v="2892581.08"/>
    <n v="1.3247E-2"/>
    <n v="6917.98"/>
    <n v="6917.98"/>
    <n v="0"/>
    <n v="6917.98"/>
    <n v="2787957.22"/>
    <s v="Forecast"/>
  </r>
  <r>
    <x v="5"/>
    <x v="3"/>
    <s v="202508"/>
    <n v="7"/>
    <n v="3121566.76"/>
    <n v="-2.7433511573856661E-2"/>
    <s v="CohortAvg"/>
    <n v="-1.258110461140961E-2"/>
    <s v="CohortAvg"/>
    <n v="0.1715689374135323"/>
    <s v="CohortAvg"/>
    <n v="0"/>
    <s v="CohortAvg_NoData_ERROR"/>
    <n v="0"/>
    <s v="CohortAvg"/>
    <n v="0"/>
    <s v="Zero"/>
    <n v="0"/>
    <s v="CohortAvg"/>
    <n v="0"/>
    <s v="CohortAvg"/>
    <n v="0"/>
    <n v="-85635.54"/>
    <n v="-39272.76"/>
    <n v="44630.32"/>
    <n v="0"/>
    <n v="0"/>
    <n v="0"/>
    <n v="0"/>
    <n v="3041288.79"/>
    <n v="1.2418999999999999E-2"/>
    <n v="0.99629999999999996"/>
    <n v="1.2373E-2"/>
    <s v="DonorCohort:202101+Seasonal(0.996)"/>
    <n v="37629.57"/>
    <n v="35361.58"/>
    <n v="2268"/>
    <x v="1"/>
    <n v="0"/>
    <n v="0.78500000000000003"/>
    <n v="0.24"/>
    <n v="0"/>
    <n v="0"/>
    <n v="0"/>
    <n v="35361.58"/>
    <n v="3121566.76"/>
    <n v="1.1328E-2"/>
    <n v="2268"/>
    <n v="2268"/>
    <n v="0"/>
    <n v="2268"/>
    <n v="3039020.79"/>
    <s v="Forecast"/>
  </r>
  <r>
    <x v="5"/>
    <x v="3"/>
    <s v="202509"/>
    <n v="6"/>
    <n v="2964676.89"/>
    <n v="-0.16041638076909029"/>
    <s v="CohortAvg"/>
    <n v="-2.346890550291965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75582.74"/>
    <n v="-69577.72"/>
    <n v="123528.2"/>
    <n v="0"/>
    <n v="0"/>
    <n v="0"/>
    <n v="0"/>
    <n v="2543044.64"/>
    <n v="1.0621E-2"/>
    <n v="0.99629999999999996"/>
    <n v="1.0581E-2"/>
    <s v="DonorCohort:202101+Seasonal(0.996)"/>
    <n v="26907.91"/>
    <n v="21664.97"/>
    <n v="5242.94"/>
    <x v="1"/>
    <n v="0"/>
    <n v="0.78500000000000003"/>
    <n v="0.24"/>
    <n v="0"/>
    <n v="0"/>
    <n v="0"/>
    <n v="21664.97"/>
    <n v="2964676.89"/>
    <n v="7.3080000000000003E-3"/>
    <n v="5242.94"/>
    <n v="5242.94"/>
    <n v="0"/>
    <n v="5242.94"/>
    <n v="2537801.69"/>
    <s v="Forecast"/>
  </r>
  <r>
    <x v="5"/>
    <x v="4"/>
    <s v="202101"/>
    <n v="60"/>
    <n v="1711455.74"/>
    <n v="-0.13342793132988651"/>
    <s v="CohortAvg"/>
    <n v="-1.0730196832743861E-2"/>
    <s v="CohortAvg"/>
    <n v="0.1212527705139211"/>
    <s v="CohortAvg"/>
    <n v="5.6209864924870102E-2"/>
    <s v="CohortAvg_NonZero"/>
    <n v="0"/>
    <s v="CohortAvg"/>
    <n v="0"/>
    <s v="Zero"/>
    <n v="0"/>
    <s v="CohortAvg"/>
    <n v="0"/>
    <s v="CohortAvg"/>
    <n v="0"/>
    <n v="-228356"/>
    <n v="-18364.259999999998"/>
    <n v="17293.23"/>
    <n v="96200.7"/>
    <n v="0"/>
    <n v="0"/>
    <n v="0"/>
    <n v="1385828.01"/>
    <n v="0.16994899999999999"/>
    <n v="0.89980000000000004"/>
    <n v="0.15291299999999999"/>
    <s v="CohortAvg+Seasonal(0.900)"/>
    <n v="211911.12"/>
    <n v="347562.26"/>
    <n v="-135651.14000000001"/>
    <x v="1"/>
    <n v="96200.7"/>
    <n v="0.78500000000000003"/>
    <n v="0.24"/>
    <n v="75517.55"/>
    <n v="75517.55"/>
    <n v="23088.17"/>
    <n v="272044.71000000002"/>
    <n v="1615255.04"/>
    <n v="0.16842199999999999"/>
    <n v="-60133.59"/>
    <n v="-60133.59"/>
    <n v="194806.41"/>
    <n v="134672.82"/>
    <n v="1251155.2"/>
    <s v="Forecast"/>
  </r>
  <r>
    <x v="5"/>
    <x v="4"/>
    <s v="202201"/>
    <n v="42"/>
    <n v="71016.009999999995"/>
    <n v="-9.4180211416960036E-2"/>
    <s v="CohortAvg"/>
    <n v="-9.5235177866442502E-3"/>
    <s v="CohortAvg"/>
    <n v="0.10075188784984"/>
    <s v="CohortAvg"/>
    <n v="3.517592058526927E-2"/>
    <s v="CohortAvg_NonZero"/>
    <n v="1.6499019282099549E-8"/>
    <s v="CohortAvg"/>
    <n v="0"/>
    <s v="Zero"/>
    <n v="0"/>
    <s v="CohortAvg"/>
    <n v="0"/>
    <s v="CohortAvg"/>
    <n v="0"/>
    <n v="-6688.3"/>
    <n v="-676.32"/>
    <n v="596.25"/>
    <n v="2498.0500000000002"/>
    <n v="0"/>
    <n v="0"/>
    <n v="0"/>
    <n v="61749.58"/>
    <n v="3.8270999999999999E-2"/>
    <n v="0.89980000000000004"/>
    <n v="3.4435E-2"/>
    <s v="CohortAvg+Seasonal(0.900)"/>
    <n v="2126.3200000000002"/>
    <n v="3049.84"/>
    <n v="-923.52"/>
    <x v="1"/>
    <n v="2498.0500000000002"/>
    <n v="0.78500000000000003"/>
    <n v="0.24"/>
    <n v="1960.97"/>
    <n v="1960.97"/>
    <n v="599.53"/>
    <n v="1088.8699999999999"/>
    <n v="68517.95"/>
    <n v="1.5892E-2"/>
    <n v="1037.45"/>
    <n v="1037.45"/>
    <n v="5058.5600000000004"/>
    <n v="6096.01"/>
    <n v="55653.56"/>
    <s v="Forecast"/>
  </r>
  <r>
    <x v="5"/>
    <x v="4"/>
    <s v="202405"/>
    <n v="22"/>
    <n v="4437.82"/>
    <n v="-1.661680825414413E-2"/>
    <s v="CohortAvg"/>
    <n v="-1.0445690148651951E-2"/>
    <s v="CohortAvg"/>
    <n v="0.12158641865625899"/>
    <s v="CohortAvg"/>
    <n v="0"/>
    <s v="CohortAvg_NoData_ERROR"/>
    <n v="0"/>
    <s v="CohortAvg"/>
    <n v="0"/>
    <s v="Zero"/>
    <n v="0"/>
    <s v="CohortAvg"/>
    <n v="0"/>
    <s v="CohortAvg"/>
    <n v="0"/>
    <n v="-73.739999999999995"/>
    <n v="-46.36"/>
    <n v="44.96"/>
    <n v="0"/>
    <n v="0"/>
    <n v="0"/>
    <n v="0"/>
    <n v="4362.68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4437.82"/>
    <n v="0"/>
    <n v="0"/>
    <n v="0"/>
    <n v="0"/>
    <n v="0"/>
    <n v="4362.68"/>
    <s v="Forecast"/>
  </r>
  <r>
    <x v="5"/>
    <x v="4"/>
    <s v="202407"/>
    <n v="20"/>
    <n v="2371.46"/>
    <n v="-5.2615033073369552E-2"/>
    <s v="CohortAvg"/>
    <n v="-1.0482254643269861E-2"/>
    <s v="CohortAvg"/>
    <n v="0.1205112038251475"/>
    <s v="CohortAvg"/>
    <n v="0"/>
    <s v="CohortAvg_NoData_ERROR"/>
    <n v="0"/>
    <s v="CohortAvg"/>
    <n v="0"/>
    <s v="Zero"/>
    <n v="0"/>
    <s v="CohortAvg"/>
    <n v="0"/>
    <s v="CohortAvg"/>
    <n v="0"/>
    <n v="-124.77"/>
    <n v="-24.86"/>
    <n v="23.82"/>
    <n v="0"/>
    <n v="0"/>
    <n v="0"/>
    <n v="0"/>
    <n v="2245.64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2371.46"/>
    <n v="0"/>
    <n v="0"/>
    <n v="0"/>
    <n v="0"/>
    <n v="0"/>
    <n v="2245.64"/>
    <s v="Forecast"/>
  </r>
  <r>
    <x v="5"/>
    <x v="4"/>
    <s v="202409"/>
    <n v="18"/>
    <n v="8213.85"/>
    <n v="-4.2780629044268069E-2"/>
    <s v="CohortAvg"/>
    <n v="-1.045199958113553E-2"/>
    <s v="CohortAvg"/>
    <n v="0.120849015821216"/>
    <s v="CohortAvg"/>
    <n v="0"/>
    <s v="CohortAvg_NoData_ERROR"/>
    <n v="0"/>
    <s v="CohortAvg"/>
    <n v="0"/>
    <s v="Zero"/>
    <n v="0"/>
    <s v="CohortAvg"/>
    <n v="0"/>
    <s v="CohortAvg"/>
    <n v="0"/>
    <n v="-351.39"/>
    <n v="-85.85"/>
    <n v="82.72"/>
    <n v="0"/>
    <n v="0"/>
    <n v="0"/>
    <n v="0"/>
    <n v="7859.32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8213.85"/>
    <n v="0"/>
    <n v="0"/>
    <n v="0"/>
    <n v="0"/>
    <n v="0"/>
    <n v="7859.32"/>
    <s v="Forecast"/>
  </r>
  <r>
    <x v="5"/>
    <x v="4"/>
    <s v="202504"/>
    <n v="11"/>
    <n v="4365.43"/>
    <n v="-1.2949988323824021E-2"/>
    <s v="CohortAvg"/>
    <n v="-1.042993079995906E-2"/>
    <s v="CohortAvg"/>
    <n v="0.1247356199050455"/>
    <s v="CohortAvg"/>
    <n v="0"/>
    <s v="CohortAvg_NoData_ERROR"/>
    <n v="0"/>
    <s v="CohortAvg"/>
    <n v="0"/>
    <s v="Zero"/>
    <n v="0"/>
    <s v="CohortAvg"/>
    <n v="0"/>
    <s v="CohortAvg"/>
    <n v="0"/>
    <n v="-56.53"/>
    <n v="-45.53"/>
    <n v="45.38"/>
    <n v="0"/>
    <n v="0"/>
    <n v="0"/>
    <n v="0"/>
    <n v="4308.74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4365.43"/>
    <n v="0"/>
    <n v="0"/>
    <n v="0"/>
    <n v="0"/>
    <n v="0"/>
    <n v="4308.74"/>
    <s v="Forecast"/>
  </r>
  <r>
    <x v="5"/>
    <x v="4"/>
    <s v="202507"/>
    <n v="8"/>
    <n v="9634.51"/>
    <n v="-9.3740620824855504E-3"/>
    <s v="CohortAvg"/>
    <n v="-9.266175427924607E-3"/>
    <s v="CohortAvg"/>
    <n v="0.1102601609612841"/>
    <s v="CohortAvg"/>
    <n v="0"/>
    <s v="CohortAvg_NoData_ERROR"/>
    <n v="0"/>
    <s v="CohortAvg"/>
    <n v="0"/>
    <s v="Zero"/>
    <n v="0"/>
    <s v="CohortAvg"/>
    <n v="0"/>
    <s v="CohortAvg"/>
    <n v="0"/>
    <n v="-90.31"/>
    <n v="-89.28"/>
    <n v="88.53"/>
    <n v="0"/>
    <n v="0"/>
    <n v="0"/>
    <n v="0"/>
    <n v="9543.4500000000007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9634.51"/>
    <n v="0"/>
    <n v="0"/>
    <n v="0"/>
    <n v="0"/>
    <n v="0"/>
    <n v="9543.4500000000007"/>
    <s v="Forecast"/>
  </r>
  <r>
    <x v="5"/>
    <x v="4"/>
    <s v="202508"/>
    <n v="7"/>
    <n v="30047.61"/>
    <n v="-5.2401064541442496E-3"/>
    <s v="CohortAvg"/>
    <n v="-2.697009357732429E-3"/>
    <s v="CohortAvg"/>
    <n v="9.4023015311820182E-2"/>
    <s v="CohortAvg"/>
    <n v="0"/>
    <s v="CohortAvg_NoData_ERROR"/>
    <n v="0"/>
    <s v="CohortAvg"/>
    <n v="0"/>
    <s v="Zero"/>
    <n v="0"/>
    <s v="CohortAvg"/>
    <n v="0"/>
    <s v="CohortAvg"/>
    <n v="0"/>
    <n v="-157.44999999999999"/>
    <n v="-81.040000000000006"/>
    <n v="235.43"/>
    <n v="0"/>
    <n v="0"/>
    <n v="0"/>
    <n v="0"/>
    <n v="30044.55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30047.61"/>
    <n v="0"/>
    <n v="0"/>
    <n v="0"/>
    <n v="0"/>
    <n v="0"/>
    <n v="30044.55"/>
    <s v="Forecast"/>
  </r>
  <r>
    <x v="5"/>
    <x v="4"/>
    <s v="202509"/>
    <n v="6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6"/>
    <x v="0"/>
    <s v="201912"/>
    <n v="76"/>
    <n v="345310.58"/>
    <n v="1.5236838232769599E-3"/>
    <s v="CohortAvg"/>
    <n v="1.625571175958432E-3"/>
    <s v="CohortAvg"/>
    <n v="0"/>
    <s v="CohortAvg"/>
    <n v="2.890633638349218E-2"/>
    <s v="CohortAvg_NonZero"/>
    <n v="2.4930536381232549E-4"/>
    <s v="CohortAvg"/>
    <n v="0"/>
    <s v="Zero"/>
    <n v="0"/>
    <s v="CohortAvg"/>
    <n v="0"/>
    <s v="CohortAvg"/>
    <n v="0"/>
    <n v="526.14"/>
    <n v="561.33000000000004"/>
    <n v="0"/>
    <n v="0"/>
    <n v="86.09"/>
    <n v="0"/>
    <n v="0"/>
    <n v="344137.02"/>
    <n v="0.99814899999999995"/>
    <n v="0.98370000000000002"/>
    <n v="0.98191399999999995"/>
    <s v="CohortAvg+Seasonal(0.984)"/>
    <n v="337913.06"/>
    <n v="328554.05"/>
    <n v="9359.01"/>
    <x v="0"/>
    <n v="0"/>
    <n v="0.78500000000000003"/>
    <n v="0.24"/>
    <n v="0"/>
    <n v="0"/>
    <n v="0"/>
    <n v="328554.05"/>
    <n v="345310.58"/>
    <n v="0.95147400000000004"/>
    <n v="9359.01"/>
    <n v="9445.1"/>
    <n v="0"/>
    <n v="9445.1"/>
    <n v="334691.92"/>
    <s v="Forecast"/>
  </r>
  <r>
    <x v="6"/>
    <x v="0"/>
    <s v="202001"/>
    <n v="75"/>
    <n v="77421.94"/>
    <n v="3.7379295574611067E-2"/>
    <s v="CohortAvg"/>
    <n v="1.6085220109093379E-3"/>
    <s v="CohortAvg"/>
    <n v="0"/>
    <s v="CohortAvg"/>
    <n v="1.363260146776552E-2"/>
    <s v="CohortAvg_NonZero"/>
    <n v="0"/>
    <s v="CohortAvg"/>
    <n v="0"/>
    <s v="Zero"/>
    <n v="0"/>
    <s v="CohortAvg"/>
    <n v="0"/>
    <s v="CohortAvg"/>
    <n v="0"/>
    <n v="2893.98"/>
    <n v="124.53"/>
    <n v="0"/>
    <n v="0"/>
    <n v="0"/>
    <n v="0"/>
    <n v="0"/>
    <n v="74403.429999999993"/>
    <n v="0.99871200000000004"/>
    <n v="0.98370000000000002"/>
    <n v="0.98246900000000004"/>
    <s v="CohortAvg+Seasonal(0.984)"/>
    <n v="73099.03"/>
    <n v="73795.820000000007"/>
    <n v="-696.8"/>
    <x v="0"/>
    <n v="0"/>
    <n v="0.78500000000000003"/>
    <n v="0.24"/>
    <n v="0"/>
    <n v="0"/>
    <n v="0"/>
    <n v="73795.820000000007"/>
    <n v="77421.94"/>
    <n v="0.95316400000000001"/>
    <n v="-696.8"/>
    <n v="-696.8"/>
    <n v="0"/>
    <n v="-696.8"/>
    <n v="75100.23"/>
    <s v="Forecast"/>
  </r>
  <r>
    <x v="6"/>
    <x v="0"/>
    <s v="202101"/>
    <n v="63"/>
    <n v="772346.88"/>
    <n v="-2.5240386112469729E-3"/>
    <s v="CohortAvg"/>
    <n v="-1.7558454998771449E-3"/>
    <s v="CohortAvg"/>
    <n v="0"/>
    <s v="CohortAvg"/>
    <n v="1.473193478956477E-2"/>
    <s v="CohortAvg_NonZero"/>
    <n v="2.1455745925798349E-4"/>
    <s v="CohortAvg"/>
    <n v="0"/>
    <s v="Zero"/>
    <n v="0"/>
    <s v="CohortAvg"/>
    <n v="0"/>
    <s v="CohortAvg"/>
    <n v="0"/>
    <n v="-1949.43"/>
    <n v="-1356.12"/>
    <n v="0"/>
    <n v="0"/>
    <n v="165.71"/>
    <n v="0"/>
    <n v="0"/>
    <n v="768875.61"/>
    <n v="0.94043600000000005"/>
    <n v="0.98370000000000002"/>
    <n v="0.92513999999999996"/>
    <s v="CohortAvg+Seasonal(0.984)"/>
    <n v="711317.86"/>
    <n v="697760.78"/>
    <n v="13557.08"/>
    <x v="0"/>
    <n v="0"/>
    <n v="0.78500000000000003"/>
    <n v="0.24"/>
    <n v="0"/>
    <n v="0"/>
    <n v="0"/>
    <n v="697760.78"/>
    <n v="772346.88"/>
    <n v="0.90342900000000004"/>
    <n v="13557.08"/>
    <n v="13722.79"/>
    <n v="0"/>
    <n v="13722.79"/>
    <n v="755152.81"/>
    <s v="Forecast"/>
  </r>
  <r>
    <x v="6"/>
    <x v="0"/>
    <s v="202201"/>
    <n v="43"/>
    <n v="553907.06000000006"/>
    <n v="-0.1147731582674236"/>
    <s v="CohortAvg"/>
    <n v="-7.0350250925020376E-3"/>
    <s v="CohortAvg"/>
    <n v="3.6808657939809607E-2"/>
    <s v="CohortAvg"/>
    <n v="4.0211556229672159E-2"/>
    <s v="CohortAvg_NonZero"/>
    <n v="4.0719782665852352E-3"/>
    <s v="CohortAvg"/>
    <n v="0"/>
    <s v="Zero"/>
    <n v="-3.1645763012236241E-4"/>
    <s v="CohortAvg"/>
    <n v="-6.9973447524606771E-6"/>
    <s v="CohortAvg"/>
    <n v="0"/>
    <n v="-63573.66"/>
    <n v="-3896.75"/>
    <n v="1699.05"/>
    <n v="0"/>
    <n v="2255.5"/>
    <n v="-175.29"/>
    <n v="-3.88"/>
    <n v="485880.2"/>
    <n v="0.58341699999999996"/>
    <n v="0.98370000000000002"/>
    <n v="0.57392799999999999"/>
    <s v="CohortAvg+Seasonal(0.984)"/>
    <n v="278860.07"/>
    <n v="310468.2"/>
    <n v="-31608.13"/>
    <x v="0"/>
    <n v="0"/>
    <n v="0.78500000000000003"/>
    <n v="0.24"/>
    <n v="0"/>
    <n v="0"/>
    <n v="0"/>
    <n v="310468.2"/>
    <n v="553907.06000000006"/>
    <n v="0.56050599999999995"/>
    <n v="-31608.13"/>
    <n v="-29352.63"/>
    <n v="0"/>
    <n v="-29352.63"/>
    <n v="515232.83"/>
    <s v="Forecast"/>
  </r>
  <r>
    <x v="6"/>
    <x v="0"/>
    <s v="202301"/>
    <n v="34"/>
    <n v="4030207.89"/>
    <n v="-7.0366644805832518E-2"/>
    <s v="CohortAvg"/>
    <n v="-1.712838818898255E-2"/>
    <s v="CohortAvg"/>
    <n v="0.2061344891030823"/>
    <s v="CohortAvg"/>
    <n v="6.189489105719511E-2"/>
    <s v="CohortAvg_NonZero"/>
    <n v="1.408657406057955E-4"/>
    <s v="CohortAvg"/>
    <n v="0"/>
    <s v="Zero"/>
    <n v="-5.25950880952021E-3"/>
    <s v="CohortAvg"/>
    <n v="-7.8594533235840425E-5"/>
    <s v="CohortAvg"/>
    <n v="0"/>
    <n v="-283592.21000000002"/>
    <n v="-69030.97"/>
    <n v="69230.399999999994"/>
    <n v="0"/>
    <n v="567.72"/>
    <n v="-21196.91"/>
    <n v="-316.75"/>
    <n v="3746247.4"/>
    <n v="0.54925800000000002"/>
    <n v="0.98370000000000002"/>
    <n v="0.54032400000000003"/>
    <s v="CohortTrend+Seasonal(0.984)"/>
    <n v="2024189.03"/>
    <n v="2046840.46"/>
    <n v="-22651.42"/>
    <x v="0"/>
    <n v="0"/>
    <n v="0.78500000000000003"/>
    <n v="0.24"/>
    <n v="0"/>
    <n v="0"/>
    <n v="0"/>
    <n v="2046840.46"/>
    <n v="4030207.89"/>
    <n v="0.50787499999999997"/>
    <n v="-22651.42"/>
    <n v="-22083.7"/>
    <n v="0"/>
    <n v="-22083.7"/>
    <n v="3768331.11"/>
    <s v="Forecast"/>
  </r>
  <r>
    <x v="6"/>
    <x v="0"/>
    <s v="202404"/>
    <n v="24"/>
    <n v="733503.41"/>
    <n v="-7.156383547552482E-2"/>
    <s v="CohortAvg"/>
    <n v="-2.417016676422391E-2"/>
    <s v="CohortAvg"/>
    <n v="0.2561388784752382"/>
    <s v="CohortAvg"/>
    <n v="0.1053402926245379"/>
    <s v="CohortAvg_NonZero"/>
    <n v="1.033877723127178E-4"/>
    <s v="CohortAvg"/>
    <n v="0"/>
    <s v="Zero"/>
    <n v="-8.1987191863606562E-3"/>
    <s v="CohortAvg"/>
    <n v="-3.3021950058110959E-5"/>
    <s v="CohortAvg"/>
    <n v="0"/>
    <n v="-52492.32"/>
    <n v="-17728.900000000001"/>
    <n v="15656.56"/>
    <n v="0"/>
    <n v="75.84"/>
    <n v="-6013.79"/>
    <n v="-24.22"/>
    <n v="678862.92"/>
    <n v="0.35108"/>
    <n v="0.98370000000000002"/>
    <n v="0.34537000000000001"/>
    <s v="CohortTrend+Seasonal(0.984)"/>
    <n v="234458.86"/>
    <n v="238938.69"/>
    <n v="-4479.84"/>
    <x v="0"/>
    <n v="0"/>
    <n v="0.78500000000000003"/>
    <n v="0.24"/>
    <n v="0"/>
    <n v="0"/>
    <n v="0"/>
    <n v="238938.69"/>
    <n v="733503.41"/>
    <n v="0.32574999999999998"/>
    <n v="-4479.84"/>
    <n v="-4404"/>
    <n v="0"/>
    <n v="-4404"/>
    <n v="683266.92"/>
    <s v="Forecast"/>
  </r>
  <r>
    <x v="6"/>
    <x v="0"/>
    <s v="202405"/>
    <n v="23"/>
    <n v="954409.46"/>
    <n v="-6.0486386240102323E-2"/>
    <s v="CohortAvg"/>
    <n v="-2.435434253635407E-2"/>
    <s v="CohortAvg"/>
    <n v="0.26433890847920999"/>
    <s v="CohortAvg"/>
    <n v="0.1024498320403829"/>
    <s v="CohortAvg_NonZero"/>
    <n v="1.538497635601575E-4"/>
    <s v="CohortAvg"/>
    <n v="0"/>
    <s v="Zero"/>
    <n v="-1.2170866342346249E-2"/>
    <s v="CohortAvg"/>
    <n v="-2.1846135782021791E-4"/>
    <s v="CohortAvg"/>
    <n v="0"/>
    <n v="-57728.78"/>
    <n v="-23244.01"/>
    <n v="21023.96"/>
    <n v="0"/>
    <n v="146.84"/>
    <n v="-11615.99"/>
    <n v="-208.5"/>
    <n v="894313.79"/>
    <n v="0.31689899999999999"/>
    <n v="0.98370000000000002"/>
    <n v="0.31174499999999999"/>
    <s v="CohortTrend+Seasonal(0.984)"/>
    <n v="278797.90000000002"/>
    <n v="282054.56"/>
    <n v="-3256.66"/>
    <x v="0"/>
    <n v="0"/>
    <n v="0.78500000000000003"/>
    <n v="0.24"/>
    <n v="0"/>
    <n v="0"/>
    <n v="0"/>
    <n v="282054.56"/>
    <n v="954409.46"/>
    <n v="0.29552800000000001"/>
    <n v="-3256.66"/>
    <n v="-3109.82"/>
    <n v="0"/>
    <n v="-3109.82"/>
    <n v="897423.62"/>
    <s v="Forecast"/>
  </r>
  <r>
    <x v="6"/>
    <x v="0"/>
    <s v="202406"/>
    <n v="22"/>
    <n v="1410247.89"/>
    <n v="-5.6171830092995471E-2"/>
    <s v="CohortAvg"/>
    <n v="-2.556844330791179E-2"/>
    <s v="CohortAvg"/>
    <n v="0.28298029735234359"/>
    <s v="CohortAvg"/>
    <n v="6.5239653967083103E-2"/>
    <s v="CohortAvg_NonZero"/>
    <n v="2.5340802680660981E-5"/>
    <s v="CohortAvg"/>
    <n v="0"/>
    <s v="Zero"/>
    <n v="-1.0730550607538209E-2"/>
    <s v="CohortAvg"/>
    <n v="-2.251233234629667E-4"/>
    <s v="CohortAvg"/>
    <n v="0"/>
    <n v="-79216.2"/>
    <n v="-36057.839999999997"/>
    <n v="33256.03"/>
    <n v="0"/>
    <n v="35.74"/>
    <n v="-15132.74"/>
    <n v="-317.48"/>
    <n v="1328194.1299999999"/>
    <n v="0.27720099999999998"/>
    <n v="0.98370000000000002"/>
    <n v="0.27269300000000002"/>
    <s v="CohortTrend+Seasonal(0.984)"/>
    <n v="362189.08"/>
    <n v="363431.86"/>
    <n v="-1242.78"/>
    <x v="0"/>
    <n v="0"/>
    <n v="0.78500000000000003"/>
    <n v="0.24"/>
    <n v="0"/>
    <n v="0"/>
    <n v="0"/>
    <n v="363431.86"/>
    <n v="1410247.89"/>
    <n v="0.25770799999999999"/>
    <n v="-1242.78"/>
    <n v="-1207.04"/>
    <n v="0"/>
    <n v="-1207.04"/>
    <n v="1329401.18"/>
    <s v="Forecast"/>
  </r>
  <r>
    <x v="6"/>
    <x v="0"/>
    <s v="202407"/>
    <n v="21"/>
    <n v="1485736.68"/>
    <n v="-5.4040778870742573E-2"/>
    <s v="CohortAvg"/>
    <n v="-2.6793313858874221E-2"/>
    <s v="CohortAvg"/>
    <n v="0.29149687500291599"/>
    <s v="CohortAvg"/>
    <n v="7.2466373996299779E-2"/>
    <s v="CohortAvg_NonZero"/>
    <n v="3.4329874032047458E-5"/>
    <s v="CohortAvg"/>
    <n v="0"/>
    <s v="Zero"/>
    <n v="-1.33030951739318E-2"/>
    <s v="CohortAvg"/>
    <n v="-1.046177829686653E-4"/>
    <s v="CohortAvg"/>
    <n v="0"/>
    <n v="-80290.37"/>
    <n v="-39807.81"/>
    <n v="36090.629999999997"/>
    <n v="0"/>
    <n v="51.01"/>
    <n v="-19764.900000000001"/>
    <n v="-155.43"/>
    <n v="1401678.14"/>
    <n v="0.24401700000000001"/>
    <n v="0.98370000000000002"/>
    <n v="0.24004800000000001"/>
    <s v="CohortTrend+Seasonal(0.984)"/>
    <n v="336470.65"/>
    <n v="338894.68"/>
    <n v="-2424.04"/>
    <x v="0"/>
    <n v="0"/>
    <n v="0.78500000000000003"/>
    <n v="0.24"/>
    <n v="0"/>
    <n v="0"/>
    <n v="0"/>
    <n v="338894.68"/>
    <n v="1485736.68"/>
    <n v="0.228099"/>
    <n v="-2424.04"/>
    <n v="-2373.0300000000002"/>
    <n v="0"/>
    <n v="-2373.0300000000002"/>
    <n v="1404051.17"/>
    <s v="Forecast"/>
  </r>
  <r>
    <x v="6"/>
    <x v="0"/>
    <s v="202408"/>
    <n v="20"/>
    <n v="1428393.03"/>
    <n v="-6.4947174938522423E-2"/>
    <s v="CohortAvg"/>
    <n v="-2.629077035768549E-2"/>
    <s v="CohortAvg"/>
    <n v="0.28293322152680189"/>
    <s v="CohortAvg"/>
    <n v="9.2059188062786776E-2"/>
    <s v="CohortAvg_NonZero"/>
    <n v="1.2751786611506021E-4"/>
    <s v="CohortAvg"/>
    <n v="0"/>
    <s v="Zero"/>
    <n v="-1.5355736145736241E-2"/>
    <s v="CohortAvg"/>
    <n v="-3.3183063911027769E-4"/>
    <s v="CohortAvg"/>
    <n v="0"/>
    <n v="-92770.09"/>
    <n v="-37553.550000000003"/>
    <n v="33678.32"/>
    <n v="0"/>
    <n v="182.15"/>
    <n v="-21934.03"/>
    <n v="-473.98"/>
    <n v="1331565.56"/>
    <n v="0.22797799999999999"/>
    <n v="0.98370000000000002"/>
    <n v="0.22427"/>
    <s v="CohortTrend+Seasonal(0.984)"/>
    <n v="298630.2"/>
    <n v="260193.04"/>
    <n v="38437.160000000003"/>
    <x v="0"/>
    <n v="0"/>
    <n v="0.78500000000000003"/>
    <n v="0.24"/>
    <n v="0"/>
    <n v="0"/>
    <n v="0"/>
    <n v="260193.04"/>
    <n v="1428393.03"/>
    <n v="0.18215799999999999"/>
    <n v="38437.160000000003"/>
    <n v="38619.300000000003"/>
    <n v="0"/>
    <n v="38619.300000000003"/>
    <n v="1292946.25"/>
    <s v="Forecast"/>
  </r>
  <r>
    <x v="6"/>
    <x v="0"/>
    <s v="202409"/>
    <n v="19"/>
    <n v="1346341.65"/>
    <n v="-6.9760061449528912E-2"/>
    <s v="CohortAvg"/>
    <n v="-2.9145240749578371E-2"/>
    <s v="CohortAvg"/>
    <n v="0.29943093130420478"/>
    <s v="CohortAvg"/>
    <n v="9.7239471506753813E-2"/>
    <s v="CohortAvg_NonZero"/>
    <n v="3.2946961182919661E-4"/>
    <s v="CohortAvg"/>
    <n v="0"/>
    <s v="Zero"/>
    <n v="-1.8670317917052509E-2"/>
    <s v="CohortAvg"/>
    <n v="7.8472286554689789E-4"/>
    <s v="CohortAvg"/>
    <n v="0"/>
    <n v="-93920.88"/>
    <n v="-39239.449999999997"/>
    <n v="33594.69"/>
    <n v="0"/>
    <n v="443.58"/>
    <n v="-25136.63"/>
    <n v="1056.51"/>
    <n v="1246332.43"/>
    <n v="0.190751"/>
    <n v="0.98370000000000002"/>
    <n v="0.18764800000000001"/>
    <s v="DonorCohort:202101+Seasonal(0.984)"/>
    <n v="233872.34"/>
    <n v="227264.82"/>
    <n v="6607.52"/>
    <x v="0"/>
    <n v="0"/>
    <n v="0.78500000000000003"/>
    <n v="0.24"/>
    <n v="0"/>
    <n v="0"/>
    <n v="0"/>
    <n v="227264.82"/>
    <n v="1346341.65"/>
    <n v="0.16880200000000001"/>
    <n v="6607.52"/>
    <n v="7051.1"/>
    <n v="0"/>
    <n v="7051.1"/>
    <n v="1239281.33"/>
    <s v="Forecast"/>
  </r>
  <r>
    <x v="6"/>
    <x v="0"/>
    <s v="202410"/>
    <n v="18"/>
    <n v="1873554.52"/>
    <n v="-6.4435311493302963E-2"/>
    <s v="CohortAvg"/>
    <n v="-2.9731701179712682E-2"/>
    <s v="CohortAvg"/>
    <n v="0.30084476411436689"/>
    <s v="CohortAvg"/>
    <n v="8.6454951458998675E-2"/>
    <s v="CohortAvg_NonZero"/>
    <n v="8.4895925236741531E-5"/>
    <s v="CohortAvg"/>
    <n v="0"/>
    <s v="Zero"/>
    <n v="-2.1742860283593339E-2"/>
    <s v="CohortAvg"/>
    <n v="-3.3596204000619972E-4"/>
    <s v="CohortAvg"/>
    <n v="0"/>
    <n v="-120723.07"/>
    <n v="-55703.96"/>
    <n v="46970.76"/>
    <n v="0"/>
    <n v="159.06"/>
    <n v="-40736.43"/>
    <n v="-629.44000000000005"/>
    <n v="1743939.19"/>
    <n v="0.17676500000000001"/>
    <n v="0.98370000000000002"/>
    <n v="0.17388999999999999"/>
    <s v="DonorCohort:202101+Seasonal(0.984)"/>
    <n v="303253.12"/>
    <n v="320733.07"/>
    <n v="-17479.95"/>
    <x v="0"/>
    <n v="0"/>
    <n v="0.78500000000000003"/>
    <n v="0.24"/>
    <n v="0"/>
    <n v="0"/>
    <n v="0"/>
    <n v="320733.07"/>
    <n v="1873554.52"/>
    <n v="0.17119000000000001"/>
    <n v="-17479.95"/>
    <n v="-17320.900000000001"/>
    <n v="0"/>
    <n v="-17320.900000000001"/>
    <n v="1761260.08"/>
    <s v="Forecast"/>
  </r>
  <r>
    <x v="6"/>
    <x v="0"/>
    <s v="202411"/>
    <n v="17"/>
    <n v="2002023.88"/>
    <n v="-6.8644084775186895E-2"/>
    <s v="CohortAvg"/>
    <n v="-3.068213098984883E-2"/>
    <s v="CohortAvg"/>
    <n v="0.32133715479752922"/>
    <s v="CohortAvg"/>
    <n v="7.9096737572918449E-2"/>
    <s v="CohortAvg_NonZero"/>
    <n v="2.5389036917707549E-5"/>
    <s v="CohortAvg"/>
    <n v="0"/>
    <s v="Zero"/>
    <n v="-2.212900923862382E-2"/>
    <s v="CohortAvg"/>
    <n v="-4.4506541868585548E-4"/>
    <s v="CohortAvg"/>
    <n v="0"/>
    <n v="-137427.1"/>
    <n v="-61426.36"/>
    <n v="53610.39"/>
    <n v="0"/>
    <n v="50.83"/>
    <n v="-44302.8"/>
    <n v="-891.03"/>
    <n v="1856729.98"/>
    <n v="0.17926500000000001"/>
    <n v="0.98370000000000002"/>
    <n v="0.17635000000000001"/>
    <s v="DonorCohort:202101+Seasonal(0.984)"/>
    <n v="327433.53999999998"/>
    <n v="365137.12"/>
    <n v="-37703.58"/>
    <x v="0"/>
    <n v="0"/>
    <n v="0.78500000000000003"/>
    <n v="0.24"/>
    <n v="0"/>
    <n v="0"/>
    <n v="0"/>
    <n v="365137.12"/>
    <n v="2002023.88"/>
    <n v="0.18238399999999999"/>
    <n v="-37703.58"/>
    <n v="-37652.75"/>
    <n v="0"/>
    <n v="-37652.75"/>
    <n v="1894382.73"/>
    <s v="Forecast"/>
  </r>
  <r>
    <x v="6"/>
    <x v="0"/>
    <s v="202412"/>
    <n v="16"/>
    <n v="2234259.92"/>
    <n v="-6.5449488776248996E-2"/>
    <s v="CohortAvg"/>
    <n v="-3.1967864976565737E-2"/>
    <s v="CohortAvg"/>
    <n v="0.33205611033159121"/>
    <s v="CohortAvg"/>
    <n v="7.4056473922511287E-2"/>
    <s v="CohortAvg_NonZero"/>
    <n v="3.7887705582116183E-5"/>
    <s v="CohortAvg"/>
    <n v="0"/>
    <s v="Zero"/>
    <n v="-3.4863097390473378E-2"/>
    <s v="CohortAvg"/>
    <n v="-5.0240743663758152E-4"/>
    <s v="CohortAvg"/>
    <n v="0"/>
    <n v="-146231.17000000001"/>
    <n v="-71424.52"/>
    <n v="61824.97"/>
    <n v="0"/>
    <n v="84.65"/>
    <n v="-77893.22"/>
    <n v="-1122.51"/>
    <n v="2078344.55"/>
    <n v="0.19098799999999999"/>
    <n v="0.98370000000000002"/>
    <n v="0.18788099999999999"/>
    <s v="DonorCohort:202101+Seasonal(0.984)"/>
    <n v="390482.25"/>
    <n v="401905.6"/>
    <n v="-11423.36"/>
    <x v="0"/>
    <n v="0"/>
    <n v="0.78500000000000003"/>
    <n v="0.24"/>
    <n v="0"/>
    <n v="0"/>
    <n v="0"/>
    <n v="401905.6"/>
    <n v="2234259.92"/>
    <n v="0.17988299999999999"/>
    <n v="-11423.36"/>
    <n v="-11338.71"/>
    <n v="0"/>
    <n v="-11338.71"/>
    <n v="2089683.25"/>
    <s v="Forecast"/>
  </r>
  <r>
    <x v="6"/>
    <x v="0"/>
    <s v="202501"/>
    <n v="15"/>
    <n v="2610081.91"/>
    <n v="-6.2877520610805884E-2"/>
    <s v="CohortAvg"/>
    <n v="-3.1457829538602787E-2"/>
    <s v="CohortAvg"/>
    <n v="0.34034784099088738"/>
    <s v="CohortAvg"/>
    <n v="6.3660499130814702E-2"/>
    <s v="CohortAvg_NonZero"/>
    <n v="7.9931206077721244E-5"/>
    <s v="CohortAvg"/>
    <n v="0"/>
    <s v="Zero"/>
    <n v="-4.6686565760451139E-2"/>
    <s v="CohortAvg"/>
    <n v="-9.1507006818267471E-4"/>
    <s v="CohortAvg"/>
    <n v="0"/>
    <n v="-164115.48000000001"/>
    <n v="-82107.509999999995"/>
    <n v="74027.98"/>
    <n v="0"/>
    <n v="208.63"/>
    <n v="-121855.76"/>
    <n v="-2388.41"/>
    <n v="2437678.27"/>
    <n v="0.18836900000000001"/>
    <n v="0.98370000000000002"/>
    <n v="0.185305"/>
    <s v="DonorCohort:202101+Seasonal(0.984)"/>
    <n v="451714.22"/>
    <n v="408760.02"/>
    <n v="42954.2"/>
    <x v="0"/>
    <n v="0"/>
    <n v="0.78500000000000003"/>
    <n v="0.24"/>
    <n v="0"/>
    <n v="0"/>
    <n v="0"/>
    <n v="408760.02"/>
    <n v="2610081.91"/>
    <n v="0.156608"/>
    <n v="42954.2"/>
    <n v="43162.82"/>
    <n v="0"/>
    <n v="43162.82"/>
    <n v="2394515.44"/>
    <s v="Forecast"/>
  </r>
  <r>
    <x v="6"/>
    <x v="0"/>
    <s v="202502"/>
    <n v="14"/>
    <n v="3777935.3599999999"/>
    <n v="-6.3696149964526938E-2"/>
    <s v="CohortAvg"/>
    <n v="-3.2065580344861587E-2"/>
    <s v="CohortAvg"/>
    <n v="0.358702760550142"/>
    <s v="CohortAvg"/>
    <n v="3.7112258316899148E-2"/>
    <s v="CohortAvg_NonZero"/>
    <n v="1.0705169866523939E-4"/>
    <s v="CohortAvg"/>
    <n v="0"/>
    <s v="Zero"/>
    <n v="-8.958137292086428E-2"/>
    <s v="CohortAvg"/>
    <n v="-1.9369516917611741E-3"/>
    <s v="CohortAvg"/>
    <n v="0"/>
    <n v="-240639.94"/>
    <n v="-121141.69"/>
    <n v="112929.65"/>
    <n v="0"/>
    <n v="404.43"/>
    <n v="-338432.64"/>
    <n v="-7317.68"/>
    <n v="3528678.95"/>
    <n v="0.163996"/>
    <n v="0.98370000000000002"/>
    <n v="0.161329"/>
    <s v="DonorCohort:202101+Seasonal(0.984)"/>
    <n v="569276.73"/>
    <n v="664752.48"/>
    <n v="-95475.75"/>
    <x v="0"/>
    <n v="0"/>
    <n v="0.78500000000000003"/>
    <n v="0.24"/>
    <n v="0"/>
    <n v="0"/>
    <n v="0"/>
    <n v="664752.48"/>
    <n v="3777935.3599999999"/>
    <n v="0.175957"/>
    <n v="-95475.75"/>
    <n v="-95071.32"/>
    <n v="0"/>
    <n v="-95071.32"/>
    <n v="3623750.27"/>
    <s v="Forecast"/>
  </r>
  <r>
    <x v="6"/>
    <x v="0"/>
    <s v="202503"/>
    <n v="13"/>
    <n v="5155952.8899999997"/>
    <n v="-5.4732691235048557E-2"/>
    <s v="CohortAvg"/>
    <n v="-3.491922102995481E-2"/>
    <s v="CohortAvg"/>
    <n v="0.42637544029369029"/>
    <s v="CohortAvg"/>
    <n v="2.337347755521255E-2"/>
    <s v="CohortAvg_NonZero"/>
    <n v="7.4661312523380998E-6"/>
    <s v="CohortAvg"/>
    <n v="0"/>
    <s v="Zero"/>
    <n v="0"/>
    <s v="CohortAvg"/>
    <n v="0"/>
    <s v="CohortAvg"/>
    <n v="0"/>
    <n v="-282199.18"/>
    <n v="-180041.86"/>
    <n v="183197.64"/>
    <n v="0"/>
    <n v="38.5"/>
    <n v="0"/>
    <n v="0"/>
    <n v="4876871"/>
    <n v="0.184257"/>
    <n v="0.98370000000000002"/>
    <n v="0.18126"/>
    <s v="DonorCohort:202101+Seasonal(0.984)"/>
    <n v="883982.62"/>
    <n v="880022.36"/>
    <n v="3960.26"/>
    <x v="0"/>
    <n v="0"/>
    <n v="0.78500000000000003"/>
    <n v="0.24"/>
    <n v="0"/>
    <n v="0"/>
    <n v="0"/>
    <n v="880022.36"/>
    <n v="5155952.8899999997"/>
    <n v="0.170681"/>
    <n v="3960.26"/>
    <n v="3998.75"/>
    <n v="0"/>
    <n v="3998.75"/>
    <n v="4872872.25"/>
    <s v="Forecast"/>
  </r>
  <r>
    <x v="6"/>
    <x v="0"/>
    <s v="202504"/>
    <n v="12"/>
    <n v="6549766.3200000003"/>
    <n v="-5.335155736803867E-2"/>
    <s v="CohortAvg"/>
    <n v="-3.7202021168227767E-2"/>
    <s v="CohortAvg"/>
    <n v="0.43832408515795818"/>
    <s v="CohortAvg"/>
    <n v="1.013329171740706E-2"/>
    <s v="CohortAvg_NonZero"/>
    <n v="1.9310165633138722E-6"/>
    <s v="CohortAvg"/>
    <n v="0"/>
    <s v="Zero"/>
    <n v="0"/>
    <s v="CohortAvg"/>
    <n v="0"/>
    <s v="CohortAvg"/>
    <n v="0"/>
    <n v="-349440.23"/>
    <n v="-243664.55"/>
    <n v="239243.36"/>
    <n v="0"/>
    <n v="12.65"/>
    <n v="0"/>
    <n v="0"/>
    <n v="6195892.25"/>
    <n v="0.178732"/>
    <n v="0.98370000000000002"/>
    <n v="0.17582500000000001"/>
    <s v="DonorCohort:202101+Seasonal(0.984)"/>
    <n v="1089395.6399999999"/>
    <n v="968885.5"/>
    <n v="120510.14"/>
    <x v="0"/>
    <n v="0"/>
    <n v="0.78500000000000003"/>
    <n v="0.24"/>
    <n v="0"/>
    <n v="0"/>
    <n v="0"/>
    <n v="968885.5"/>
    <n v="6549766.3200000003"/>
    <n v="0.147927"/>
    <n v="120510.14"/>
    <n v="120522.78"/>
    <n v="0"/>
    <n v="120522.78"/>
    <n v="6075369.4699999997"/>
    <s v="Forecast"/>
  </r>
  <r>
    <x v="6"/>
    <x v="0"/>
    <s v="202505"/>
    <n v="11"/>
    <n v="8280863.6500000004"/>
    <n v="-4.2674947100448217E-2"/>
    <s v="CohortAvg"/>
    <n v="-3.3549553538992277E-2"/>
    <s v="CohortAvg"/>
    <n v="0.40448116888595043"/>
    <s v="CohortAvg"/>
    <n v="0"/>
    <s v="CohortAvg_NoData_ERROR"/>
    <n v="8.4791356924220277E-7"/>
    <s v="CohortAvg"/>
    <n v="0"/>
    <s v="Zero"/>
    <n v="0"/>
    <s v="CohortAvg"/>
    <n v="0"/>
    <s v="CohortAvg"/>
    <n v="0"/>
    <n v="-353385.42"/>
    <n v="-277819.28000000003"/>
    <n v="279121.12"/>
    <n v="0"/>
    <n v="7.02"/>
    <n v="0"/>
    <n v="0"/>
    <n v="7928773.0499999998"/>
    <n v="0.15490499999999999"/>
    <n v="0.98370000000000002"/>
    <n v="0.15238599999999999"/>
    <s v="DonorCohort:202101+Seasonal(0.984)"/>
    <n v="1208230.1000000001"/>
    <n v="1079312.1000000001"/>
    <n v="128917.99"/>
    <x v="0"/>
    <n v="0"/>
    <n v="0.78500000000000003"/>
    <n v="0.24"/>
    <n v="0"/>
    <n v="0"/>
    <n v="0"/>
    <n v="1079312.1000000001"/>
    <n v="8280863.6500000004"/>
    <n v="0.13033800000000001"/>
    <n v="128917.99"/>
    <n v="128925.02"/>
    <n v="0"/>
    <n v="128925.02"/>
    <n v="7799848.04"/>
    <s v="Forecast"/>
  </r>
  <r>
    <x v="6"/>
    <x v="0"/>
    <s v="202506"/>
    <n v="10"/>
    <n v="9357689.9299999997"/>
    <n v="-4.0307259479515391E-2"/>
    <s v="CohortAvg"/>
    <n v="-3.4076915668777498E-2"/>
    <s v="CohortAvg"/>
    <n v="0.4096834847759645"/>
    <s v="CohortAvg"/>
    <n v="0"/>
    <s v="CohortAvg_NoData_ERROR"/>
    <n v="0"/>
    <s v="CohortAvg"/>
    <n v="0"/>
    <s v="Zero"/>
    <n v="0"/>
    <s v="CohortAvg"/>
    <n v="0"/>
    <s v="CohortAvg"/>
    <n v="0"/>
    <n v="-377182.84"/>
    <n v="-318881.21000000002"/>
    <n v="319474.25"/>
    <n v="0"/>
    <n v="0"/>
    <n v="0"/>
    <n v="0"/>
    <n v="8981100.1400000006"/>
    <n v="0.136487"/>
    <n v="0.98370000000000002"/>
    <n v="0.134267"/>
    <s v="DonorCohort:202101+Seasonal(0.984)"/>
    <n v="1205862.98"/>
    <n v="1072884.56"/>
    <n v="132978.41"/>
    <x v="0"/>
    <n v="0"/>
    <n v="0.78500000000000003"/>
    <n v="0.24"/>
    <n v="0"/>
    <n v="0"/>
    <n v="0"/>
    <n v="1072884.56"/>
    <n v="9357689.9299999997"/>
    <n v="0.114653"/>
    <n v="132978.41"/>
    <n v="132978.41"/>
    <n v="0"/>
    <n v="132978.41"/>
    <n v="8848121.7200000007"/>
    <s v="Forecast"/>
  </r>
  <r>
    <x v="6"/>
    <x v="0"/>
    <s v="202507"/>
    <n v="9"/>
    <n v="11945145.66"/>
    <n v="-3.7131830624410819E-2"/>
    <s v="CohortAvg"/>
    <n v="-3.4989784926756959E-2"/>
    <s v="CohortAvg"/>
    <n v="0.39188305867568879"/>
    <s v="CohortAvg"/>
    <n v="0"/>
    <s v="CohortAvg_NoData_ERROR"/>
    <n v="1.1361388007902101E-5"/>
    <s v="CohortAvg"/>
    <n v="0"/>
    <s v="Zero"/>
    <n v="0"/>
    <s v="CohortAvg"/>
    <n v="0"/>
    <s v="CohortAvg"/>
    <n v="0"/>
    <n v="-443545.13"/>
    <n v="-417958.08"/>
    <n v="390091.68"/>
    <n v="0"/>
    <n v="135.71"/>
    <n v="0"/>
    <n v="0"/>
    <n v="11473598.43"/>
    <n v="0.120061"/>
    <n v="0.98370000000000002"/>
    <n v="0.11810900000000001"/>
    <s v="DonorCohort:202101+Seasonal(0.984)"/>
    <n v="1355130.13"/>
    <n v="1183788.9099999999"/>
    <n v="171341.22"/>
    <x v="0"/>
    <n v="0"/>
    <n v="0.78500000000000003"/>
    <n v="0.24"/>
    <n v="0"/>
    <n v="0"/>
    <n v="0"/>
    <n v="1183788.9099999999"/>
    <n v="11945145.66"/>
    <n v="9.9101999999999996E-2"/>
    <n v="171341.22"/>
    <n v="171476.94"/>
    <n v="0"/>
    <n v="171476.94"/>
    <n v="11302121.5"/>
    <s v="Forecast"/>
  </r>
  <r>
    <x v="6"/>
    <x v="0"/>
    <s v="202508"/>
    <n v="8"/>
    <n v="9770438.5600000005"/>
    <n v="-3.9388096906989647E-2"/>
    <s v="CohortAvg"/>
    <n v="-2.6303781158231902E-2"/>
    <s v="CohortAvg"/>
    <n v="0.37019369788690121"/>
    <s v="CohortAvg"/>
    <n v="0"/>
    <s v="CohortAvg_NoData_ERROR"/>
    <n v="9.1784988955063319E-6"/>
    <s v="CohortAvg"/>
    <n v="0"/>
    <s v="Zero"/>
    <n v="0"/>
    <s v="CohortAvg"/>
    <n v="0"/>
    <s v="CohortAvg"/>
    <n v="0"/>
    <n v="-384838.98"/>
    <n v="-256999.48"/>
    <n v="301412.90000000002"/>
    <n v="0"/>
    <n v="89.68"/>
    <n v="0"/>
    <n v="0"/>
    <n v="9429923.3200000003"/>
    <n v="0.10377699999999999"/>
    <n v="0.98370000000000002"/>
    <n v="0.102089"/>
    <s v="DonorCohort:202101+Seasonal(0.984)"/>
    <n v="962693.38"/>
    <n v="804596.71"/>
    <n v="158096.68"/>
    <x v="0"/>
    <n v="0"/>
    <n v="0.78500000000000003"/>
    <n v="0.24"/>
    <n v="0"/>
    <n v="0"/>
    <n v="0"/>
    <n v="804596.71"/>
    <n v="9770438.5600000005"/>
    <n v="8.2350000000000007E-2"/>
    <n v="158096.68"/>
    <n v="158186.35999999999"/>
    <n v="0"/>
    <n v="158186.35999999999"/>
    <n v="9271736.9700000007"/>
    <s v="Forecast"/>
  </r>
  <r>
    <x v="6"/>
    <x v="0"/>
    <s v="202509"/>
    <n v="7"/>
    <n v="6664300.5700000003"/>
    <n v="-0.28249054465728463"/>
    <s v="CohortAvg"/>
    <n v="-5.871514774414768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882601.9"/>
    <n v="-391295.39"/>
    <n v="277679.19"/>
    <n v="0"/>
    <n v="0"/>
    <n v="0"/>
    <n v="0"/>
    <n v="4668082.47"/>
    <n v="8.6235000000000006E-2"/>
    <n v="0.98370000000000002"/>
    <n v="8.4832000000000005E-2"/>
    <s v="DonorCohort:202101+Seasonal(0.984)"/>
    <n v="396004.14"/>
    <n v="477510.6"/>
    <n v="-81506.47"/>
    <x v="0"/>
    <n v="0"/>
    <n v="0.78500000000000003"/>
    <n v="0.24"/>
    <n v="0"/>
    <n v="0"/>
    <n v="0"/>
    <n v="477510.6"/>
    <n v="6664300.5700000003"/>
    <n v="7.1651999999999993E-2"/>
    <n v="-81506.47"/>
    <n v="-81506.47"/>
    <n v="0"/>
    <n v="-81506.47"/>
    <n v="4749588.9400000004"/>
    <s v="Forecast"/>
  </r>
  <r>
    <x v="6"/>
    <x v="1"/>
    <s v="202301"/>
    <n v="29"/>
    <n v="991435.16"/>
    <n v="-1.1290583781948631E-2"/>
    <s v="CohortAvg"/>
    <n v="-5.465957430826303E-3"/>
    <s v="CohortAvg"/>
    <n v="9.5131729616723601E-2"/>
    <s v="CohortAvg"/>
    <n v="2.3971775686016911E-2"/>
    <s v="CohortAvg_NonZero"/>
    <n v="0"/>
    <s v="CohortAvg"/>
    <n v="0"/>
    <s v="Zero"/>
    <n v="0"/>
    <s v="CohortAvg"/>
    <n v="0"/>
    <s v="CohortAvg"/>
    <n v="0"/>
    <n v="-11193.88"/>
    <n v="-5419.14"/>
    <n v="7859.75"/>
    <n v="0"/>
    <n v="0"/>
    <n v="0"/>
    <n v="0"/>
    <n v="982681.88"/>
    <n v="0.30154599999999998"/>
    <n v="1.2005999999999999"/>
    <n v="0.36204999999999998"/>
    <s v="CohortTrend+Seasonal(1.201)"/>
    <n v="355779.61"/>
    <n v="309242.18"/>
    <n v="46537.440000000002"/>
    <x v="0"/>
    <n v="0"/>
    <n v="0.78500000000000003"/>
    <n v="0.24"/>
    <n v="0"/>
    <n v="0"/>
    <n v="0"/>
    <n v="309242.18"/>
    <n v="991435.16"/>
    <n v="0.31191400000000002"/>
    <n v="46537.440000000002"/>
    <n v="46537.440000000002"/>
    <n v="0"/>
    <n v="46537.440000000002"/>
    <n v="936144.45"/>
    <s v="Forecast"/>
  </r>
  <r>
    <x v="6"/>
    <x v="1"/>
    <s v="202404"/>
    <n v="24"/>
    <n v="206422.71"/>
    <n v="-5.9186252673312227E-2"/>
    <s v="CohortAvg"/>
    <n v="-1.514847762038145E-2"/>
    <s v="CohortAvg"/>
    <n v="0.15732600819207329"/>
    <s v="CohortAvg"/>
    <n v="5.0467464789465247E-2"/>
    <s v="CohortAvg_NonZero"/>
    <n v="0"/>
    <s v="CohortAvg"/>
    <n v="0"/>
    <s v="Zero"/>
    <n v="0"/>
    <s v="CohortAvg"/>
    <n v="0"/>
    <s v="CohortAvg"/>
    <n v="0"/>
    <n v="-12217.39"/>
    <n v="-3126.99"/>
    <n v="2706.31"/>
    <n v="0"/>
    <n v="0"/>
    <n v="0"/>
    <n v="0"/>
    <n v="193784.64"/>
    <n v="0.180899"/>
    <n v="1.2005999999999999"/>
    <n v="0.217195"/>
    <s v="CohortTrend+Seasonal(1.201)"/>
    <n v="42089.05"/>
    <n v="39058.97"/>
    <n v="3030.08"/>
    <x v="0"/>
    <n v="0"/>
    <n v="0.78500000000000003"/>
    <n v="0.24"/>
    <n v="0"/>
    <n v="0"/>
    <n v="0"/>
    <n v="39058.97"/>
    <n v="206422.71"/>
    <n v="0.189218"/>
    <n v="3030.08"/>
    <n v="3030.08"/>
    <n v="0"/>
    <n v="3030.08"/>
    <n v="190754.57"/>
    <s v="Forecast"/>
  </r>
  <r>
    <x v="6"/>
    <x v="1"/>
    <s v="202405"/>
    <n v="23"/>
    <n v="355247.83"/>
    <n v="-1.568639302202986E-2"/>
    <s v="CohortAvg"/>
    <n v="-1.2815110578739779E-2"/>
    <s v="CohortAvg"/>
    <n v="0.1492121973064727"/>
    <s v="CohortAvg"/>
    <n v="6.6949348894865396E-2"/>
    <s v="CohortAvg_NonZero"/>
    <n v="1.3895487640295751E-6"/>
    <s v="CohortAvg"/>
    <n v="0"/>
    <s v="Zero"/>
    <n v="0"/>
    <s v="CohortAvg"/>
    <n v="0"/>
    <s v="CohortAvg"/>
    <n v="0"/>
    <n v="-5572.56"/>
    <n v="-4552.54"/>
    <n v="4417.28"/>
    <n v="0"/>
    <n v="0.49"/>
    <n v="0"/>
    <n v="0"/>
    <n v="349539.51"/>
    <n v="0.25801499999999999"/>
    <n v="1.2005999999999999"/>
    <n v="0.309784"/>
    <s v="CohortTrend+Seasonal(1.201)"/>
    <n v="108281.74"/>
    <n v="92812.51"/>
    <n v="15469.23"/>
    <x v="0"/>
    <n v="0"/>
    <n v="0.78500000000000003"/>
    <n v="0.24"/>
    <n v="0"/>
    <n v="0"/>
    <n v="0"/>
    <n v="92812.51"/>
    <n v="355247.83"/>
    <n v="0.26126100000000002"/>
    <n v="15469.23"/>
    <n v="15469.73"/>
    <n v="0"/>
    <n v="15469.73"/>
    <n v="334069.78999999998"/>
    <s v="Forecast"/>
  </r>
  <r>
    <x v="6"/>
    <x v="1"/>
    <s v="202406"/>
    <n v="22"/>
    <n v="203838.22"/>
    <n v="-1.7299596802298641E-2"/>
    <s v="CohortAvg"/>
    <n v="-1.498734131350621E-2"/>
    <s v="CohortAvg"/>
    <n v="0.17878936127439909"/>
    <s v="CohortAvg"/>
    <n v="5.620844502272148E-2"/>
    <s v="CohortAvg_NonZero"/>
    <n v="0"/>
    <s v="CohortAvg"/>
    <n v="0"/>
    <s v="Zero"/>
    <n v="0"/>
    <s v="CohortAvg"/>
    <n v="0"/>
    <s v="CohortAvg"/>
    <n v="0"/>
    <n v="-3526.32"/>
    <n v="-3054.99"/>
    <n v="3037.01"/>
    <n v="0"/>
    <n v="0"/>
    <n v="0"/>
    <n v="0"/>
    <n v="200293.92"/>
    <n v="0.18543399999999999"/>
    <n v="1.2005999999999999"/>
    <n v="0.22264"/>
    <s v="CohortTrend+Seasonal(1.201)"/>
    <n v="44593.440000000002"/>
    <n v="38509.089999999997"/>
    <n v="6084.34"/>
    <x v="0"/>
    <n v="0"/>
    <n v="0.78500000000000003"/>
    <n v="0.24"/>
    <n v="0"/>
    <n v="0"/>
    <n v="0"/>
    <n v="38509.089999999997"/>
    <n v="203838.22"/>
    <n v="0.18892"/>
    <n v="6084.34"/>
    <n v="6084.34"/>
    <n v="0"/>
    <n v="6084.34"/>
    <n v="194209.57"/>
    <s v="Forecast"/>
  </r>
  <r>
    <x v="6"/>
    <x v="1"/>
    <s v="202407"/>
    <n v="21"/>
    <n v="308459.52000000002"/>
    <n v="-4.1601695217556883E-2"/>
    <s v="CohortAvg"/>
    <n v="-1.529358435037214E-2"/>
    <s v="CohortAvg"/>
    <n v="0.1699500218016349"/>
    <s v="CohortAvg"/>
    <n v="8.2761551975630079E-2"/>
    <s v="CohortAvg_NonZero"/>
    <n v="0"/>
    <s v="CohortAvg"/>
    <n v="0"/>
    <s v="Zero"/>
    <n v="0"/>
    <s v="CohortAvg"/>
    <n v="0"/>
    <s v="CohortAvg"/>
    <n v="0"/>
    <n v="-12832.44"/>
    <n v="-4717.45"/>
    <n v="4368.5600000000004"/>
    <n v="0"/>
    <n v="0"/>
    <n v="0"/>
    <n v="0"/>
    <n v="295278.19"/>
    <n v="0.18027899999999999"/>
    <n v="1.2005999999999999"/>
    <n v="0.216451"/>
    <s v="CohortTrend+Seasonal(1.201)"/>
    <n v="63913.29"/>
    <n v="57327.1"/>
    <n v="6586.19"/>
    <x v="0"/>
    <n v="0"/>
    <n v="0.78500000000000003"/>
    <n v="0.24"/>
    <n v="0"/>
    <n v="0"/>
    <n v="0"/>
    <n v="57327.1"/>
    <n v="308459.52000000002"/>
    <n v="0.18584999999999999"/>
    <n v="6586.19"/>
    <n v="6586.19"/>
    <n v="0"/>
    <n v="6586.19"/>
    <n v="288692.01"/>
    <s v="Forecast"/>
  </r>
  <r>
    <x v="6"/>
    <x v="1"/>
    <s v="202408"/>
    <n v="20"/>
    <n v="341468.49"/>
    <n v="-5.6978227963615562E-2"/>
    <s v="CohortAvg"/>
    <n v="-1.644204386430699E-2"/>
    <s v="CohortAvg"/>
    <n v="0.1830846510944229"/>
    <s v="CohortAvg"/>
    <n v="0.1104761026857974"/>
    <s v="CohortAvg_NonZero"/>
    <n v="4.4416377623686196E-9"/>
    <s v="CohortAvg"/>
    <n v="0"/>
    <s v="Zero"/>
    <n v="0"/>
    <s v="CohortAvg"/>
    <n v="0"/>
    <s v="CohortAvg"/>
    <n v="0"/>
    <n v="-19456.27"/>
    <n v="-5614.44"/>
    <n v="5209.8"/>
    <n v="0"/>
    <n v="0"/>
    <n v="0"/>
    <n v="0"/>
    <n v="321607.58"/>
    <n v="0.18220900000000001"/>
    <n v="1.2005999999999999"/>
    <n v="0.21876899999999999"/>
    <s v="CohortTrend+Seasonal(1.201)"/>
    <n v="70357.66"/>
    <n v="68015.570000000007"/>
    <n v="2342.09"/>
    <x v="0"/>
    <n v="0"/>
    <n v="0.78500000000000003"/>
    <n v="0.24"/>
    <n v="0"/>
    <n v="0"/>
    <n v="0"/>
    <n v="68015.570000000007"/>
    <n v="341468.49"/>
    <n v="0.199185"/>
    <n v="2342.09"/>
    <n v="2342.09"/>
    <n v="0"/>
    <n v="2342.09"/>
    <n v="319265.49"/>
    <s v="Forecast"/>
  </r>
  <r>
    <x v="6"/>
    <x v="1"/>
    <s v="202409"/>
    <n v="19"/>
    <n v="470054.5"/>
    <n v="-3.8159380567957812E-2"/>
    <s v="CohortAvg"/>
    <n v="-1.513428010674818E-2"/>
    <s v="CohortAvg"/>
    <n v="0.18289521948206089"/>
    <s v="CohortAvg"/>
    <n v="3.1556179706954547E-2"/>
    <s v="CohortAvg_NonZero"/>
    <n v="0"/>
    <s v="CohortAvg"/>
    <n v="0"/>
    <s v="Zero"/>
    <n v="0"/>
    <s v="CohortAvg"/>
    <n v="0"/>
    <s v="CohortAvg"/>
    <n v="0"/>
    <n v="-17936.990000000002"/>
    <n v="-7113.94"/>
    <n v="7164.23"/>
    <n v="0"/>
    <n v="0"/>
    <n v="0"/>
    <n v="0"/>
    <n v="452167.8"/>
    <n v="0.18524499999999999"/>
    <n v="1.2005999999999999"/>
    <n v="0.222413"/>
    <s v="DonorCohort:202301+Seasonal(1.201)"/>
    <n v="100568.12"/>
    <n v="81071.88"/>
    <n v="19496.240000000002"/>
    <x v="0"/>
    <n v="0"/>
    <n v="0.78500000000000003"/>
    <n v="0.24"/>
    <n v="0"/>
    <n v="0"/>
    <n v="0"/>
    <n v="81071.88"/>
    <n v="470054.5"/>
    <n v="0.17247299999999999"/>
    <n v="19496.240000000002"/>
    <n v="19496.240000000002"/>
    <n v="0"/>
    <n v="19496.240000000002"/>
    <n v="432671.56"/>
    <s v="Forecast"/>
  </r>
  <r>
    <x v="6"/>
    <x v="1"/>
    <s v="202410"/>
    <n v="18"/>
    <n v="377890.26"/>
    <n v="-1.456928679578494E-2"/>
    <s v="CohortAvg"/>
    <n v="-1.7975188529915379E-2"/>
    <s v="CohortAvg"/>
    <n v="0.18826506651475761"/>
    <s v="CohortAvg"/>
    <n v="3.5375169187865492E-2"/>
    <s v="CohortAvg_NonZero"/>
    <n v="1.948712012464676E-6"/>
    <s v="CohortAvg"/>
    <n v="0"/>
    <s v="Zero"/>
    <n v="0"/>
    <s v="CohortAvg"/>
    <n v="0"/>
    <s v="CohortAvg"/>
    <n v="0"/>
    <n v="-5505.59"/>
    <n v="-6792.65"/>
    <n v="5928.63"/>
    <n v="0"/>
    <n v="0.74"/>
    <n v="0"/>
    <n v="0"/>
    <n v="371519.91"/>
    <n v="0.16040199999999999"/>
    <n v="1.2005999999999999"/>
    <n v="0.19258600000000001"/>
    <s v="DonorCohort:202301+Seasonal(1.201)"/>
    <n v="71549.58"/>
    <n v="89376.82"/>
    <n v="-17827.240000000002"/>
    <x v="0"/>
    <n v="0"/>
    <n v="0.78500000000000003"/>
    <n v="0.24"/>
    <n v="0"/>
    <n v="0"/>
    <n v="0"/>
    <n v="89376.82"/>
    <n v="377890.26"/>
    <n v="0.236515"/>
    <n v="-17827.240000000002"/>
    <n v="-17826.5"/>
    <n v="0"/>
    <n v="-17826.5"/>
    <n v="389346.42"/>
    <s v="Forecast"/>
  </r>
  <r>
    <x v="6"/>
    <x v="1"/>
    <s v="202411"/>
    <n v="17"/>
    <n v="441864.91"/>
    <n v="-4.1498756955886992E-2"/>
    <s v="CohortAvg"/>
    <n v="-1.4812777594031479E-2"/>
    <s v="CohortAvg"/>
    <n v="0.17390812332566091"/>
    <s v="CohortAvg"/>
    <n v="3.4296315654266989E-2"/>
    <s v="CohortAvg_NonZero"/>
    <n v="0"/>
    <s v="CohortAvg"/>
    <n v="0"/>
    <s v="Zero"/>
    <n v="0"/>
    <s v="CohortAvg"/>
    <n v="0"/>
    <s v="CohortAvg"/>
    <n v="0"/>
    <n v="-18336.84"/>
    <n v="-6545.25"/>
    <n v="6403.66"/>
    <n v="0"/>
    <n v="0"/>
    <n v="0"/>
    <n v="0"/>
    <n v="423386.47"/>
    <n v="0.21996199999999999"/>
    <n v="1.2005999999999999"/>
    <n v="0.264096"/>
    <s v="DonorCohort:202301+Seasonal(1.201)"/>
    <n v="111814.76"/>
    <n v="88533.6"/>
    <n v="23281.16"/>
    <x v="0"/>
    <n v="0"/>
    <n v="0.78500000000000003"/>
    <n v="0.24"/>
    <n v="0"/>
    <n v="0"/>
    <n v="0"/>
    <n v="88533.6"/>
    <n v="441864.91"/>
    <n v="0.20036399999999999"/>
    <n v="23281.16"/>
    <n v="23281.16"/>
    <n v="0"/>
    <n v="23281.16"/>
    <n v="400105.31"/>
    <s v="Forecast"/>
  </r>
  <r>
    <x v="6"/>
    <x v="1"/>
    <s v="202412"/>
    <n v="16"/>
    <n v="32233.65"/>
    <n v="-8.6092554780988883E-3"/>
    <s v="CohortAvg"/>
    <n v="-1.2473939364209079E-2"/>
    <s v="CohortAvg"/>
    <n v="0.1502509384057984"/>
    <s v="CohortAvg"/>
    <n v="0.2"/>
    <s v="CohortAvg_NonZero"/>
    <n v="0"/>
    <s v="CohortAvg"/>
    <n v="0"/>
    <s v="Zero"/>
    <n v="0"/>
    <s v="CohortAvg"/>
    <n v="0"/>
    <s v="CohortAvg"/>
    <n v="0"/>
    <n v="-277.51"/>
    <n v="-402.08"/>
    <n v="403.59"/>
    <n v="0"/>
    <n v="0"/>
    <n v="0"/>
    <n v="0"/>
    <n v="31957.66"/>
    <n v="0.18634100000000001"/>
    <n v="1.2005999999999999"/>
    <n v="0.22372900000000001"/>
    <s v="DonorCohort:202301+Seasonal(1.201)"/>
    <n v="7149.84"/>
    <n v="4857.76"/>
    <n v="2292.08"/>
    <x v="0"/>
    <n v="0"/>
    <n v="0.78500000000000003"/>
    <n v="0.24"/>
    <n v="0"/>
    <n v="0"/>
    <n v="0"/>
    <n v="4857.76"/>
    <n v="32233.65"/>
    <n v="0.15070500000000001"/>
    <n v="2292.08"/>
    <n v="2292.08"/>
    <n v="0"/>
    <n v="2292.08"/>
    <n v="29665.57"/>
    <s v="Forecast"/>
  </r>
  <r>
    <x v="6"/>
    <x v="1"/>
    <s v="202501"/>
    <n v="15"/>
    <n v="55084.26"/>
    <n v="-1.520471192385541E-2"/>
    <s v="CohortAvg"/>
    <n v="-1.7500873606066211E-2"/>
    <s v="CohortAvg"/>
    <n v="0.20443347194280481"/>
    <s v="CohortAvg"/>
    <n v="0"/>
    <s v="CohortAvg_NoData_ERROR"/>
    <n v="0"/>
    <s v="CohortAvg"/>
    <n v="0"/>
    <s v="Zero"/>
    <n v="0"/>
    <s v="CohortAvg"/>
    <n v="0"/>
    <s v="CohortAvg"/>
    <n v="0"/>
    <n v="-837.54"/>
    <n v="-964.02"/>
    <n v="938.42"/>
    <n v="0"/>
    <n v="0"/>
    <n v="0"/>
    <n v="0"/>
    <n v="54221.11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55084.26"/>
    <n v="0"/>
    <n v="0"/>
    <n v="0"/>
    <n v="0"/>
    <n v="0"/>
    <n v="54221.11"/>
    <s v="Forecast"/>
  </r>
  <r>
    <x v="6"/>
    <x v="1"/>
    <s v="202502"/>
    <n v="14"/>
    <n v="116715.68"/>
    <n v="-1.363912428827913E-2"/>
    <s v="CohortAvg"/>
    <n v="-1.8619237454881261E-2"/>
    <s v="CohortAvg"/>
    <n v="0.19445824396067241"/>
    <s v="CohortAvg"/>
    <n v="0"/>
    <s v="CohortAvg_NoData_ERROR"/>
    <n v="0"/>
    <s v="CohortAvg"/>
    <n v="0"/>
    <s v="Zero"/>
    <n v="0"/>
    <s v="CohortAvg"/>
    <n v="0"/>
    <s v="CohortAvg"/>
    <n v="0"/>
    <n v="-1591.9"/>
    <n v="-2173.16"/>
    <n v="1891.36"/>
    <n v="0"/>
    <n v="0"/>
    <n v="0"/>
    <n v="0"/>
    <n v="114841.99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116715.68"/>
    <n v="0"/>
    <n v="0"/>
    <n v="0"/>
    <n v="0"/>
    <n v="0"/>
    <n v="114841.99"/>
    <s v="Forecast"/>
  </r>
  <r>
    <x v="6"/>
    <x v="1"/>
    <s v="202503"/>
    <n v="13"/>
    <n v="79830.84"/>
    <n v="-9.832650187563954E-3"/>
    <s v="CohortAvg"/>
    <n v="-1.4262865404771801E-2"/>
    <s v="CohortAvg"/>
    <n v="0.20806481651902051"/>
    <s v="CohortAvg"/>
    <n v="0"/>
    <s v="CohortAvg_NoData_ERROR"/>
    <n v="0"/>
    <s v="CohortAvg"/>
    <n v="0"/>
    <s v="Zero"/>
    <n v="0"/>
    <s v="CohortAvg"/>
    <n v="0"/>
    <s v="CohortAvg"/>
    <n v="0"/>
    <n v="-784.95"/>
    <n v="-1138.6199999999999"/>
    <n v="1384.17"/>
    <n v="0"/>
    <n v="0"/>
    <n v="0"/>
    <n v="0"/>
    <n v="79291.44"/>
    <n v="0.12820899999999999"/>
    <n v="1.2005999999999999"/>
    <n v="0.15393399999999999"/>
    <s v="DonorCohort:202301+Seasonal(1.201)"/>
    <n v="12205.62"/>
    <n v="9104.6"/>
    <n v="3101.03"/>
    <x v="0"/>
    <n v="0"/>
    <n v="0.78500000000000003"/>
    <n v="0.24"/>
    <n v="0"/>
    <n v="0"/>
    <n v="0"/>
    <n v="9104.6"/>
    <n v="79830.84"/>
    <n v="0.114049"/>
    <n v="3101.03"/>
    <n v="3101.03"/>
    <n v="0"/>
    <n v="3101.03"/>
    <n v="76190.41"/>
    <s v="Forecast"/>
  </r>
  <r>
    <x v="6"/>
    <x v="1"/>
    <s v="202504"/>
    <n v="12"/>
    <n v="55420.33"/>
    <n v="-2.0656505936078592E-2"/>
    <s v="CohortAvg"/>
    <n v="-1.6749246237957031E-2"/>
    <s v="CohortAvg"/>
    <n v="0.20241618528369101"/>
    <s v="CohortAvg"/>
    <n v="0"/>
    <s v="CohortAvg_NoData_ERROR"/>
    <n v="0"/>
    <s v="CohortAvg"/>
    <n v="0"/>
    <s v="Zero"/>
    <n v="0"/>
    <s v="CohortAvg"/>
    <n v="0"/>
    <s v="CohortAvg"/>
    <n v="0"/>
    <n v="-1144.79"/>
    <n v="-928.25"/>
    <n v="934.83"/>
    <n v="0"/>
    <n v="0"/>
    <n v="0"/>
    <n v="0"/>
    <n v="54282.12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55420.33"/>
    <n v="0"/>
    <n v="0"/>
    <n v="0"/>
    <n v="0"/>
    <n v="0"/>
    <n v="54282.12"/>
    <s v="Forecast"/>
  </r>
  <r>
    <x v="6"/>
    <x v="1"/>
    <s v="202505"/>
    <n v="11"/>
    <n v="15791.22"/>
    <n v="-9.3569844518056281E-3"/>
    <s v="CohortAvg"/>
    <n v="-1.5279537165585871E-2"/>
    <s v="CohortAvg"/>
    <n v="0.184723599849932"/>
    <s v="CohortAvg"/>
    <n v="0"/>
    <s v="CohortAvg_NoData_ERROR"/>
    <n v="0"/>
    <s v="CohortAvg"/>
    <n v="0"/>
    <s v="Zero"/>
    <n v="0"/>
    <s v="CohortAvg"/>
    <n v="0"/>
    <s v="CohortAvg"/>
    <n v="0"/>
    <n v="-147.76"/>
    <n v="-241.28"/>
    <n v="243.08"/>
    <n v="0"/>
    <n v="0"/>
    <n v="0"/>
    <n v="0"/>
    <n v="15645.27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15791.22"/>
    <n v="0"/>
    <n v="0"/>
    <n v="0"/>
    <n v="0"/>
    <n v="0"/>
    <n v="15645.27"/>
    <s v="Forecast"/>
  </r>
  <r>
    <x v="6"/>
    <x v="1"/>
    <s v="202506"/>
    <n v="10"/>
    <n v="28457.82"/>
    <n v="-1.2755899782147251E-2"/>
    <s v="CohortAvg"/>
    <n v="-1.5080447324905171E-2"/>
    <s v="CohortAvg"/>
    <n v="0.17520682973665089"/>
    <s v="CohortAvg"/>
    <n v="0"/>
    <s v="CohortAvg_NoData_ERROR"/>
    <n v="0"/>
    <s v="CohortAvg"/>
    <n v="0"/>
    <s v="Zero"/>
    <n v="0"/>
    <s v="CohortAvg"/>
    <n v="0"/>
    <s v="CohortAvg"/>
    <n v="0"/>
    <n v="-363.01"/>
    <n v="-429.16"/>
    <n v="415.5"/>
    <n v="0"/>
    <n v="0"/>
    <n v="0"/>
    <n v="0"/>
    <n v="28081.16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28457.82"/>
    <n v="0"/>
    <n v="0"/>
    <n v="0"/>
    <n v="0"/>
    <n v="0"/>
    <n v="28081.16"/>
    <s v="Forecast"/>
  </r>
  <r>
    <x v="6"/>
    <x v="1"/>
    <s v="202507"/>
    <n v="9"/>
    <n v="110398.88"/>
    <n v="-9.7748971871859363E-3"/>
    <s v="CohortAvg"/>
    <n v="-1.5776777613902549E-2"/>
    <s v="CohortAvg"/>
    <n v="0.17477251596902799"/>
    <s v="CohortAvg"/>
    <n v="0"/>
    <s v="CohortAvg_NoData_ERROR"/>
    <n v="0"/>
    <s v="CohortAvg"/>
    <n v="0"/>
    <s v="Zero"/>
    <n v="0"/>
    <s v="CohortAvg"/>
    <n v="0"/>
    <s v="CohortAvg"/>
    <n v="0"/>
    <n v="-1079.1400000000001"/>
    <n v="-1741.74"/>
    <n v="1607.89"/>
    <n v="0"/>
    <n v="0"/>
    <n v="0"/>
    <n v="0"/>
    <n v="109185.89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110398.88"/>
    <n v="0"/>
    <n v="0"/>
    <n v="0"/>
    <n v="0"/>
    <n v="0"/>
    <n v="109185.89"/>
    <s v="Forecast"/>
  </r>
  <r>
    <x v="6"/>
    <x v="1"/>
    <s v="202508"/>
    <n v="8"/>
    <n v="45633.49"/>
    <n v="-1.2080267502759919E-2"/>
    <s v="CohortAvg"/>
    <n v="-1.214180174467277E-2"/>
    <s v="CohortAvg"/>
    <n v="0.14946745509119139"/>
    <s v="CohortAvg"/>
    <n v="0"/>
    <s v="CohortAvg_NoData_ERROR"/>
    <n v="0"/>
    <s v="CohortAvg"/>
    <n v="0"/>
    <s v="Zero"/>
    <n v="0"/>
    <s v="CohortAvg"/>
    <n v="0"/>
    <s v="CohortAvg"/>
    <n v="0"/>
    <n v="-551.26"/>
    <n v="-554.07000000000005"/>
    <n v="568.39"/>
    <n v="0"/>
    <n v="0"/>
    <n v="0"/>
    <n v="0"/>
    <n v="45096.55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45633.49"/>
    <n v="0"/>
    <n v="0"/>
    <n v="0"/>
    <n v="0"/>
    <n v="0"/>
    <n v="45096.55"/>
    <s v="Forecast"/>
  </r>
  <r>
    <x v="6"/>
    <x v="1"/>
    <s v="202509"/>
    <n v="7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6"/>
    <x v="2"/>
    <s v="202101"/>
    <n v="63"/>
    <n v="993727.86"/>
    <n v="-0.18523882688651219"/>
    <s v="CohortAvg"/>
    <n v="-1.383407600484713E-2"/>
    <s v="CohortAvg"/>
    <n v="0.1503912941561851"/>
    <s v="CohortAvg"/>
    <n v="1.8185869396313802E-2"/>
    <s v="CohortAvg_NonZero"/>
    <n v="0"/>
    <s v="CohortAvg"/>
    <n v="0"/>
    <s v="Zero"/>
    <n v="0"/>
    <s v="CohortAvg"/>
    <n v="0"/>
    <s v="CohortAvg"/>
    <n v="0"/>
    <n v="-184076.98"/>
    <n v="-13747.31"/>
    <n v="12454"/>
    <n v="0"/>
    <n v="0"/>
    <n v="0"/>
    <n v="0"/>
    <n v="808357.57"/>
    <n v="0.26013999999999998"/>
    <n v="0.93640000000000001"/>
    <n v="0.24360200000000001"/>
    <s v="CohortAvg+Seasonal(0.936)"/>
    <n v="196917.88"/>
    <n v="238528.71"/>
    <n v="-41610.83"/>
    <x v="0"/>
    <n v="0"/>
    <n v="0.78500000000000003"/>
    <n v="0.24"/>
    <n v="0"/>
    <n v="0"/>
    <n v="0"/>
    <n v="238528.71"/>
    <n v="993727.86"/>
    <n v="0.240034"/>
    <n v="-41610.83"/>
    <n v="-41610.83"/>
    <n v="0"/>
    <n v="-41610.83"/>
    <n v="849968.4"/>
    <s v="Forecast"/>
  </r>
  <r>
    <x v="6"/>
    <x v="2"/>
    <s v="202201"/>
    <n v="43"/>
    <n v="115966.94"/>
    <n v="-6.6505141169601656E-2"/>
    <s v="CohortAvg"/>
    <n v="-1.3393027262292689E-2"/>
    <s v="CohortAvg"/>
    <n v="0.14925033618279801"/>
    <s v="CohortAvg"/>
    <n v="3.3039526824155958E-2"/>
    <s v="CohortAvg_NonZero"/>
    <n v="3.5593069595273712E-7"/>
    <s v="CohortAvg"/>
    <n v="0"/>
    <s v="Zero"/>
    <n v="-5.8400778871019733E-5"/>
    <s v="CohortAvg"/>
    <n v="-2.6366904995146382E-7"/>
    <s v="CohortAvg"/>
    <n v="0"/>
    <n v="-7712.4"/>
    <n v="-1553.15"/>
    <n v="1442.34"/>
    <n v="0"/>
    <n v="0.04"/>
    <n v="-6.77"/>
    <n v="-0.03"/>
    <n v="108143.69"/>
    <n v="0.189556"/>
    <n v="0.93640000000000001"/>
    <n v="0.177506"/>
    <s v="CohortAvg+Seasonal(0.936)"/>
    <n v="19196.14"/>
    <n v="19713.009999999998"/>
    <n v="-516.87"/>
    <x v="0"/>
    <n v="0"/>
    <n v="0.78500000000000003"/>
    <n v="0.24"/>
    <n v="0"/>
    <n v="0"/>
    <n v="0"/>
    <n v="19713.009999999998"/>
    <n v="115966.94"/>
    <n v="0.169988"/>
    <n v="-516.87"/>
    <n v="-516.83000000000004"/>
    <n v="0"/>
    <n v="-516.83000000000004"/>
    <n v="108660.52"/>
    <s v="Forecast"/>
  </r>
  <r>
    <x v="6"/>
    <x v="2"/>
    <s v="202301"/>
    <n v="34"/>
    <n v="8779736.6799999997"/>
    <n v="-3.7909281604517342E-2"/>
    <s v="CohortAvg"/>
    <n v="-1.5350240336689211E-2"/>
    <s v="CohortAvg"/>
    <n v="0.17399388147836431"/>
    <s v="CohortAvg"/>
    <n v="1.8317138319688789E-2"/>
    <s v="CohortAvg_NonZero"/>
    <n v="4.0869372969644681E-7"/>
    <s v="CohortAvg"/>
    <n v="0"/>
    <s v="Zero"/>
    <n v="-1.0463891179942971E-3"/>
    <s v="CohortAvg"/>
    <n v="-2.7871262371923512E-6"/>
    <s v="CohortAvg"/>
    <n v="0"/>
    <n v="-332833.51"/>
    <n v="-134771.07"/>
    <n v="127301.71"/>
    <n v="0"/>
    <n v="3.59"/>
    <n v="-9187.02"/>
    <n v="-24.47"/>
    <n v="8439430.2200000007"/>
    <n v="0.196241"/>
    <n v="0.93640000000000001"/>
    <n v="0.18376600000000001"/>
    <s v="CohortTrend+Seasonal(0.936)"/>
    <n v="1550876.88"/>
    <n v="1529084.5"/>
    <n v="21792.37"/>
    <x v="0"/>
    <n v="0"/>
    <n v="0.78500000000000003"/>
    <n v="0.24"/>
    <n v="0"/>
    <n v="0"/>
    <n v="0"/>
    <n v="1529084.5"/>
    <n v="8779736.6799999997"/>
    <n v="0.17416100000000001"/>
    <n v="21792.37"/>
    <n v="21795.96"/>
    <n v="0"/>
    <n v="21795.96"/>
    <n v="8417634.2599999998"/>
    <s v="Forecast"/>
  </r>
  <r>
    <x v="6"/>
    <x v="2"/>
    <s v="202404"/>
    <n v="24"/>
    <n v="2231146.19"/>
    <n v="-4.1651124321136337E-2"/>
    <s v="CohortAvg"/>
    <n v="-1.596666724037539E-2"/>
    <s v="CohortAvg"/>
    <n v="0.17623651446287811"/>
    <s v="CohortAvg"/>
    <n v="2.1804688297666061E-2"/>
    <s v="CohortAvg_NonZero"/>
    <n v="1.558147493779686E-6"/>
    <s v="CohortAvg"/>
    <n v="0"/>
    <s v="Zero"/>
    <n v="-2.9749318516441459E-3"/>
    <s v="CohortAvg"/>
    <n v="-1.7759148907581599E-5"/>
    <s v="CohortAvg"/>
    <n v="0"/>
    <n v="-92929.75"/>
    <n v="-35623.97"/>
    <n v="32767.45"/>
    <n v="0"/>
    <n v="3.48"/>
    <n v="-6637.51"/>
    <n v="-39.619999999999997"/>
    <n v="2135356.4500000002"/>
    <n v="0.14593"/>
    <n v="0.93640000000000001"/>
    <n v="0.136653"/>
    <s v="CohortTrend+Seasonal(0.936)"/>
    <n v="291802.14"/>
    <n v="288642.71999999997"/>
    <n v="3159.42"/>
    <x v="0"/>
    <n v="0"/>
    <n v="0.78500000000000003"/>
    <n v="0.24"/>
    <n v="0"/>
    <n v="0"/>
    <n v="0"/>
    <n v="288642.71999999997"/>
    <n v="2231146.19"/>
    <n v="0.12937000000000001"/>
    <n v="3159.42"/>
    <n v="3162.9"/>
    <n v="0"/>
    <n v="3162.9"/>
    <n v="2132193.56"/>
    <s v="Forecast"/>
  </r>
  <r>
    <x v="6"/>
    <x v="2"/>
    <s v="202405"/>
    <n v="23"/>
    <n v="2214794.2400000002"/>
    <n v="-2.0416793670713019E-2"/>
    <s v="CohortAvg"/>
    <n v="-1.514368561249323E-2"/>
    <s v="CohortAvg"/>
    <n v="0.1741458103935021"/>
    <s v="CohortAvg"/>
    <n v="3.0212372096717389E-2"/>
    <s v="CohortAvg_NonZero"/>
    <n v="1.951163542670647E-6"/>
    <s v="CohortAvg"/>
    <n v="0"/>
    <s v="Zero"/>
    <n v="-5.7459827555281411E-3"/>
    <s v="CohortAvg"/>
    <n v="-3.6846303846078119E-5"/>
    <s v="CohortAvg"/>
    <n v="0"/>
    <n v="-45219"/>
    <n v="-33540.15"/>
    <n v="32141.43"/>
    <n v="0"/>
    <n v="4.32"/>
    <n v="-12726.17"/>
    <n v="-81.61"/>
    <n v="2168172.2000000002"/>
    <n v="0.123806"/>
    <n v="0.93640000000000001"/>
    <n v="0.115935"/>
    <s v="CohortTrend+Seasonal(0.936)"/>
    <n v="251367.77"/>
    <n v="243064.31"/>
    <n v="8303.4599999999991"/>
    <x v="0"/>
    <n v="0"/>
    <n v="0.78500000000000003"/>
    <n v="0.24"/>
    <n v="0"/>
    <n v="0"/>
    <n v="0"/>
    <n v="243064.31"/>
    <n v="2214794.2400000002"/>
    <n v="0.109746"/>
    <n v="8303.4599999999991"/>
    <n v="8307.7800000000007"/>
    <n v="0"/>
    <n v="8307.7800000000007"/>
    <n v="2159864.42"/>
    <s v="Forecast"/>
  </r>
  <r>
    <x v="6"/>
    <x v="2"/>
    <s v="202406"/>
    <n v="22"/>
    <n v="1912807.09"/>
    <n v="-2.8192290424845019E-2"/>
    <s v="CohortAvg"/>
    <n v="-1.506236496601553E-2"/>
    <s v="CohortAvg"/>
    <n v="0.17274815364075349"/>
    <s v="CohortAvg"/>
    <n v="5.7811519113349842E-2"/>
    <s v="CohortAvg_NonZero"/>
    <n v="1.666719527288938E-6"/>
    <s v="CohortAvg"/>
    <n v="0"/>
    <s v="Zero"/>
    <n v="-4.0821578385588893E-3"/>
    <s v="CohortAvg"/>
    <n v="-5.6130960715664648E-5"/>
    <s v="CohortAvg"/>
    <n v="0"/>
    <n v="-53926.41"/>
    <n v="-28811.4"/>
    <n v="27536.16"/>
    <n v="0"/>
    <n v="3.19"/>
    <n v="-7808.38"/>
    <n v="-107.37"/>
    <n v="1857602.25"/>
    <n v="0.12964300000000001"/>
    <n v="0.93640000000000001"/>
    <n v="0.121402"/>
    <s v="CohortTrend+Seasonal(0.936)"/>
    <n v="225516.15"/>
    <n v="220479.26"/>
    <n v="5036.8900000000003"/>
    <x v="0"/>
    <n v="0"/>
    <n v="0.78500000000000003"/>
    <n v="0.24"/>
    <n v="0"/>
    <n v="0"/>
    <n v="0"/>
    <n v="220479.26"/>
    <n v="1912807.09"/>
    <n v="0.11526500000000001"/>
    <n v="5036.8900000000003"/>
    <n v="5040.08"/>
    <n v="0"/>
    <n v="5040.08"/>
    <n v="1852562.17"/>
    <s v="Forecast"/>
  </r>
  <r>
    <x v="6"/>
    <x v="2"/>
    <s v="202407"/>
    <n v="21"/>
    <n v="3455338.93"/>
    <n v="-2.7324977148543188E-2"/>
    <s v="CohortAvg"/>
    <n v="-1.561374673912291E-2"/>
    <s v="CohortAvg"/>
    <n v="0.17649573812491609"/>
    <s v="CohortAvg"/>
    <n v="3.0079689543956779E-2"/>
    <s v="CohortAvg_NonZero"/>
    <n v="6.9091407624188763E-6"/>
    <s v="CohortAvg"/>
    <n v="0"/>
    <s v="Zero"/>
    <n v="-5.1214999741672519E-3"/>
    <s v="CohortAvg"/>
    <n v="-4.4476170910381109E-5"/>
    <s v="CohortAvg"/>
    <n v="0"/>
    <n v="-94417.06"/>
    <n v="-53950.79"/>
    <n v="50821.05"/>
    <n v="0"/>
    <n v="23.87"/>
    <n v="-17696.52"/>
    <n v="-153.68"/>
    <n v="3357768.26"/>
    <n v="0.108116"/>
    <n v="0.93640000000000001"/>
    <n v="0.101243"/>
    <s v="CohortTrend+Seasonal(0.936)"/>
    <n v="339950.6"/>
    <n v="330449.09999999998"/>
    <n v="9501.49"/>
    <x v="0"/>
    <n v="0"/>
    <n v="0.78500000000000003"/>
    <n v="0.24"/>
    <n v="0"/>
    <n v="0"/>
    <n v="0"/>
    <n v="330449.09999999998"/>
    <n v="3455338.93"/>
    <n v="9.5633999999999997E-2"/>
    <n v="9501.49"/>
    <n v="9525.3700000000008"/>
    <n v="0"/>
    <n v="9525.3700000000008"/>
    <n v="3348242.9"/>
    <s v="Forecast"/>
  </r>
  <r>
    <x v="6"/>
    <x v="2"/>
    <s v="202408"/>
    <n v="20"/>
    <n v="2436279.79"/>
    <n v="-2.4627068731020989E-2"/>
    <s v="CohortAvg"/>
    <n v="-1.6449962710009269E-2"/>
    <s v="CohortAvg"/>
    <n v="0.1885961486114334"/>
    <s v="CohortAvg"/>
    <n v="2.0352567610094921E-2"/>
    <s v="CohortAvg_NonZero"/>
    <n v="6.6672587432207586E-7"/>
    <s v="CohortAvg"/>
    <n v="0"/>
    <s v="Zero"/>
    <n v="-3.6080587258786618E-3"/>
    <s v="CohortAvg"/>
    <n v="-3.7207075860027832E-5"/>
    <s v="CohortAvg"/>
    <n v="0"/>
    <n v="-59998.43"/>
    <n v="-40076.71"/>
    <n v="38289.42"/>
    <n v="0"/>
    <n v="1.62"/>
    <n v="-8790.24"/>
    <n v="-90.65"/>
    <n v="2374492.44"/>
    <n v="0.10290299999999999"/>
    <n v="0.93640000000000001"/>
    <n v="9.6361000000000002E-2"/>
    <s v="CohortTrend+Seasonal(0.936)"/>
    <n v="228809.46"/>
    <n v="215227.55"/>
    <n v="13581.9"/>
    <x v="0"/>
    <n v="0"/>
    <n v="0.78500000000000003"/>
    <n v="0.24"/>
    <n v="0"/>
    <n v="0"/>
    <n v="0"/>
    <n v="215227.55"/>
    <n v="2436279.79"/>
    <n v="8.8343000000000005E-2"/>
    <n v="13581.9"/>
    <n v="13583.53"/>
    <n v="0"/>
    <n v="13583.53"/>
    <n v="2360908.92"/>
    <s v="Forecast"/>
  </r>
  <r>
    <x v="6"/>
    <x v="2"/>
    <s v="202409"/>
    <n v="19"/>
    <n v="2338142.2400000002"/>
    <n v="-3.2461680991793723E-2"/>
    <s v="CohortAvg"/>
    <n v="-1.6684870325818269E-2"/>
    <s v="CohortAvg"/>
    <n v="0.18604577613356521"/>
    <s v="CohortAvg"/>
    <n v="3.2720386684293647E-2"/>
    <s v="CohortAvg_NonZero"/>
    <n v="8.6147337670822216E-6"/>
    <s v="CohortAvg"/>
    <n v="0"/>
    <s v="Zero"/>
    <n v="-1.2487550161676381E-2"/>
    <s v="CohortAvg"/>
    <n v="-1.029844041603007E-4"/>
    <s v="CohortAvg"/>
    <n v="0"/>
    <n v="-75900.03"/>
    <n v="-39011.599999999999"/>
    <n v="36250.120000000003"/>
    <n v="0"/>
    <n v="20.14"/>
    <n v="-29197.67"/>
    <n v="-240.79"/>
    <n v="2259460.59"/>
    <n v="9.6042000000000002E-2"/>
    <n v="0.93640000000000001"/>
    <n v="8.9937000000000003E-2"/>
    <s v="DonorCohort:202101+Seasonal(0.936)"/>
    <n v="203208.03"/>
    <n v="178500.65"/>
    <n v="24707.38"/>
    <x v="0"/>
    <n v="0"/>
    <n v="0.78500000000000003"/>
    <n v="0.24"/>
    <n v="0"/>
    <n v="0"/>
    <n v="0"/>
    <n v="178500.65"/>
    <n v="2338142.2400000002"/>
    <n v="7.6342999999999994E-2"/>
    <n v="24707.38"/>
    <n v="24727.52"/>
    <n v="0"/>
    <n v="24727.52"/>
    <n v="2234733.0699999998"/>
    <s v="Forecast"/>
  </r>
  <r>
    <x v="6"/>
    <x v="2"/>
    <s v="202410"/>
    <n v="18"/>
    <n v="2252539.7999999998"/>
    <n v="-3.9249284695382407E-2"/>
    <s v="CohortAvg"/>
    <n v="-1.663735380957344E-2"/>
    <s v="CohortAvg"/>
    <n v="0.18292365530095309"/>
    <s v="CohortAvg"/>
    <n v="2.6863295922836108E-2"/>
    <s v="CohortAvg_NonZero"/>
    <n v="3.1447467247180229E-6"/>
    <s v="CohortAvg"/>
    <n v="0"/>
    <s v="Zero"/>
    <n v="-8.4292219785756465E-3"/>
    <s v="CohortAvg"/>
    <n v="-1.173141419456355E-4"/>
    <s v="CohortAvg"/>
    <n v="0"/>
    <n v="-88410.58"/>
    <n v="-37476.300000000003"/>
    <n v="34336.9"/>
    <n v="0"/>
    <n v="7.08"/>
    <n v="-18987.16"/>
    <n v="-264.25"/>
    <n v="2160982.7400000002"/>
    <n v="8.2997000000000001E-2"/>
    <n v="0.93640000000000001"/>
    <n v="7.7719999999999997E-2"/>
    <s v="DonorCohort:202101+Seasonal(0.936)"/>
    <n v="167952.16"/>
    <n v="160488.84"/>
    <n v="7463.32"/>
    <x v="0"/>
    <n v="0"/>
    <n v="0.78500000000000003"/>
    <n v="0.24"/>
    <n v="0"/>
    <n v="0"/>
    <n v="0"/>
    <n v="160488.84"/>
    <n v="2252539.7999999998"/>
    <n v="7.1248000000000006E-2"/>
    <n v="7463.32"/>
    <n v="7470.4"/>
    <n v="0"/>
    <n v="7470.4"/>
    <n v="2153512.34"/>
    <s v="Forecast"/>
  </r>
  <r>
    <x v="6"/>
    <x v="2"/>
    <s v="202411"/>
    <n v="17"/>
    <n v="2531176.94"/>
    <n v="-3.6534624492480523E-2"/>
    <s v="CohortAvg"/>
    <n v="-1.7450962720959098E-2"/>
    <s v="CohortAvg"/>
    <n v="0.19103129543377881"/>
    <s v="CohortAvg"/>
    <n v="2.0786477612805859E-2"/>
    <s v="CohortAvg_NonZero"/>
    <n v="3.282509624911012E-6"/>
    <s v="CohortAvg"/>
    <n v="0"/>
    <s v="Zero"/>
    <n v="-1.167520639748419E-2"/>
    <s v="CohortAvg"/>
    <n v="-1.038765042718816E-4"/>
    <s v="CohortAvg"/>
    <n v="0"/>
    <n v="-92475.6"/>
    <n v="-44171.47"/>
    <n v="40294.5"/>
    <n v="0"/>
    <n v="8.31"/>
    <n v="-29552.01"/>
    <n v="-262.93"/>
    <n v="2434816.06"/>
    <n v="7.7456999999999998E-2"/>
    <n v="0.93640000000000001"/>
    <n v="7.2533E-2"/>
    <s v="DonorCohort:202101+Seasonal(0.936)"/>
    <n v="176605.37"/>
    <n v="176834.21"/>
    <n v="-228.84"/>
    <x v="0"/>
    <n v="0"/>
    <n v="0.78500000000000003"/>
    <n v="0.24"/>
    <n v="0"/>
    <n v="0"/>
    <n v="0"/>
    <n v="176834.21"/>
    <n v="2531176.94"/>
    <n v="6.9861999999999994E-2"/>
    <n v="-228.84"/>
    <n v="-220.53"/>
    <n v="0"/>
    <n v="-220.53"/>
    <n v="2435036.59"/>
    <s v="Forecast"/>
  </r>
  <r>
    <x v="6"/>
    <x v="2"/>
    <s v="202412"/>
    <n v="16"/>
    <n v="2215692.33"/>
    <n v="-2.1204995321977609E-2"/>
    <s v="CohortAvg"/>
    <n v="-1.66437666423601E-2"/>
    <s v="CohortAvg"/>
    <n v="0.19061707175240239"/>
    <s v="CohortAvg"/>
    <n v="2.7195395858449121E-2"/>
    <s v="CohortAvg_NonZero"/>
    <n v="1.9733408529134909E-6"/>
    <s v="CohortAvg"/>
    <n v="0"/>
    <s v="Zero"/>
    <n v="-1.182213926661398E-2"/>
    <s v="CohortAvg"/>
    <n v="-8.9702822870763637E-5"/>
    <s v="CohortAvg"/>
    <n v="0"/>
    <n v="-46983.75"/>
    <n v="-36877.47"/>
    <n v="35195.730000000003"/>
    <n v="0"/>
    <n v="4.37"/>
    <n v="-26194.22"/>
    <n v="-198.75"/>
    <n v="2167022.48"/>
    <n v="7.5951000000000005E-2"/>
    <n v="0.93640000000000001"/>
    <n v="7.1123000000000006E-2"/>
    <s v="DonorCohort:202101+Seasonal(0.936)"/>
    <n v="154124.82999999999"/>
    <n v="138902.09"/>
    <n v="15222.74"/>
    <x v="0"/>
    <n v="0"/>
    <n v="0.78500000000000003"/>
    <n v="0.24"/>
    <n v="0"/>
    <n v="0"/>
    <n v="0"/>
    <n v="138902.09"/>
    <n v="2215692.33"/>
    <n v="6.2689999999999996E-2"/>
    <n v="15222.74"/>
    <n v="15227.11"/>
    <n v="0"/>
    <n v="15227.11"/>
    <n v="2151795.37"/>
    <s v="Forecast"/>
  </r>
  <r>
    <x v="6"/>
    <x v="2"/>
    <s v="202501"/>
    <n v="15"/>
    <n v="4004828.7"/>
    <n v="-3.0041367475899871E-2"/>
    <s v="CohortAvg"/>
    <n v="-1.7442747128344361E-2"/>
    <s v="CohortAvg"/>
    <n v="0.19208324805745711"/>
    <s v="CohortAvg"/>
    <n v="1.4718991047559551E-2"/>
    <s v="CohortAvg_NonZero"/>
    <n v="7.2457423983946531E-5"/>
    <s v="CohortAvg"/>
    <n v="0"/>
    <s v="Zero"/>
    <n v="-1.811271661539918E-2"/>
    <s v="CohortAvg"/>
    <n v="-1.5027986077344871E-4"/>
    <s v="CohortAvg"/>
    <n v="0"/>
    <n v="-120310.53"/>
    <n v="-69855.210000000006"/>
    <n v="64105.04"/>
    <n v="0"/>
    <n v="290.18"/>
    <n v="-72538.33"/>
    <n v="-601.85"/>
    <n v="3878477.82"/>
    <n v="6.8154000000000006E-2"/>
    <n v="0.93640000000000001"/>
    <n v="6.3821000000000003E-2"/>
    <s v="DonorCohort:202101+Seasonal(0.936)"/>
    <n v="247528.97"/>
    <n v="206372.51"/>
    <n v="41156.46"/>
    <x v="0"/>
    <n v="0"/>
    <n v="0.78500000000000003"/>
    <n v="0.24"/>
    <n v="0"/>
    <n v="0"/>
    <n v="0"/>
    <n v="206372.51"/>
    <n v="4004828.7"/>
    <n v="5.1531E-2"/>
    <n v="41156.46"/>
    <n v="41446.639999999999"/>
    <n v="0"/>
    <n v="41446.639999999999"/>
    <n v="3837031.18"/>
    <s v="Forecast"/>
  </r>
  <r>
    <x v="6"/>
    <x v="2"/>
    <s v="202502"/>
    <n v="14"/>
    <n v="4122466.3"/>
    <n v="-3.3803880809020893E-2"/>
    <s v="CohortAvg"/>
    <n v="-1.7615209391945622E-2"/>
    <s v="CohortAvg"/>
    <n v="0.19853460598257311"/>
    <s v="CohortAvg"/>
    <n v="7.9645373695133598E-3"/>
    <s v="CohortAvg_NonZero"/>
    <n v="0"/>
    <s v="CohortAvg"/>
    <n v="0"/>
    <s v="Zero"/>
    <n v="-3.0981392394779921E-2"/>
    <s v="CohortAvg"/>
    <n v="-2.8323586978242198E-4"/>
    <s v="CohortAvg"/>
    <n v="0"/>
    <n v="-139355.35999999999"/>
    <n v="-72618.11"/>
    <n v="68204.350000000006"/>
    <n v="0"/>
    <n v="0"/>
    <n v="-127719.75"/>
    <n v="-1167.6300000000001"/>
    <n v="3978697.19"/>
    <n v="5.6022000000000002E-2"/>
    <n v="0.93640000000000001"/>
    <n v="5.2461000000000001E-2"/>
    <s v="DonorCohort:202101+Seasonal(0.936)"/>
    <n v="208724.87"/>
    <n v="193289.58"/>
    <n v="15435.28"/>
    <x v="0"/>
    <n v="0"/>
    <n v="0.78500000000000003"/>
    <n v="0.24"/>
    <n v="0"/>
    <n v="0"/>
    <n v="0"/>
    <n v="193289.58"/>
    <n v="4122466.3"/>
    <n v="4.6886999999999998E-2"/>
    <n v="15435.28"/>
    <n v="15435.28"/>
    <n v="0"/>
    <n v="15435.28"/>
    <n v="3963261.9"/>
    <s v="Forecast"/>
  </r>
  <r>
    <x v="6"/>
    <x v="2"/>
    <s v="202503"/>
    <n v="13"/>
    <n v="5279014.8"/>
    <n v="-2.2771410288089131E-2"/>
    <s v="CohortAvg"/>
    <n v="-1.694961300064882E-2"/>
    <s v="CohortAvg"/>
    <n v="0.20104026858400051"/>
    <s v="CohortAvg"/>
    <n v="7.1848262480383477E-3"/>
    <s v="CohortAvg_NonZero"/>
    <n v="1.122234215179238E-7"/>
    <s v="CohortAvg"/>
    <n v="0"/>
    <s v="Zero"/>
    <n v="0"/>
    <s v="CohortAvg"/>
    <n v="0"/>
    <s v="CohortAvg"/>
    <n v="0"/>
    <n v="-120210.61"/>
    <n v="-89477.26"/>
    <n v="88441.21"/>
    <n v="0"/>
    <n v="0.59"/>
    <n v="0"/>
    <n v="0"/>
    <n v="5157767.55"/>
    <n v="5.0972999999999997E-2"/>
    <n v="0.93640000000000001"/>
    <n v="4.7732999999999998E-2"/>
    <s v="DonorCohort:202101+Seasonal(0.936)"/>
    <n v="246194.59"/>
    <n v="223395.63"/>
    <n v="22798.959999999999"/>
    <x v="0"/>
    <n v="0"/>
    <n v="0.78500000000000003"/>
    <n v="0.24"/>
    <n v="0"/>
    <n v="0"/>
    <n v="0"/>
    <n v="223395.63"/>
    <n v="5279014.8"/>
    <n v="4.2318000000000001E-2"/>
    <n v="22798.959999999999"/>
    <n v="22799.55"/>
    <n v="0"/>
    <n v="22799.55"/>
    <n v="5134968"/>
    <s v="Forecast"/>
  </r>
  <r>
    <x v="6"/>
    <x v="2"/>
    <s v="202504"/>
    <n v="12"/>
    <n v="6673853.6399999997"/>
    <n v="-2.4491244792374769E-2"/>
    <s v="CohortAvg"/>
    <n v="-1.6850698975395841E-2"/>
    <s v="CohortAvg"/>
    <n v="0.19636925516763459"/>
    <s v="CohortAvg"/>
    <n v="3.260907177009143E-3"/>
    <s v="CohortAvg_NonZero"/>
    <n v="0"/>
    <s v="CohortAvg"/>
    <n v="0"/>
    <s v="Zero"/>
    <n v="0"/>
    <s v="CohortAvg"/>
    <n v="0"/>
    <s v="CohortAvg"/>
    <n v="0"/>
    <n v="-163450.98000000001"/>
    <n v="-112459.1"/>
    <n v="109211.64"/>
    <n v="0"/>
    <n v="0"/>
    <n v="0"/>
    <n v="0"/>
    <n v="6507155.2000000002"/>
    <n v="4.6005999999999998E-2"/>
    <n v="0.93640000000000001"/>
    <n v="4.3081000000000001E-2"/>
    <s v="DonorCohort:202101+Seasonal(0.936)"/>
    <n v="280335.65999999997"/>
    <n v="243393.68"/>
    <n v="36941.99"/>
    <x v="0"/>
    <n v="0"/>
    <n v="0.78500000000000003"/>
    <n v="0.24"/>
    <n v="0"/>
    <n v="0"/>
    <n v="0"/>
    <n v="243393.68"/>
    <n v="6673853.6399999997"/>
    <n v="3.6470000000000002E-2"/>
    <n v="36941.99"/>
    <n v="36941.99"/>
    <n v="0"/>
    <n v="36941.99"/>
    <n v="6470213.21"/>
    <s v="Forecast"/>
  </r>
  <r>
    <x v="6"/>
    <x v="2"/>
    <s v="202505"/>
    <n v="11"/>
    <n v="6515844.9000000004"/>
    <n v="-2.509035632989037E-2"/>
    <s v="CohortAvg"/>
    <n v="-1.515859324975803E-2"/>
    <s v="CohortAvg"/>
    <n v="0.1773348241253527"/>
    <s v="CohortAvg"/>
    <n v="0"/>
    <s v="CohortAvg_NoData_ERROR"/>
    <n v="0"/>
    <s v="CohortAvg"/>
    <n v="0"/>
    <s v="Zero"/>
    <n v="0"/>
    <s v="CohortAvg"/>
    <n v="0"/>
    <s v="CohortAvg"/>
    <n v="0"/>
    <n v="-163484.87"/>
    <n v="-98771.04"/>
    <n v="96290.52"/>
    <n v="0"/>
    <n v="0"/>
    <n v="0"/>
    <n v="0"/>
    <n v="6349879.5"/>
    <n v="3.9648000000000003E-2"/>
    <n v="0.93640000000000001"/>
    <n v="3.7128000000000001E-2"/>
    <s v="DonorCohort:202101+Seasonal(0.936)"/>
    <n v="235756.4"/>
    <n v="197199.31"/>
    <n v="38557.089999999997"/>
    <x v="0"/>
    <n v="0"/>
    <n v="0.78500000000000003"/>
    <n v="0.24"/>
    <n v="0"/>
    <n v="0"/>
    <n v="0"/>
    <n v="197199.31"/>
    <n v="6515844.9000000004"/>
    <n v="3.0265E-2"/>
    <n v="38557.089999999997"/>
    <n v="38557.089999999997"/>
    <n v="0"/>
    <n v="38557.089999999997"/>
    <n v="6311322.4100000001"/>
    <s v="Forecast"/>
  </r>
  <r>
    <x v="6"/>
    <x v="2"/>
    <s v="202506"/>
    <n v="10"/>
    <n v="6609371.4000000004"/>
    <n v="-1.790926012400141E-2"/>
    <s v="CohortAvg"/>
    <n v="-1.450443400647649E-2"/>
    <s v="CohortAvg"/>
    <n v="0.17632313319877529"/>
    <s v="CohortAvg"/>
    <n v="0"/>
    <s v="CohortAvg_NoData_ERROR"/>
    <n v="0"/>
    <s v="CohortAvg"/>
    <n v="0"/>
    <s v="Zero"/>
    <n v="0"/>
    <s v="CohortAvg"/>
    <n v="0"/>
    <s v="CohortAvg"/>
    <n v="0"/>
    <n v="-118368.95"/>
    <n v="-95865.19"/>
    <n v="97115.42"/>
    <n v="0"/>
    <n v="0"/>
    <n v="0"/>
    <n v="0"/>
    <n v="6492252.6799999997"/>
    <n v="3.2902000000000001E-2"/>
    <n v="0.93640000000000001"/>
    <n v="3.0811000000000002E-2"/>
    <s v="DonorCohort:202101+Seasonal(0.936)"/>
    <n v="200030.15"/>
    <n v="128747.13"/>
    <n v="71283.02"/>
    <x v="0"/>
    <n v="0"/>
    <n v="0.78500000000000003"/>
    <n v="0.24"/>
    <n v="0"/>
    <n v="0"/>
    <n v="0"/>
    <n v="128747.13"/>
    <n v="6609371.4000000004"/>
    <n v="1.9479E-2"/>
    <n v="71283.02"/>
    <n v="71283.02"/>
    <n v="0"/>
    <n v="71283.02"/>
    <n v="6420969.6500000004"/>
    <s v="Forecast"/>
  </r>
  <r>
    <x v="6"/>
    <x v="2"/>
    <s v="202507"/>
    <n v="9"/>
    <n v="8284178.9500000002"/>
    <n v="-1.3930774356580239E-2"/>
    <s v="CohortAvg"/>
    <n v="-1.4641159878383129E-2"/>
    <s v="CohortAvg"/>
    <n v="0.1613202991187043"/>
    <s v="CohortAvg"/>
    <n v="0"/>
    <s v="CohortAvg_NoData_ERROR"/>
    <n v="0"/>
    <s v="CohortAvg"/>
    <n v="0"/>
    <s v="Zero"/>
    <n v="0"/>
    <s v="CohortAvg"/>
    <n v="0"/>
    <s v="CohortAvg"/>
    <n v="0"/>
    <n v="-115405.03"/>
    <n v="-121289.99"/>
    <n v="111367.19"/>
    <n v="0"/>
    <n v="0"/>
    <n v="0"/>
    <n v="0"/>
    <n v="8158851.1200000001"/>
    <n v="2.1177000000000001E-2"/>
    <n v="0.93640000000000001"/>
    <n v="1.9831000000000001E-2"/>
    <s v="DonorCohort:202101+Seasonal(0.936)"/>
    <n v="161797.5"/>
    <n v="117960.9"/>
    <n v="43836.6"/>
    <x v="0"/>
    <n v="0"/>
    <n v="0.78500000000000003"/>
    <n v="0.24"/>
    <n v="0"/>
    <n v="0"/>
    <n v="0"/>
    <n v="117960.9"/>
    <n v="8284178.9500000002"/>
    <n v="1.4239E-2"/>
    <n v="43836.6"/>
    <n v="43836.6"/>
    <n v="0"/>
    <n v="43836.6"/>
    <n v="8115014.5300000003"/>
    <s v="Forecast"/>
  </r>
  <r>
    <x v="6"/>
    <x v="2"/>
    <s v="202508"/>
    <n v="8"/>
    <n v="7315899.2599999998"/>
    <n v="-1.5938704310821311E-2"/>
    <s v="CohortAvg"/>
    <n v="-9.7500234361281145E-3"/>
    <s v="CohortAvg"/>
    <n v="0.15366408260860159"/>
    <s v="CohortAvg"/>
    <n v="0"/>
    <s v="CohortAvg_NoData_ERROR"/>
    <n v="2.8432086556980799E-5"/>
    <s v="CohortAvg"/>
    <n v="0"/>
    <s v="Zero"/>
    <n v="0"/>
    <s v="CohortAvg"/>
    <n v="0"/>
    <s v="CohortAvg"/>
    <n v="0"/>
    <n v="-116605.96"/>
    <n v="-71330.19"/>
    <n v="93682.58"/>
    <n v="0"/>
    <n v="208.01"/>
    <n v="0"/>
    <n v="0"/>
    <n v="7221437.6900000004"/>
    <n v="1.5480000000000001E-2"/>
    <n v="0.93640000000000001"/>
    <n v="1.4496E-2"/>
    <s v="DonorCohort:202101+Seasonal(0.936)"/>
    <n v="104683.37"/>
    <n v="88686.8"/>
    <n v="15996.57"/>
    <x v="0"/>
    <n v="0"/>
    <n v="0.78500000000000003"/>
    <n v="0.24"/>
    <n v="0"/>
    <n v="0"/>
    <n v="0"/>
    <n v="88686.8"/>
    <n v="7315899.2599999998"/>
    <n v="1.2122000000000001E-2"/>
    <n v="15996.57"/>
    <n v="16204.58"/>
    <n v="0"/>
    <n v="16204.58"/>
    <n v="7205233.1100000003"/>
    <s v="Forecast"/>
  </r>
  <r>
    <x v="6"/>
    <x v="2"/>
    <s v="202509"/>
    <n v="7"/>
    <n v="6660565.6399999997"/>
    <n v="-0.1827427735487378"/>
    <s v="CohortAvg"/>
    <n v="-2.242167180143364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217170.24"/>
    <n v="-149341.01999999999"/>
    <n v="277523.57"/>
    <n v="0"/>
    <n v="0"/>
    <n v="0"/>
    <n v="0"/>
    <n v="5571577.9500000002"/>
    <n v="1.3179E-2"/>
    <n v="0.93640000000000001"/>
    <n v="1.2341E-2"/>
    <s v="DonorCohort:202101+Seasonal(0.936)"/>
    <n v="68759.839999999997"/>
    <n v="56605.19"/>
    <n v="12154.65"/>
    <x v="0"/>
    <n v="0"/>
    <n v="0.78500000000000003"/>
    <n v="0.24"/>
    <n v="0"/>
    <n v="0"/>
    <n v="0"/>
    <n v="56605.19"/>
    <n v="6660565.6399999997"/>
    <n v="8.4989999999999996E-3"/>
    <n v="12154.65"/>
    <n v="12154.65"/>
    <n v="0"/>
    <n v="12154.65"/>
    <n v="5559423.2999999998"/>
    <s v="Forecast"/>
  </r>
  <r>
    <x v="6"/>
    <x v="3"/>
    <s v="201912"/>
    <n v="76"/>
    <n v="54396.35"/>
    <n v="-7.3383271451024374E-3"/>
    <s v="CohortAvg"/>
    <n v="-6.5218786010510013E-4"/>
    <s v="CohortAvg"/>
    <n v="0"/>
    <s v="CohortAvg"/>
    <n v="3.0460547859048909E-2"/>
    <s v="CohortAvg_NonZero"/>
    <n v="2.2055300230317701E-6"/>
    <s v="CohortAvg"/>
    <n v="0"/>
    <s v="Zero"/>
    <n v="0"/>
    <s v="CohortAvg"/>
    <n v="0"/>
    <s v="CohortAvg"/>
    <n v="0"/>
    <n v="-399.18"/>
    <n v="-35.479999999999997"/>
    <n v="0"/>
    <n v="0"/>
    <n v="0.12"/>
    <n v="0"/>
    <n v="0"/>
    <n v="53961.57"/>
    <n v="0.98874899999999999"/>
    <n v="1.0118"/>
    <n v="1.000407"/>
    <s v="CohortAvg+Seasonal(1.012)"/>
    <n v="53983.53"/>
    <n v="53510.33"/>
    <n v="473.2"/>
    <x v="0"/>
    <n v="0"/>
    <n v="0.78500000000000003"/>
    <n v="0.24"/>
    <n v="0"/>
    <n v="0"/>
    <n v="0"/>
    <n v="53510.33"/>
    <n v="54396.35"/>
    <n v="0.98371200000000003"/>
    <n v="473.2"/>
    <n v="473.32"/>
    <n v="0"/>
    <n v="473.32"/>
    <n v="53488.25"/>
    <s v="Forecast"/>
  </r>
  <r>
    <x v="6"/>
    <x v="3"/>
    <s v="202001"/>
    <n v="75"/>
    <n v="118.35"/>
    <n v="-0.5"/>
    <s v="CohortAvg"/>
    <n v="-5.969298522154465E-5"/>
    <s v="CohortAvg"/>
    <n v="0"/>
    <s v="CohortAvg"/>
    <n v="1.7647017796375529E-2"/>
    <s v="CohortAvg_NonZero"/>
    <n v="0"/>
    <s v="CohortAvg"/>
    <n v="0"/>
    <s v="Zero"/>
    <n v="0"/>
    <s v="CohortAvg"/>
    <n v="0"/>
    <s v="CohortAvg"/>
    <n v="0"/>
    <n v="-59.17"/>
    <n v="-0.01"/>
    <n v="0"/>
    <n v="0"/>
    <n v="0"/>
    <n v="0"/>
    <n v="0"/>
    <n v="59.17"/>
    <n v="0.80618800000000002"/>
    <n v="1.0118"/>
    <n v="0.81569400000000003"/>
    <s v="CohortAvg+Seasonal(1.012)"/>
    <n v="48.26"/>
    <n v="97.65"/>
    <n v="-49.39"/>
    <x v="0"/>
    <n v="0"/>
    <n v="0.78500000000000003"/>
    <n v="0.24"/>
    <n v="0"/>
    <n v="0"/>
    <n v="0"/>
    <n v="97.65"/>
    <n v="118.35"/>
    <n v="0.82514100000000001"/>
    <n v="-49.39"/>
    <n v="-49.39"/>
    <n v="0"/>
    <n v="-49.39"/>
    <n v="108.56"/>
    <s v="Forecast"/>
  </r>
  <r>
    <x v="6"/>
    <x v="3"/>
    <s v="202101"/>
    <n v="63"/>
    <n v="1115771.6599999999"/>
    <n v="-0.1059280387757702"/>
    <s v="CohortAvg"/>
    <n v="-8.5164596781380376E-3"/>
    <s v="CohortAvg"/>
    <n v="0.11066721254349129"/>
    <s v="CohortAvg"/>
    <n v="6.5090158429887924E-3"/>
    <s v="CohortAvg_NonZero"/>
    <n v="0"/>
    <s v="CohortAvg"/>
    <n v="0"/>
    <s v="Zero"/>
    <n v="-5.103812935954062E-4"/>
    <s v="CohortAvg"/>
    <n v="-5.4335909489529236E-6"/>
    <s v="CohortAvg"/>
    <n v="0"/>
    <n v="-118191.5"/>
    <n v="-9502.42"/>
    <n v="10289.94"/>
    <n v="0"/>
    <n v="0"/>
    <n v="-569.47"/>
    <n v="-6.06"/>
    <n v="998367.68"/>
    <n v="0.27495000000000003"/>
    <n v="1.0118"/>
    <n v="0.27819199999999999"/>
    <s v="CohortAvg+Seasonal(1.012)"/>
    <n v="277738.03000000003"/>
    <n v="307303.61"/>
    <n v="-29565.58"/>
    <x v="0"/>
    <n v="0"/>
    <n v="0.78500000000000003"/>
    <n v="0.24"/>
    <n v="0"/>
    <n v="0"/>
    <n v="0"/>
    <n v="307303.61"/>
    <n v="1115771.6599999999"/>
    <n v="0.275418"/>
    <n v="-29565.58"/>
    <n v="-29565.58"/>
    <n v="0"/>
    <n v="-29565.58"/>
    <n v="1027933.26"/>
    <s v="Forecast"/>
  </r>
  <r>
    <x v="6"/>
    <x v="3"/>
    <s v="202201"/>
    <n v="43"/>
    <n v="250293.38"/>
    <n v="-8.8825165989980845E-2"/>
    <s v="CohortAvg"/>
    <n v="-1.04743147503809E-2"/>
    <s v="CohortAvg"/>
    <n v="0.11368045073389139"/>
    <s v="CohortAvg"/>
    <n v="3.0984012446506729E-2"/>
    <s v="CohortAvg_NonZero"/>
    <n v="8.297384939927071E-4"/>
    <s v="CohortAvg"/>
    <n v="0"/>
    <s v="Zero"/>
    <n v="-4.9647836848170995E-4"/>
    <s v="CohortAvg"/>
    <n v="-4.1384728416748527E-6"/>
    <s v="CohortAvg"/>
    <n v="0"/>
    <n v="-22232.35"/>
    <n v="-2621.65"/>
    <n v="2371.12"/>
    <n v="0"/>
    <n v="207.68"/>
    <n v="-124.27"/>
    <n v="-1.04"/>
    <n v="227602.82"/>
    <n v="0.30375200000000002"/>
    <n v="1.0118"/>
    <n v="0.307334"/>
    <s v="CohortAvg+Seasonal(1.012)"/>
    <n v="69949.97"/>
    <n v="75978.91"/>
    <n v="-6028.94"/>
    <x v="0"/>
    <n v="0"/>
    <n v="0.78500000000000003"/>
    <n v="0.24"/>
    <n v="0"/>
    <n v="0"/>
    <n v="0"/>
    <n v="75978.91"/>
    <n v="250293.38"/>
    <n v="0.30355900000000002"/>
    <n v="-6028.94"/>
    <n v="-5821.26"/>
    <n v="0"/>
    <n v="-5821.26"/>
    <n v="233424.08"/>
    <s v="Forecast"/>
  </r>
  <r>
    <x v="6"/>
    <x v="3"/>
    <s v="202301"/>
    <n v="34"/>
    <n v="2965825.37"/>
    <n v="-7.0270603880601967E-2"/>
    <s v="CohortAvg"/>
    <n v="-1.6138941284431989E-2"/>
    <s v="CohortAvg"/>
    <n v="0.1911197774021749"/>
    <s v="CohortAvg"/>
    <n v="2.4117685144819059E-2"/>
    <s v="CohortAvg_NonZero"/>
    <n v="1.2672526683059101E-5"/>
    <s v="CohortAvg"/>
    <n v="0"/>
    <s v="Zero"/>
    <n v="-2.6513545996751401E-3"/>
    <s v="CohortAvg"/>
    <n v="-1.9073515186192469E-5"/>
    <s v="CohortAvg"/>
    <n v="0"/>
    <n v="-208410.34"/>
    <n v="-47865.279999999999"/>
    <n v="47235.66"/>
    <n v="0"/>
    <n v="37.58"/>
    <n v="-7863.45"/>
    <n v="-56.57"/>
    <n v="2756747.82"/>
    <n v="0.25262499999999999"/>
    <n v="1.0118"/>
    <n v="0.25560300000000002"/>
    <s v="CohortTrend+Seasonal(1.012)"/>
    <n v="704634.31"/>
    <n v="721098.23999999999"/>
    <n v="-16463.93"/>
    <x v="0"/>
    <n v="0"/>
    <n v="0.78500000000000003"/>
    <n v="0.24"/>
    <n v="0"/>
    <n v="0"/>
    <n v="0"/>
    <n v="721098.23999999999"/>
    <n v="2965825.37"/>
    <n v="0.24313599999999999"/>
    <n v="-16463.93"/>
    <n v="-16426.34"/>
    <n v="0"/>
    <n v="-16426.34"/>
    <n v="2773174.16"/>
    <s v="Forecast"/>
  </r>
  <r>
    <x v="6"/>
    <x v="3"/>
    <s v="202404"/>
    <n v="24"/>
    <n v="739476.75"/>
    <n v="-4.9718081067406411E-2"/>
    <s v="CohortAvg"/>
    <n v="-1.751777490220878E-2"/>
    <s v="CohortAvg"/>
    <n v="0.19231534682941631"/>
    <s v="CohortAvg"/>
    <n v="6.0128944673645927E-2"/>
    <s v="CohortAvg_NonZero"/>
    <n v="3.9269074770617254E-6"/>
    <s v="CohortAvg"/>
    <n v="0"/>
    <s v="Zero"/>
    <n v="-1.089939895562466E-2"/>
    <s v="CohortAvg"/>
    <n v="-1.2114561445515E-4"/>
    <s v="CohortAvg"/>
    <n v="0"/>
    <n v="-36765.370000000003"/>
    <n v="-12953.99"/>
    <n v="11851.06"/>
    <n v="0"/>
    <n v="2.9"/>
    <n v="-8059.85"/>
    <n v="-89.58"/>
    <n v="701605.56"/>
    <n v="0.15987199999999999"/>
    <n v="1.0118"/>
    <n v="0.16175700000000001"/>
    <s v="CohortTrend+Seasonal(1.012)"/>
    <n v="113489.58"/>
    <n v="114080.62"/>
    <n v="-591.04"/>
    <x v="0"/>
    <n v="0"/>
    <n v="0.78500000000000003"/>
    <n v="0.24"/>
    <n v="0"/>
    <n v="0"/>
    <n v="0"/>
    <n v="114080.62"/>
    <n v="739476.75"/>
    <n v="0.15427199999999999"/>
    <n v="-591.04"/>
    <n v="-588.13"/>
    <n v="0"/>
    <n v="-588.13"/>
    <n v="702193.69"/>
    <s v="Forecast"/>
  </r>
  <r>
    <x v="6"/>
    <x v="3"/>
    <s v="202405"/>
    <n v="23"/>
    <n v="664404.23"/>
    <n v="-5.1944580388075597E-2"/>
    <s v="CohortAvg"/>
    <n v="-1.7938658535790741E-2"/>
    <s v="CohortAvg"/>
    <n v="0.20076988439200261"/>
    <s v="CohortAvg"/>
    <n v="4.4118694610453861E-2"/>
    <s v="CohortAvg_NonZero"/>
    <n v="5.1817217202275824E-6"/>
    <s v="CohortAvg"/>
    <n v="0"/>
    <s v="Zero"/>
    <n v="-1.226020130192648E-2"/>
    <s v="CohortAvg"/>
    <n v="-1.101737842464912E-4"/>
    <s v="CohortAvg"/>
    <n v="0"/>
    <n v="-34512.199999999997"/>
    <n v="-11918.52"/>
    <n v="11116.03"/>
    <n v="0"/>
    <n v="3.44"/>
    <n v="-8145.73"/>
    <n v="-73.2"/>
    <n v="629086.1"/>
    <n v="0.13372500000000001"/>
    <n v="1.0118"/>
    <n v="0.13530200000000001"/>
    <s v="CohortTrend+Seasonal(1.012)"/>
    <n v="85116.3"/>
    <n v="86196.11"/>
    <n v="-1079.81"/>
    <x v="0"/>
    <n v="0"/>
    <n v="0.78500000000000003"/>
    <n v="0.24"/>
    <n v="0"/>
    <n v="0"/>
    <n v="0"/>
    <n v="86196.11"/>
    <n v="664404.23"/>
    <n v="0.12973399999999999"/>
    <n v="-1079.81"/>
    <n v="-1076.3699999999999"/>
    <n v="0"/>
    <n v="-1076.3699999999999"/>
    <n v="630162.47"/>
    <s v="Forecast"/>
  </r>
  <r>
    <x v="6"/>
    <x v="3"/>
    <s v="202406"/>
    <n v="22"/>
    <n v="818332.69"/>
    <n v="-4.8384141922943817E-2"/>
    <s v="CohortAvg"/>
    <n v="-1.813617333200777E-2"/>
    <s v="CohortAvg"/>
    <n v="0.20363844578088569"/>
    <s v="CohortAvg"/>
    <n v="3.7923592910050812E-2"/>
    <s v="CohortAvg_NonZero"/>
    <n v="3.684989416634022E-6"/>
    <s v="CohortAvg"/>
    <n v="0"/>
    <s v="Zero"/>
    <n v="-1.449886425194029E-2"/>
    <s v="CohortAvg"/>
    <n v="-1.171671262282659E-4"/>
    <s v="CohortAvg"/>
    <n v="0"/>
    <n v="-39594.33"/>
    <n v="-14841.42"/>
    <n v="13887"/>
    <n v="0"/>
    <n v="3.02"/>
    <n v="-11864.89"/>
    <n v="-95.88"/>
    <n v="777780.93"/>
    <n v="0.10595499999999999"/>
    <n v="1.0118"/>
    <n v="0.10720399999999999"/>
    <s v="CohortTrend+Seasonal(1.012)"/>
    <n v="83381.509999999995"/>
    <n v="84219.31"/>
    <n v="-837.8"/>
    <x v="0"/>
    <n v="0"/>
    <n v="0.78500000000000003"/>
    <n v="0.24"/>
    <n v="0"/>
    <n v="0"/>
    <n v="0"/>
    <n v="84219.31"/>
    <n v="818332.69"/>
    <n v="0.10291599999999999"/>
    <n v="-837.8"/>
    <n v="-834.78"/>
    <n v="0"/>
    <n v="-834.78"/>
    <n v="778615.71"/>
    <s v="Forecast"/>
  </r>
  <r>
    <x v="6"/>
    <x v="3"/>
    <s v="202407"/>
    <n v="21"/>
    <n v="761403.84"/>
    <n v="-6.6053938576803597E-2"/>
    <s v="CohortAvg"/>
    <n v="-1.8871620714479759E-2"/>
    <s v="CohortAvg"/>
    <n v="0.2078059276638736"/>
    <s v="CohortAvg"/>
    <n v="2.6300949279870652E-2"/>
    <s v="CohortAvg_NonZero"/>
    <n v="8.6608506120059974E-6"/>
    <s v="CohortAvg"/>
    <n v="0"/>
    <s v="Zero"/>
    <n v="-1.7348925869589381E-2"/>
    <s v="CohortAvg"/>
    <n v="-2.0391578374733991E-4"/>
    <s v="CohortAvg"/>
    <n v="0"/>
    <n v="-50293.72"/>
    <n v="-14368.92"/>
    <n v="13185.35"/>
    <n v="0"/>
    <n v="6.59"/>
    <n v="-13209.54"/>
    <n v="-155.26"/>
    <n v="709919.95"/>
    <n v="8.8586999999999999E-2"/>
    <n v="1.0118"/>
    <n v="8.9632000000000003E-2"/>
    <s v="CohortTrend+Seasonal(1.012)"/>
    <n v="63631.38"/>
    <n v="65770.28"/>
    <n v="-2138.9"/>
    <x v="0"/>
    <n v="0"/>
    <n v="0.78500000000000003"/>
    <n v="0.24"/>
    <n v="0"/>
    <n v="0"/>
    <n v="0"/>
    <n v="65770.28"/>
    <n v="761403.84"/>
    <n v="8.6379999999999998E-2"/>
    <n v="-2138.9"/>
    <n v="-2132.3000000000002"/>
    <n v="0"/>
    <n v="-2132.3000000000002"/>
    <n v="712052.25"/>
    <s v="Forecast"/>
  </r>
  <r>
    <x v="6"/>
    <x v="3"/>
    <s v="202408"/>
    <n v="20"/>
    <n v="915210.62"/>
    <n v="-4.933019208367629E-2"/>
    <s v="CohortAvg"/>
    <n v="-1.9225258718977449E-2"/>
    <s v="CohortAvg"/>
    <n v="0.21455786739888161"/>
    <s v="CohortAvg"/>
    <n v="3.087721592025465E-2"/>
    <s v="CohortAvg_NonZero"/>
    <n v="6.5463554636797978E-6"/>
    <s v="CohortAvg"/>
    <n v="0"/>
    <s v="Zero"/>
    <n v="-1.283790038299674E-2"/>
    <s v="CohortAvg"/>
    <n v="-1.1682723245788351E-4"/>
    <s v="CohortAvg"/>
    <n v="0"/>
    <n v="-45147.519999999997"/>
    <n v="-17595.16"/>
    <n v="16363.8"/>
    <n v="0"/>
    <n v="5.99"/>
    <n v="-11749.38"/>
    <n v="-106.92"/>
    <n v="868825.76"/>
    <n v="7.8367999999999993E-2"/>
    <n v="1.0118"/>
    <n v="7.9292000000000001E-2"/>
    <s v="CohortTrend+Seasonal(1.012)"/>
    <n v="68890.77"/>
    <n v="65500.07"/>
    <n v="3390.7"/>
    <x v="0"/>
    <n v="0"/>
    <n v="0.78500000000000003"/>
    <n v="0.24"/>
    <n v="0"/>
    <n v="0"/>
    <n v="0"/>
    <n v="65500.07"/>
    <n v="915210.62"/>
    <n v="7.1568000000000007E-2"/>
    <n v="3390.7"/>
    <n v="3396.69"/>
    <n v="0"/>
    <n v="3396.69"/>
    <n v="865429.07"/>
    <s v="Forecast"/>
  </r>
  <r>
    <x v="6"/>
    <x v="3"/>
    <s v="202409"/>
    <n v="19"/>
    <n v="753360.74"/>
    <n v="-7.090603637293337E-2"/>
    <s v="CohortAvg"/>
    <n v="-2.0019838919569152E-2"/>
    <s v="CohortAvg"/>
    <n v="0.21127414958937291"/>
    <s v="CohortAvg"/>
    <n v="3.3818370160231162E-2"/>
    <s v="CohortAvg_NonZero"/>
    <n v="4.5682207179982692E-6"/>
    <s v="CohortAvg"/>
    <n v="0"/>
    <s v="Zero"/>
    <n v="-1.612061011875552E-2"/>
    <s v="CohortAvg"/>
    <n v="-1.36620026671051E-4"/>
    <s v="CohortAvg"/>
    <n v="0"/>
    <n v="-53417.82"/>
    <n v="-15082.16"/>
    <n v="13263.8"/>
    <n v="0"/>
    <n v="3.44"/>
    <n v="-12144.63"/>
    <n v="-102.92"/>
    <n v="698121.12"/>
    <n v="7.1835999999999997E-2"/>
    <n v="1.0118"/>
    <n v="7.2682999999999998E-2"/>
    <s v="DonorCohort:202101+Seasonal(1.012)"/>
    <n v="50741.52"/>
    <n v="46289.94"/>
    <n v="4451.58"/>
    <x v="0"/>
    <n v="0"/>
    <n v="0.78500000000000003"/>
    <n v="0.24"/>
    <n v="0"/>
    <n v="0"/>
    <n v="0"/>
    <n v="46289.94"/>
    <n v="753360.74"/>
    <n v="6.1445E-2"/>
    <n v="4451.58"/>
    <n v="4455.0200000000004"/>
    <n v="0"/>
    <n v="4455.0200000000004"/>
    <n v="693666.1"/>
    <s v="Forecast"/>
  </r>
  <r>
    <x v="6"/>
    <x v="3"/>
    <s v="202410"/>
    <n v="18"/>
    <n v="782522.05"/>
    <n v="-4.8708167291679212E-2"/>
    <s v="CohortAvg"/>
    <n v="-1.9860929845991339E-2"/>
    <s v="CohortAvg"/>
    <n v="0.21416949017599921"/>
    <s v="CohortAvg"/>
    <n v="3.5403872624771703E-2"/>
    <s v="CohortAvg_NonZero"/>
    <n v="3.0903445815180611E-6"/>
    <s v="CohortAvg"/>
    <n v="0"/>
    <s v="Zero"/>
    <n v="-2.2313056859200219E-2"/>
    <s v="CohortAvg"/>
    <n v="-1.9736220411443751E-4"/>
    <s v="CohortAvg"/>
    <n v="0"/>
    <n v="-38115.21"/>
    <n v="-15541.62"/>
    <n v="13966.03"/>
    <n v="0"/>
    <n v="2.42"/>
    <n v="-17460.46"/>
    <n v="-154.44"/>
    <n v="742828.83"/>
    <n v="6.1674E-2"/>
    <n v="1.0118"/>
    <n v="6.2401999999999999E-2"/>
    <s v="DonorCohort:202101+Seasonal(1.012)"/>
    <n v="46353.69"/>
    <n v="45794.6"/>
    <n v="559.09"/>
    <x v="0"/>
    <n v="0"/>
    <n v="0.78500000000000003"/>
    <n v="0.24"/>
    <n v="0"/>
    <n v="0"/>
    <n v="0"/>
    <n v="45794.6"/>
    <n v="782522.05"/>
    <n v="5.8521999999999998E-2"/>
    <n v="559.09"/>
    <n v="561.51"/>
    <n v="0"/>
    <n v="561.51"/>
    <n v="742267.32"/>
    <s v="Forecast"/>
  </r>
  <r>
    <x v="6"/>
    <x v="3"/>
    <s v="202411"/>
    <n v="17"/>
    <n v="883314.66"/>
    <n v="-5.1987045320122237E-2"/>
    <s v="CohortAvg"/>
    <n v="-2.003262561242616E-2"/>
    <s v="CohortAvg"/>
    <n v="0.2238364917710009"/>
    <s v="CohortAvg"/>
    <n v="2.7868170857070509E-2"/>
    <s v="CohortAvg_NonZero"/>
    <n v="1.4940000236283559E-6"/>
    <s v="CohortAvg"/>
    <n v="0"/>
    <s v="Zero"/>
    <n v="-2.697792585484203E-2"/>
    <s v="CohortAvg"/>
    <n v="-2.590330070026331E-4"/>
    <s v="CohortAvg"/>
    <n v="0"/>
    <n v="-45920.92"/>
    <n v="-17695.11"/>
    <n v="16476.5"/>
    <n v="0"/>
    <n v="1.32"/>
    <n v="-23830"/>
    <n v="-228.81"/>
    <n v="836173.81"/>
    <n v="5.8741000000000002E-2"/>
    <n v="1.0118"/>
    <n v="5.9433E-2"/>
    <s v="DonorCohort:202101+Seasonal(1.012)"/>
    <n v="49696.54"/>
    <n v="48302.17"/>
    <n v="1394.37"/>
    <x v="0"/>
    <n v="0"/>
    <n v="0.78500000000000003"/>
    <n v="0.24"/>
    <n v="0"/>
    <n v="0"/>
    <n v="0"/>
    <n v="48302.17"/>
    <n v="883314.66"/>
    <n v="5.4683000000000002E-2"/>
    <n v="1394.37"/>
    <n v="1395.69"/>
    <n v="0"/>
    <n v="1395.69"/>
    <n v="834778.12"/>
    <s v="Forecast"/>
  </r>
  <r>
    <x v="6"/>
    <x v="3"/>
    <s v="202412"/>
    <n v="16"/>
    <n v="939028.01"/>
    <n v="-5.0602838423359241E-2"/>
    <s v="CohortAvg"/>
    <n v="-2.0550618554733179E-2"/>
    <s v="CohortAvg"/>
    <n v="0.2238525666814562"/>
    <s v="CohortAvg"/>
    <n v="3.1031209743998769E-2"/>
    <s v="CohortAvg_NonZero"/>
    <n v="3.9044978844954067E-6"/>
    <s v="CohortAvg"/>
    <n v="0"/>
    <s v="Zero"/>
    <n v="-4.4457695284228833E-2"/>
    <s v="CohortAvg"/>
    <n v="-4.7016877147131839E-4"/>
    <s v="CohortAvg"/>
    <n v="0"/>
    <n v="-47517.48"/>
    <n v="-19297.61"/>
    <n v="17516.990000000002"/>
    <n v="0"/>
    <n v="3.67"/>
    <n v="-41747.019999999997"/>
    <n v="-441.5"/>
    <n v="889726.24"/>
    <n v="5.4886999999999998E-2"/>
    <n v="1.0118"/>
    <n v="5.5535000000000001E-2"/>
    <s v="DonorCohort:202101+Seasonal(1.012)"/>
    <n v="49410.53"/>
    <n v="47788.160000000003"/>
    <n v="1622.37"/>
    <x v="0"/>
    <n v="0"/>
    <n v="0.78500000000000003"/>
    <n v="0.24"/>
    <n v="0"/>
    <n v="0"/>
    <n v="0"/>
    <n v="47788.160000000003"/>
    <n v="939028.01"/>
    <n v="5.0890999999999999E-2"/>
    <n v="1622.37"/>
    <n v="1626.04"/>
    <n v="0"/>
    <n v="1626.04"/>
    <n v="888100.2"/>
    <s v="Forecast"/>
  </r>
  <r>
    <x v="6"/>
    <x v="3"/>
    <s v="202501"/>
    <n v="15"/>
    <n v="1552211.91"/>
    <n v="-5.1889810799878207E-2"/>
    <s v="CohortAvg"/>
    <n v="-2.074588221839915E-2"/>
    <s v="CohortAvg"/>
    <n v="0.22642400120023781"/>
    <s v="CohortAvg"/>
    <n v="1.3435301799448331E-2"/>
    <s v="CohortAvg_NonZero"/>
    <n v="1.6751318666393962E-5"/>
    <s v="CohortAvg"/>
    <n v="0"/>
    <s v="Zero"/>
    <n v="-4.3223598779911658E-2"/>
    <s v="CohortAvg"/>
    <n v="-4.6794980995110602E-4"/>
    <s v="CohortAvg"/>
    <n v="0"/>
    <n v="-80543.98"/>
    <n v="-32202.01"/>
    <n v="29288.17"/>
    <n v="0"/>
    <n v="26"/>
    <n v="-67092.179999999993"/>
    <n v="-726.36"/>
    <n v="1468728.09"/>
    <n v="5.1081000000000001E-2"/>
    <n v="1.0118"/>
    <n v="5.1684000000000001E-2"/>
    <s v="DonorCohort:202101+Seasonal(1.012)"/>
    <n v="75909.33"/>
    <n v="66586.7"/>
    <n v="9322.6299999999992"/>
    <x v="0"/>
    <n v="0"/>
    <n v="0.78500000000000003"/>
    <n v="0.24"/>
    <n v="0"/>
    <n v="0"/>
    <n v="0"/>
    <n v="66586.7"/>
    <n v="1552211.91"/>
    <n v="4.2897999999999999E-2"/>
    <n v="9322.6299999999992"/>
    <n v="9348.6299999999992"/>
    <n v="0"/>
    <n v="9348.6299999999992"/>
    <n v="1459379.46"/>
    <s v="Forecast"/>
  </r>
  <r>
    <x v="6"/>
    <x v="3"/>
    <s v="202502"/>
    <n v="14"/>
    <n v="1677321.58"/>
    <n v="-5.2859446792044053E-2"/>
    <s v="CohortAvg"/>
    <n v="-1.9383684312955209E-2"/>
    <s v="CohortAvg"/>
    <n v="0.2297538861782541"/>
    <s v="CohortAvg"/>
    <n v="1.8108926943789311E-2"/>
    <s v="CohortAvg_NonZero"/>
    <n v="3.481747973776501E-4"/>
    <s v="CohortAvg"/>
    <n v="0"/>
    <s v="Zero"/>
    <n v="-8.2098724436862239E-2"/>
    <s v="CohortAvg"/>
    <n v="-1.06754494246469E-3"/>
    <s v="CohortAvg"/>
    <n v="0"/>
    <n v="-88662.29"/>
    <n v="-32512.67"/>
    <n v="32114.26"/>
    <n v="0"/>
    <n v="584"/>
    <n v="-137705.96"/>
    <n v="-1790.62"/>
    <n v="1587676.88"/>
    <n v="4.3057999999999999E-2"/>
    <n v="1.0118"/>
    <n v="4.3566000000000001E-2"/>
    <s v="DonorCohort:202101+Seasonal(1.012)"/>
    <n v="69168.850000000006"/>
    <n v="63545.8"/>
    <n v="5623.05"/>
    <x v="0"/>
    <n v="0"/>
    <n v="0.78500000000000003"/>
    <n v="0.24"/>
    <n v="0"/>
    <n v="0"/>
    <n v="0"/>
    <n v="63545.8"/>
    <n v="1677321.58"/>
    <n v="3.7885000000000002E-2"/>
    <n v="5623.05"/>
    <n v="6207.05"/>
    <n v="0"/>
    <n v="6207.05"/>
    <n v="1581469.83"/>
    <s v="Forecast"/>
  </r>
  <r>
    <x v="6"/>
    <x v="3"/>
    <s v="202503"/>
    <n v="13"/>
    <n v="1953161.39"/>
    <n v="-4.5969681637057898E-2"/>
    <s v="CohortAvg"/>
    <n v="-2.1912413634868639E-2"/>
    <s v="CohortAvg"/>
    <n v="0.25459391751885402"/>
    <s v="CohortAvg"/>
    <n v="4.6176837495393924E-3"/>
    <s v="CohortAvg_NonZero"/>
    <n v="5.0008604211683143E-7"/>
    <s v="CohortAvg"/>
    <n v="0"/>
    <s v="Zero"/>
    <n v="0"/>
    <s v="CohortAvg"/>
    <n v="0"/>
    <s v="CohortAvg"/>
    <n v="0"/>
    <n v="-89786.21"/>
    <n v="-42798.48"/>
    <n v="41438.58"/>
    <n v="0"/>
    <n v="0.98"/>
    <n v="0"/>
    <n v="0"/>
    <n v="1862014.31"/>
    <n v="3.8026999999999998E-2"/>
    <n v="1.0118"/>
    <n v="3.8475000000000002E-2"/>
    <s v="DonorCohort:202101+Seasonal(1.012)"/>
    <n v="71641.64"/>
    <n v="65839.820000000007"/>
    <n v="5801.81"/>
    <x v="0"/>
    <n v="0"/>
    <n v="0.78500000000000003"/>
    <n v="0.24"/>
    <n v="0"/>
    <n v="0"/>
    <n v="0"/>
    <n v="65839.820000000007"/>
    <n v="1953161.39"/>
    <n v="3.3709000000000003E-2"/>
    <n v="5801.81"/>
    <n v="5802.79"/>
    <n v="0"/>
    <n v="5802.79"/>
    <n v="1856211.52"/>
    <s v="Forecast"/>
  </r>
  <r>
    <x v="6"/>
    <x v="3"/>
    <s v="202504"/>
    <n v="12"/>
    <n v="1684804.79"/>
    <n v="-5.531182051571009E-2"/>
    <s v="CohortAvg"/>
    <n v="-2.1940908750012859E-2"/>
    <s v="CohortAvg"/>
    <n v="0.25105171595016179"/>
    <s v="CohortAvg"/>
    <n v="2.1791689037598898E-3"/>
    <s v="CohortAvg_NonZero"/>
    <n v="3.716187461559945E-7"/>
    <s v="CohortAvg"/>
    <n v="0"/>
    <s v="Zero"/>
    <n v="0"/>
    <s v="CohortAvg"/>
    <n v="0"/>
    <s v="CohortAvg"/>
    <n v="0"/>
    <n v="-93189.62"/>
    <n v="-36966.15"/>
    <n v="35247.760000000002"/>
    <n v="0"/>
    <n v="0.63"/>
    <n v="0"/>
    <n v="0"/>
    <n v="1589896.16"/>
    <n v="3.3834999999999997E-2"/>
    <n v="1.0118"/>
    <n v="3.4234000000000001E-2"/>
    <s v="DonorCohort:202101+Seasonal(1.012)"/>
    <n v="54429.11"/>
    <n v="47735.14"/>
    <n v="6693.97"/>
    <x v="0"/>
    <n v="0"/>
    <n v="0.78500000000000003"/>
    <n v="0.24"/>
    <n v="0"/>
    <n v="0"/>
    <n v="0"/>
    <n v="47735.14"/>
    <n v="1684804.79"/>
    <n v="2.8333000000000001E-2"/>
    <n v="6693.97"/>
    <n v="6694.59"/>
    <n v="0"/>
    <n v="6694.59"/>
    <n v="1583201.57"/>
    <s v="Forecast"/>
  </r>
  <r>
    <x v="6"/>
    <x v="3"/>
    <s v="202505"/>
    <n v="11"/>
    <n v="1994220.81"/>
    <n v="-4.515161151619624E-2"/>
    <s v="CohortAvg"/>
    <n v="-1.9667846021402861E-2"/>
    <s v="CohortAvg"/>
    <n v="0.22257460414731389"/>
    <s v="CohortAvg"/>
    <n v="0"/>
    <s v="CohortAvg_NoData_ERROR"/>
    <n v="0"/>
    <s v="CohortAvg"/>
    <n v="0"/>
    <s v="Zero"/>
    <n v="0"/>
    <s v="CohortAvg"/>
    <n v="0"/>
    <s v="CohortAvg"/>
    <n v="0"/>
    <n v="-90042.28"/>
    <n v="-39222.03"/>
    <n v="36988.58"/>
    <n v="0"/>
    <n v="0"/>
    <n v="0"/>
    <n v="0"/>
    <n v="1901945.08"/>
    <n v="2.8438999999999999E-2"/>
    <n v="1.0118"/>
    <n v="2.8774000000000001E-2"/>
    <s v="DonorCohort:202101+Seasonal(1.012)"/>
    <n v="54726.61"/>
    <n v="42454.96"/>
    <n v="12271.66"/>
    <x v="0"/>
    <n v="0"/>
    <n v="0.78500000000000003"/>
    <n v="0.24"/>
    <n v="0"/>
    <n v="0"/>
    <n v="0"/>
    <n v="42454.96"/>
    <n v="1994220.81"/>
    <n v="2.1288999999999999E-2"/>
    <n v="12271.66"/>
    <n v="12271.66"/>
    <n v="0"/>
    <n v="12271.66"/>
    <n v="1889673.42"/>
    <s v="Forecast"/>
  </r>
  <r>
    <x v="6"/>
    <x v="3"/>
    <s v="202506"/>
    <n v="10"/>
    <n v="2277767.27"/>
    <n v="-4.7872744150502487E-2"/>
    <s v="CohortAvg"/>
    <n v="-2.016923031433392E-2"/>
    <s v="CohortAvg"/>
    <n v="0.2283043963173228"/>
    <s v="CohortAvg"/>
    <n v="0"/>
    <s v="CohortAvg_NoData_ERROR"/>
    <n v="0"/>
    <s v="CohortAvg"/>
    <n v="0"/>
    <s v="Zero"/>
    <n v="0"/>
    <s v="CohortAvg"/>
    <n v="0"/>
    <s v="CohortAvg"/>
    <n v="0"/>
    <n v="-109042.97"/>
    <n v="-45940.81"/>
    <n v="43335.360000000001"/>
    <n v="0"/>
    <n v="0"/>
    <n v="0"/>
    <n v="0"/>
    <n v="2166118.85"/>
    <n v="2.1368999999999999E-2"/>
    <n v="1.0118"/>
    <n v="2.1621000000000001E-2"/>
    <s v="DonorCohort:202101+Seasonal(1.012)"/>
    <n v="46832.72"/>
    <n v="42223.69"/>
    <n v="4609.03"/>
    <x v="0"/>
    <n v="0"/>
    <n v="0.78500000000000003"/>
    <n v="0.24"/>
    <n v="0"/>
    <n v="0"/>
    <n v="0"/>
    <n v="42223.69"/>
    <n v="2277767.27"/>
    <n v="1.8537000000000001E-2"/>
    <n v="4609.03"/>
    <n v="4609.03"/>
    <n v="0"/>
    <n v="4609.03"/>
    <n v="2161509.81"/>
    <s v="Forecast"/>
  </r>
  <r>
    <x v="6"/>
    <x v="3"/>
    <s v="202507"/>
    <n v="9"/>
    <n v="2794875.2"/>
    <n v="-3.3897140819992948E-2"/>
    <s v="CohortAvg"/>
    <n v="-2.0355557225340291E-2"/>
    <s v="CohortAvg"/>
    <n v="0.22025199298825701"/>
    <s v="CohortAvg"/>
    <n v="0"/>
    <s v="CohortAvg_NoData_ERROR"/>
    <n v="0"/>
    <s v="CohortAvg"/>
    <n v="0"/>
    <s v="Zero"/>
    <n v="0"/>
    <s v="CohortAvg"/>
    <n v="0"/>
    <s v="CohortAvg"/>
    <n v="0"/>
    <n v="-94738.28"/>
    <n v="-56891.24"/>
    <n v="51298.07"/>
    <n v="0"/>
    <n v="0"/>
    <n v="0"/>
    <n v="0"/>
    <n v="2694543.75"/>
    <n v="1.8606999999999999E-2"/>
    <n v="1.0118"/>
    <n v="1.8825999999999999E-2"/>
    <s v="DonorCohort:202101+Seasonal(1.012)"/>
    <n v="50727.57"/>
    <n v="45234.86"/>
    <n v="5492.71"/>
    <x v="0"/>
    <n v="0"/>
    <n v="0.78500000000000003"/>
    <n v="0.24"/>
    <n v="0"/>
    <n v="0"/>
    <n v="0"/>
    <n v="45234.86"/>
    <n v="2794875.2"/>
    <n v="1.6185000000000001E-2"/>
    <n v="5492.71"/>
    <n v="5492.71"/>
    <n v="0"/>
    <n v="5492.71"/>
    <n v="2689051.04"/>
    <s v="Forecast"/>
  </r>
  <r>
    <x v="6"/>
    <x v="3"/>
    <s v="202508"/>
    <n v="8"/>
    <n v="3041288.79"/>
    <n v="-3.2005763502832768E-2"/>
    <s v="CohortAvg"/>
    <n v="-1.467795537997788E-2"/>
    <s v="CohortAvg"/>
    <n v="0.2001637603157877"/>
    <s v="CohortAvg"/>
    <n v="0"/>
    <s v="CohortAvg_NoData_ERROR"/>
    <n v="0"/>
    <s v="CohortAvg"/>
    <n v="0"/>
    <s v="Zero"/>
    <n v="0"/>
    <s v="CohortAvg"/>
    <n v="0"/>
    <s v="CohortAvg"/>
    <n v="0"/>
    <n v="-97338.77"/>
    <n v="-44639.9"/>
    <n v="50729.65"/>
    <n v="0"/>
    <n v="0"/>
    <n v="0"/>
    <n v="0"/>
    <n v="2950039.77"/>
    <n v="1.6244999999999999E-2"/>
    <n v="1.0118"/>
    <n v="1.6437E-2"/>
    <s v="DonorCohort:202101+Seasonal(1.012)"/>
    <n v="48489.83"/>
    <n v="37629.57"/>
    <n v="10860.26"/>
    <x v="0"/>
    <n v="0"/>
    <n v="0.78500000000000003"/>
    <n v="0.24"/>
    <n v="0"/>
    <n v="0"/>
    <n v="0"/>
    <n v="37629.57"/>
    <n v="3041288.79"/>
    <n v="1.2373E-2"/>
    <n v="10860.26"/>
    <n v="10860.26"/>
    <n v="0"/>
    <n v="10860.26"/>
    <n v="2939179.51"/>
    <s v="Forecast"/>
  </r>
  <r>
    <x v="6"/>
    <x v="3"/>
    <s v="202509"/>
    <n v="7"/>
    <n v="2543044.64"/>
    <n v="-0.17645801884599929"/>
    <s v="CohortAvg"/>
    <n v="-2.581579605321163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48740.62"/>
    <n v="-65650.720000000001"/>
    <n v="105960.19"/>
    <n v="0"/>
    <n v="0"/>
    <n v="0"/>
    <n v="0"/>
    <n v="2134613.4900000002"/>
    <n v="1.2418999999999999E-2"/>
    <n v="1.0118"/>
    <n v="1.2566000000000001E-2"/>
    <s v="DonorCohort:202101+Seasonal(1.012)"/>
    <n v="26822.720000000001"/>
    <n v="26907.91"/>
    <n v="-85.19"/>
    <x v="0"/>
    <n v="0"/>
    <n v="0.78500000000000003"/>
    <n v="0.24"/>
    <n v="0"/>
    <n v="0"/>
    <n v="0"/>
    <n v="26907.91"/>
    <n v="2543044.64"/>
    <n v="1.0581E-2"/>
    <n v="-85.19"/>
    <n v="-85.19"/>
    <n v="0"/>
    <n v="-85.19"/>
    <n v="2134698.6800000002"/>
    <s v="Forecast"/>
  </r>
  <r>
    <x v="6"/>
    <x v="4"/>
    <s v="202101"/>
    <n v="61"/>
    <n v="1385828.01"/>
    <n v="-0.1340591961261875"/>
    <s v="CohortAvg"/>
    <n v="-1.0958951590479001E-2"/>
    <s v="CohortAvg"/>
    <n v="0.1243586024857801"/>
    <s v="CohortAvg"/>
    <n v="4.1826884243877448E-2"/>
    <s v="CohortAvg_NonZero"/>
    <n v="0"/>
    <s v="CohortAvg"/>
    <n v="0"/>
    <s v="Zero"/>
    <n v="0"/>
    <s v="CohortAvg"/>
    <n v="0"/>
    <s v="CohortAvg"/>
    <n v="0"/>
    <n v="-185782.99"/>
    <n v="-15187.22"/>
    <n v="14361.64"/>
    <n v="0"/>
    <n v="0"/>
    <n v="0"/>
    <n v="0"/>
    <n v="1199219.44"/>
    <n v="0.169294"/>
    <n v="0.93020000000000003"/>
    <n v="0.15747900000000001"/>
    <s v="CohortAvg+Seasonal(0.930)"/>
    <n v="188852.33"/>
    <n v="211911.12"/>
    <n v="-23058.79"/>
    <x v="0"/>
    <n v="0"/>
    <n v="0.78500000000000003"/>
    <n v="0.24"/>
    <n v="0"/>
    <n v="0"/>
    <n v="0"/>
    <n v="211911.12"/>
    <n v="1385828.01"/>
    <n v="0.15291299999999999"/>
    <n v="-23058.79"/>
    <n v="-23058.79"/>
    <n v="0"/>
    <n v="-23058.79"/>
    <n v="1222278.23"/>
    <s v="Forecast"/>
  </r>
  <r>
    <x v="6"/>
    <x v="4"/>
    <s v="202201"/>
    <n v="43"/>
    <n v="61749.58"/>
    <n v="-9.5292084230620064E-2"/>
    <s v="CohortAvg"/>
    <n v="-9.5425036632373599E-3"/>
    <s v="CohortAvg"/>
    <n v="0.1004450638476051"/>
    <s v="CohortAvg"/>
    <n v="3.6751498617278562E-2"/>
    <s v="CohortAvg_NonZero"/>
    <n v="1.307091695974157E-8"/>
    <s v="CohortAvg"/>
    <n v="0"/>
    <s v="Zero"/>
    <n v="0"/>
    <s v="CohortAvg"/>
    <n v="0"/>
    <s v="CohortAvg"/>
    <n v="0"/>
    <n v="-5884.25"/>
    <n v="-589.25"/>
    <n v="516.87"/>
    <n v="0"/>
    <n v="0"/>
    <n v="0"/>
    <n v="0"/>
    <n v="55792.95"/>
    <n v="4.0140000000000002E-2"/>
    <n v="0.93020000000000003"/>
    <n v="3.7338999999999997E-2"/>
    <s v="CohortAvg+Seasonal(0.930)"/>
    <n v="2083.23"/>
    <n v="2126.3200000000002"/>
    <n v="-43.09"/>
    <x v="0"/>
    <n v="0"/>
    <n v="0.78500000000000003"/>
    <n v="0.24"/>
    <n v="0"/>
    <n v="0"/>
    <n v="0"/>
    <n v="2126.3200000000002"/>
    <n v="61749.58"/>
    <n v="3.4435E-2"/>
    <n v="-43.09"/>
    <n v="-43.09"/>
    <n v="0"/>
    <n v="-43.09"/>
    <n v="55836.04"/>
    <s v="Forecast"/>
  </r>
  <r>
    <x v="6"/>
    <x v="4"/>
    <s v="202405"/>
    <n v="23"/>
    <n v="4362.68"/>
    <n v="-1.6647909269118289E-2"/>
    <s v="CohortAvg"/>
    <n v="-1.0448317061565481E-2"/>
    <s v="CohortAvg"/>
    <n v="0.1215831656762793"/>
    <s v="CohortAvg"/>
    <n v="0"/>
    <s v="CohortAvg_NoData_ERROR"/>
    <n v="0"/>
    <s v="CohortAvg"/>
    <n v="0"/>
    <s v="Zero"/>
    <n v="0"/>
    <s v="CohortAvg"/>
    <n v="0"/>
    <s v="CohortAvg"/>
    <n v="0"/>
    <n v="-72.63"/>
    <n v="-45.58"/>
    <n v="44.2"/>
    <n v="0"/>
    <n v="0"/>
    <n v="0"/>
    <n v="0"/>
    <n v="4288.67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4362.68"/>
    <n v="0"/>
    <n v="0"/>
    <n v="0"/>
    <n v="0"/>
    <n v="0"/>
    <n v="4288.67"/>
    <s v="Forecast"/>
  </r>
  <r>
    <x v="6"/>
    <x v="4"/>
    <s v="202407"/>
    <n v="21"/>
    <n v="2245.64"/>
    <n v="-5.2844646818192932E-2"/>
    <s v="CohortAvg"/>
    <n v="-1.0484915404785701E-2"/>
    <s v="CohortAvg"/>
    <n v="0.1204998458874669"/>
    <s v="CohortAvg"/>
    <n v="0"/>
    <s v="CohortAvg_NoData_ERROR"/>
    <n v="0"/>
    <s v="CohortAvg"/>
    <n v="0"/>
    <s v="Zero"/>
    <n v="0"/>
    <s v="CohortAvg"/>
    <n v="0"/>
    <s v="CohortAvg"/>
    <n v="0"/>
    <n v="-118.67"/>
    <n v="-23.55"/>
    <n v="22.55"/>
    <n v="0"/>
    <n v="0"/>
    <n v="0"/>
    <n v="0"/>
    <n v="2125.98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2245.64"/>
    <n v="0"/>
    <n v="0"/>
    <n v="0"/>
    <n v="0"/>
    <n v="0"/>
    <n v="2125.98"/>
    <s v="Forecast"/>
  </r>
  <r>
    <x v="6"/>
    <x v="4"/>
    <s v="202409"/>
    <n v="19"/>
    <n v="7859.32"/>
    <n v="-4.2940075884886998E-2"/>
    <s v="CohortAvg"/>
    <n v="-1.045463715359329E-2"/>
    <s v="CohortAvg"/>
    <n v="0.12084260576910701"/>
    <s v="CohortAvg"/>
    <n v="0"/>
    <s v="CohortAvg_NoData_ERROR"/>
    <n v="0"/>
    <s v="CohortAvg"/>
    <n v="0"/>
    <s v="Zero"/>
    <n v="0"/>
    <s v="CohortAvg"/>
    <n v="0"/>
    <s v="CohortAvg"/>
    <n v="0"/>
    <n v="-337.48"/>
    <n v="-82.17"/>
    <n v="79.150000000000006"/>
    <n v="0"/>
    <n v="0"/>
    <n v="0"/>
    <n v="0"/>
    <n v="7518.82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7859.32"/>
    <n v="0"/>
    <n v="0"/>
    <n v="0"/>
    <n v="0"/>
    <n v="0"/>
    <n v="7518.82"/>
    <s v="Forecast"/>
  </r>
  <r>
    <x v="6"/>
    <x v="4"/>
    <s v="202504"/>
    <n v="12"/>
    <n v="4308.74"/>
    <n v="-1.296026614265393E-2"/>
    <s v="CohortAvg"/>
    <n v="-1.0430036153082269E-2"/>
    <s v="CohortAvg"/>
    <n v="0.12500634367417091"/>
    <s v="CohortAvg"/>
    <n v="0"/>
    <s v="CohortAvg_NoData_ERROR"/>
    <n v="0"/>
    <s v="CohortAvg"/>
    <n v="0"/>
    <s v="Zero"/>
    <n v="0"/>
    <s v="CohortAvg"/>
    <n v="0"/>
    <s v="CohortAvg"/>
    <n v="0"/>
    <n v="-55.84"/>
    <n v="-44.94"/>
    <n v="44.89"/>
    <n v="0"/>
    <n v="0"/>
    <n v="0"/>
    <n v="0"/>
    <n v="4252.84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4308.74"/>
    <n v="0"/>
    <n v="0"/>
    <n v="0"/>
    <n v="0"/>
    <n v="0"/>
    <n v="4252.84"/>
    <s v="Forecast"/>
  </r>
  <r>
    <x v="6"/>
    <x v="4"/>
    <s v="202507"/>
    <n v="9"/>
    <n v="9543.4500000000007"/>
    <n v="-9.9624772348493595E-3"/>
    <s v="CohortAvg"/>
    <n v="-9.8478184742661953E-3"/>
    <s v="CohortAvg"/>
    <n v="0.1171812533159968"/>
    <s v="CohortAvg"/>
    <n v="0"/>
    <s v="CohortAvg_NoData_ERROR"/>
    <n v="0"/>
    <s v="CohortAvg"/>
    <n v="0"/>
    <s v="Zero"/>
    <n v="0"/>
    <s v="CohortAvg"/>
    <n v="0"/>
    <s v="CohortAvg"/>
    <n v="0"/>
    <n v="-95.08"/>
    <n v="-93.98"/>
    <n v="93.19"/>
    <n v="0"/>
    <n v="0"/>
    <n v="0"/>
    <n v="0"/>
    <n v="9447.58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9543.4500000000007"/>
    <n v="0"/>
    <n v="0"/>
    <n v="0"/>
    <n v="0"/>
    <n v="0"/>
    <n v="9447.58"/>
    <s v="Forecast"/>
  </r>
  <r>
    <x v="6"/>
    <x v="4"/>
    <s v="202508"/>
    <n v="8"/>
    <n v="30044.55"/>
    <n v="-6.113457529834959E-3"/>
    <s v="CohortAvg"/>
    <n v="-3.1465109173545009E-3"/>
    <s v="CohortAvg"/>
    <n v="0.1096935178637902"/>
    <s v="CohortAvg"/>
    <n v="0"/>
    <s v="CohortAvg_NoData_ERROR"/>
    <n v="0"/>
    <s v="CohortAvg"/>
    <n v="0"/>
    <s v="Zero"/>
    <n v="0"/>
    <s v="CohortAvg"/>
    <n v="0"/>
    <s v="CohortAvg"/>
    <n v="0"/>
    <n v="-183.68"/>
    <n v="-94.54"/>
    <n v="274.64"/>
    <n v="0"/>
    <n v="0"/>
    <n v="0"/>
    <n v="0"/>
    <n v="30040.98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30044.55"/>
    <n v="0"/>
    <n v="0"/>
    <n v="0"/>
    <n v="0"/>
    <n v="0"/>
    <n v="30040.98"/>
    <s v="Forecast"/>
  </r>
  <r>
    <x v="6"/>
    <x v="4"/>
    <s v="202509"/>
    <n v="7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7"/>
    <x v="0"/>
    <s v="201912"/>
    <n v="77"/>
    <n v="344137.02"/>
    <n v="9.4211832011139825E-4"/>
    <s v="CohortAvg"/>
    <n v="1.5678350902541081E-3"/>
    <s v="CohortAvg"/>
    <n v="0"/>
    <s v="CohortAvg"/>
    <n v="2.8896028902276431E-2"/>
    <s v="CohortAvg_NonZero"/>
    <n v="1.7910596653128121E-4"/>
    <s v="CohortAvg"/>
    <n v="0"/>
    <s v="Zero"/>
    <n v="0"/>
    <s v="CohortAvg"/>
    <n v="0"/>
    <s v="CohortAvg"/>
    <n v="0"/>
    <n v="324.22000000000003"/>
    <n v="539.54999999999995"/>
    <n v="0"/>
    <n v="0"/>
    <n v="61.64"/>
    <n v="0"/>
    <n v="0"/>
    <n v="343211.62"/>
    <n v="0.99639800000000001"/>
    <n v="0.91549999999999998"/>
    <n v="0.91225000000000001"/>
    <s v="CohortAvg+Seasonal(0.916)"/>
    <n v="313094.84999999998"/>
    <n v="337913.06"/>
    <n v="-24818.21"/>
    <x v="0"/>
    <n v="0"/>
    <n v="0.78500000000000003"/>
    <n v="0.24"/>
    <n v="0"/>
    <n v="0"/>
    <n v="0"/>
    <n v="337913.06"/>
    <n v="344137.02"/>
    <n v="0.98191399999999995"/>
    <n v="-24818.21"/>
    <n v="-24756.58"/>
    <n v="0"/>
    <n v="-24756.58"/>
    <n v="367968.2"/>
    <s v="Forecast"/>
  </r>
  <r>
    <x v="7"/>
    <x v="0"/>
    <s v="202001"/>
    <n v="76"/>
    <n v="74403.429999999993"/>
    <n v="3.7726556675604969E-2"/>
    <s v="CohortAvg"/>
    <n v="1.6249198871755681E-3"/>
    <s v="CohortAvg"/>
    <n v="0"/>
    <s v="CohortAvg"/>
    <n v="1.3265432647278971E-2"/>
    <s v="CohortAvg_NonZero"/>
    <n v="0"/>
    <s v="CohortAvg"/>
    <n v="0"/>
    <s v="Zero"/>
    <n v="0"/>
    <s v="CohortAvg"/>
    <n v="0"/>
    <s v="CohortAvg"/>
    <n v="0"/>
    <n v="2806.99"/>
    <n v="120.9"/>
    <n v="0"/>
    <n v="0"/>
    <n v="0"/>
    <n v="0"/>
    <n v="0"/>
    <n v="71475.539999999994"/>
    <n v="0.99839199999999995"/>
    <n v="0.91549999999999998"/>
    <n v="0.914076"/>
    <s v="CohortAvg+Seasonal(0.916)"/>
    <n v="65334.04"/>
    <n v="73099.03"/>
    <n v="-7764.98"/>
    <x v="0"/>
    <n v="0"/>
    <n v="0.78500000000000003"/>
    <n v="0.24"/>
    <n v="0"/>
    <n v="0"/>
    <n v="0"/>
    <n v="73099.03"/>
    <n v="74403.429999999993"/>
    <n v="0.98246900000000004"/>
    <n v="-7764.98"/>
    <n v="-7764.98"/>
    <n v="0"/>
    <n v="-7764.98"/>
    <n v="79240.53"/>
    <s v="Forecast"/>
  </r>
  <r>
    <x v="7"/>
    <x v="0"/>
    <s v="202101"/>
    <n v="64"/>
    <n v="768875.61"/>
    <n v="-3.2977501999910549E-3"/>
    <s v="CohortAvg"/>
    <n v="-1.8404512675983589E-3"/>
    <s v="CohortAvg"/>
    <n v="0"/>
    <s v="CohortAvg"/>
    <n v="1.5001909776366279E-2"/>
    <s v="CohortAvg_NonZero"/>
    <n v="1.5319250401582749E-4"/>
    <s v="CohortAvg"/>
    <n v="0"/>
    <s v="Zero"/>
    <n v="0"/>
    <s v="CohortAvg"/>
    <n v="0"/>
    <s v="CohortAvg"/>
    <n v="0"/>
    <n v="-2535.56"/>
    <n v="-1415.08"/>
    <n v="0"/>
    <n v="0"/>
    <n v="117.79"/>
    <n v="0"/>
    <n v="0"/>
    <n v="764807.19"/>
    <n v="0.94382699999999997"/>
    <n v="0.91549999999999998"/>
    <n v="0.86411899999999997"/>
    <s v="CohortAvg+Seasonal(0.916)"/>
    <n v="660884.55000000005"/>
    <n v="711317.86"/>
    <n v="-50433.31"/>
    <x v="0"/>
    <n v="0"/>
    <n v="0.78500000000000003"/>
    <n v="0.24"/>
    <n v="0"/>
    <n v="0"/>
    <n v="0"/>
    <n v="711317.86"/>
    <n v="768875.61"/>
    <n v="0.92513999999999996"/>
    <n v="-50433.31"/>
    <n v="-50315.53"/>
    <n v="0"/>
    <n v="-50315.53"/>
    <n v="815122.71"/>
    <s v="Forecast"/>
  </r>
  <r>
    <x v="7"/>
    <x v="0"/>
    <s v="202201"/>
    <n v="44"/>
    <n v="485880.2"/>
    <n v="-0.11494400114713881"/>
    <s v="CohortAvg"/>
    <n v="-6.7147560037254554E-3"/>
    <s v="CohortAvg"/>
    <n v="3.3208167031811307E-2"/>
    <s v="CohortAvg"/>
    <n v="4.0908958010095788E-2"/>
    <s v="CohortAvg_NonZero"/>
    <n v="4.2058685314296223E-3"/>
    <s v="CohortAvg"/>
    <n v="0"/>
    <s v="Zero"/>
    <n v="-2.262017819350078E-4"/>
    <s v="CohortAvg"/>
    <n v="-4.9460384169777244E-6"/>
    <s v="CohortAvg"/>
    <n v="0"/>
    <n v="-55849.01"/>
    <n v="-3262.57"/>
    <n v="1344.6"/>
    <n v="0"/>
    <n v="2043.55"/>
    <n v="-109.91"/>
    <n v="-2.4"/>
    <n v="426069.67"/>
    <n v="0.58586199999999999"/>
    <n v="0.91549999999999998"/>
    <n v="0.536385"/>
    <s v="CohortAvg+Seasonal(0.916)"/>
    <n v="228537.23"/>
    <n v="278860.07"/>
    <n v="-50322.84"/>
    <x v="0"/>
    <n v="0"/>
    <n v="0.78500000000000003"/>
    <n v="0.24"/>
    <n v="0"/>
    <n v="0"/>
    <n v="0"/>
    <n v="278860.07"/>
    <n v="485880.2"/>
    <n v="0.57392799999999999"/>
    <n v="-50322.84"/>
    <n v="-48279.29"/>
    <n v="0"/>
    <n v="-48279.29"/>
    <n v="474348.96"/>
    <s v="Forecast"/>
  </r>
  <r>
    <x v="7"/>
    <x v="0"/>
    <s v="202301"/>
    <n v="35"/>
    <n v="3746247.4"/>
    <n v="-7.000732886765744E-2"/>
    <s v="CohortAvg"/>
    <n v="-1.703698821677644E-2"/>
    <s v="CohortAvg"/>
    <n v="0.20601462357605799"/>
    <s v="CohortAvg"/>
    <n v="6.3158173966895798E-2"/>
    <s v="CohortAvg_NonZero"/>
    <n v="1.3201692748949351E-4"/>
    <s v="CohortAvg"/>
    <n v="0"/>
    <s v="Zero"/>
    <n v="-5.2306887812482968E-3"/>
    <s v="CohortAvg"/>
    <n v="-7.6388842400159423E-5"/>
    <s v="CohortAvg"/>
    <n v="0"/>
    <n v="-262264.77"/>
    <n v="-63824.77"/>
    <n v="64315.15"/>
    <n v="0"/>
    <n v="494.57"/>
    <n v="-19595.45"/>
    <n v="-286.17"/>
    <n v="3483978.43"/>
    <n v="0.56668300000000005"/>
    <n v="0.91549999999999998"/>
    <n v="0.51882499999999998"/>
    <s v="CohortTrend+Seasonal(0.916)"/>
    <n v="1807576.07"/>
    <n v="2024189.03"/>
    <n v="-216612.97"/>
    <x v="0"/>
    <n v="0"/>
    <n v="0.78500000000000003"/>
    <n v="0.24"/>
    <n v="0"/>
    <n v="0"/>
    <n v="0"/>
    <n v="2024189.03"/>
    <n v="3746247.4"/>
    <n v="0.54032400000000003"/>
    <n v="-216612.97"/>
    <n v="-216118.39999999999"/>
    <n v="0"/>
    <n v="-216118.39999999999"/>
    <n v="3700096.83"/>
    <s v="Forecast"/>
  </r>
  <r>
    <x v="7"/>
    <x v="0"/>
    <s v="202404"/>
    <n v="25"/>
    <n v="678862.92"/>
    <n v="-7.177972760328595E-2"/>
    <s v="CohortAvg"/>
    <n v="-2.4135571675444899E-2"/>
    <s v="CohortAvg"/>
    <n v="0.25513363361075442"/>
    <s v="CohortAvg"/>
    <n v="0.1066620893952759"/>
    <s v="CohortAvg_NonZero"/>
    <n v="9.9924543114458017E-5"/>
    <s v="CohortAvg"/>
    <n v="0"/>
    <s v="Zero"/>
    <n v="-8.0102391017297728E-3"/>
    <s v="CohortAvg"/>
    <n v="-6.9679542829487464E-5"/>
    <s v="CohortAvg"/>
    <n v="0"/>
    <n v="-48728.6"/>
    <n v="-16384.740000000002"/>
    <n v="14433.4"/>
    <n v="0"/>
    <n v="67.84"/>
    <n v="-5437.85"/>
    <n v="-47.3"/>
    <n v="628115.14"/>
    <n v="0.36104399999999998"/>
    <n v="0.91549999999999998"/>
    <n v="0.33055299999999999"/>
    <s v="CohortTrend+Seasonal(0.916)"/>
    <n v="207625.11"/>
    <n v="234458.86"/>
    <n v="-26833.75"/>
    <x v="0"/>
    <n v="0"/>
    <n v="0.78500000000000003"/>
    <n v="0.24"/>
    <n v="0"/>
    <n v="0"/>
    <n v="0"/>
    <n v="234458.86"/>
    <n v="678862.92"/>
    <n v="0.34537000000000001"/>
    <n v="-26833.75"/>
    <n v="-26765.91"/>
    <n v="0"/>
    <n v="-26765.91"/>
    <n v="654881.06000000006"/>
    <s v="Forecast"/>
  </r>
  <r>
    <x v="7"/>
    <x v="0"/>
    <s v="202405"/>
    <n v="24"/>
    <n v="894313.79"/>
    <n v="-6.0568033806769728E-2"/>
    <s v="CohortAvg"/>
    <n v="-2.4334006715950322E-2"/>
    <s v="CohortAvg"/>
    <n v="0.26349097318968279"/>
    <s v="CohortAvg"/>
    <n v="0.1036280646008267"/>
    <s v="CohortAvg_NonZero"/>
    <n v="1.5249677779650199E-4"/>
    <s v="CohortAvg"/>
    <n v="0"/>
    <s v="Zero"/>
    <n v="-1.1963230155671819E-2"/>
    <s v="CohortAvg"/>
    <n v="-2.136582818357864E-4"/>
    <s v="CohortAvg"/>
    <n v="0"/>
    <n v="-54166.83"/>
    <n v="-21762.240000000002"/>
    <n v="19636.97"/>
    <n v="0"/>
    <n v="136.38"/>
    <n v="-10698.88"/>
    <n v="-191.08"/>
    <n v="837885.32"/>
    <n v="0.32433000000000001"/>
    <n v="0.91549999999999998"/>
    <n v="0.29693900000000001"/>
    <s v="CohortTrend+Seasonal(0.916)"/>
    <n v="248801.08"/>
    <n v="278797.90000000002"/>
    <n v="-29996.82"/>
    <x v="0"/>
    <n v="0"/>
    <n v="0.78500000000000003"/>
    <n v="0.24"/>
    <n v="0"/>
    <n v="0"/>
    <n v="0"/>
    <n v="278797.90000000002"/>
    <n v="894313.79"/>
    <n v="0.31174499999999999"/>
    <n v="-29996.82"/>
    <n v="-29860.44"/>
    <n v="0"/>
    <n v="-29860.44"/>
    <n v="867745.75"/>
    <s v="Forecast"/>
  </r>
  <r>
    <x v="7"/>
    <x v="0"/>
    <s v="202406"/>
    <n v="23"/>
    <n v="1328194.1299999999"/>
    <n v="-5.6085920751197477E-2"/>
    <s v="CohortAvg"/>
    <n v="-2.5532879170659009E-2"/>
    <s v="CohortAvg"/>
    <n v="0.28212682680725848"/>
    <s v="CohortAvg"/>
    <n v="6.5582697852609784E-2"/>
    <s v="CohortAvg_NonZero"/>
    <n v="2.1606417514420649E-5"/>
    <s v="CohortAvg"/>
    <n v="0"/>
    <s v="Zero"/>
    <n v="-1.0375400890350651E-2"/>
    <s v="CohortAvg"/>
    <n v="-2.1970259749624939E-4"/>
    <s v="CohortAvg"/>
    <n v="0"/>
    <n v="-74492.990000000005"/>
    <n v="-33912.620000000003"/>
    <n v="31226.6"/>
    <n v="0"/>
    <n v="28.7"/>
    <n v="-13780.55"/>
    <n v="-291.81"/>
    <n v="1250986.42"/>
    <n v="0.28453800000000001"/>
    <n v="0.91549999999999998"/>
    <n v="0.26050800000000002"/>
    <s v="CohortTrend+Seasonal(0.916)"/>
    <n v="325892.28000000003"/>
    <n v="362189.08"/>
    <n v="-36296.800000000003"/>
    <x v="0"/>
    <n v="0"/>
    <n v="0.78500000000000003"/>
    <n v="0.24"/>
    <n v="0"/>
    <n v="0"/>
    <n v="0"/>
    <n v="362189.08"/>
    <n v="1328194.1299999999"/>
    <n v="0.27269300000000002"/>
    <n v="-36296.800000000003"/>
    <n v="-36268.1"/>
    <n v="0"/>
    <n v="-36268.1"/>
    <n v="1287254.52"/>
    <s v="Forecast"/>
  </r>
  <r>
    <x v="7"/>
    <x v="0"/>
    <s v="202407"/>
    <n v="22"/>
    <n v="1401678.14"/>
    <n v="-5.3664777937920127E-2"/>
    <s v="CohortAvg"/>
    <n v="-2.6786377401759379E-2"/>
    <s v="CohortAvg"/>
    <n v="0.29069353055515518"/>
    <s v="CohortAvg"/>
    <n v="7.2996749350908524E-2"/>
    <s v="CohortAvg_NonZero"/>
    <n v="2.907043852328576E-5"/>
    <s v="CohortAvg"/>
    <n v="0"/>
    <s v="Zero"/>
    <n v="-1.294465859039059E-2"/>
    <s v="CohortAvg"/>
    <n v="-9.263974052221384E-5"/>
    <s v="CohortAvg"/>
    <n v="0"/>
    <n v="-75220.75"/>
    <n v="-37545.879999999997"/>
    <n v="33954.9"/>
    <n v="0"/>
    <n v="40.75"/>
    <n v="-18144.240000000002"/>
    <n v="-129.85"/>
    <n v="1322825.6599999999"/>
    <n v="0.24917600000000001"/>
    <n v="0.91549999999999998"/>
    <n v="0.228132"/>
    <s v="CohortTrend+Seasonal(0.916)"/>
    <n v="301779.07"/>
    <n v="336470.65"/>
    <n v="-34691.58"/>
    <x v="0"/>
    <n v="0"/>
    <n v="0.78500000000000003"/>
    <n v="0.24"/>
    <n v="0"/>
    <n v="0"/>
    <n v="0"/>
    <n v="336470.65"/>
    <n v="1401678.14"/>
    <n v="0.24004800000000001"/>
    <n v="-34691.58"/>
    <n v="-34650.83"/>
    <n v="0"/>
    <n v="-34650.83"/>
    <n v="1357476.49"/>
    <s v="Forecast"/>
  </r>
  <r>
    <x v="7"/>
    <x v="0"/>
    <s v="202408"/>
    <n v="21"/>
    <n v="1331565.56"/>
    <n v="-6.4921886098879875E-2"/>
    <s v="CohortAvg"/>
    <n v="-2.623846579677791E-2"/>
    <s v="CohortAvg"/>
    <n v="0.28172826575915211"/>
    <s v="CohortAvg"/>
    <n v="9.3677593659770186E-2"/>
    <s v="CohortAvg_NonZero"/>
    <n v="1.2597381800761941E-4"/>
    <s v="CohortAvg"/>
    <n v="0"/>
    <s v="Zero"/>
    <n v="-1.481606122674671E-2"/>
    <s v="CohortAvg"/>
    <n v="-3.2503905422462262E-4"/>
    <s v="CohortAvg"/>
    <n v="0"/>
    <n v="-86447.75"/>
    <n v="-34938.239999999998"/>
    <n v="31261.64"/>
    <n v="0"/>
    <n v="167.74"/>
    <n v="-19728.560000000001"/>
    <n v="-432.81"/>
    <n v="1241273.47"/>
    <n v="0.23244000000000001"/>
    <n v="0.91549999999999998"/>
    <n v="0.21281"/>
    <s v="CohortTrend+Seasonal(0.916)"/>
    <n v="264155.63"/>
    <n v="298630.2"/>
    <n v="-34474.57"/>
    <x v="0"/>
    <n v="0"/>
    <n v="0.78500000000000003"/>
    <n v="0.24"/>
    <n v="0"/>
    <n v="0"/>
    <n v="0"/>
    <n v="298630.2"/>
    <n v="1331565.56"/>
    <n v="0.22427"/>
    <n v="-34474.57"/>
    <n v="-34306.83"/>
    <n v="0"/>
    <n v="-34306.83"/>
    <n v="1275580.29"/>
    <s v="Forecast"/>
  </r>
  <r>
    <x v="7"/>
    <x v="0"/>
    <s v="202409"/>
    <n v="20"/>
    <n v="1246332.43"/>
    <n v="-6.9963181505830044E-2"/>
    <s v="CohortAvg"/>
    <n v="-2.9203097111740739E-2"/>
    <s v="CohortAvg"/>
    <n v="0.29846683857827222"/>
    <s v="CohortAvg"/>
    <n v="9.8519850885316715E-2"/>
    <s v="CohortAvg_NonZero"/>
    <n v="3.3120639997702488E-4"/>
    <s v="CohortAvg"/>
    <n v="0"/>
    <s v="Zero"/>
    <n v="-1.7657400586933249E-2"/>
    <s v="CohortAvg"/>
    <n v="8.4497118847730519E-4"/>
    <s v="CohortAvg"/>
    <n v="0"/>
    <n v="-87197.38"/>
    <n v="-36396.769999999997"/>
    <n v="30999.08"/>
    <n v="0"/>
    <n v="412.79"/>
    <n v="-22006.99"/>
    <n v="1053.1099999999999"/>
    <n v="1153324.57"/>
    <n v="0.216394"/>
    <n v="0.91549999999999998"/>
    <n v="0.19811899999999999"/>
    <s v="CohortTrend+Seasonal(0.916)"/>
    <n v="228495.14"/>
    <n v="233872.34"/>
    <n v="-5377.2"/>
    <x v="0"/>
    <n v="0"/>
    <n v="0.78500000000000003"/>
    <n v="0.24"/>
    <n v="0"/>
    <n v="0"/>
    <n v="0"/>
    <n v="233872.34"/>
    <n v="1246332.43"/>
    <n v="0.18764800000000001"/>
    <n v="-5377.2"/>
    <n v="-4964.3999999999996"/>
    <n v="0"/>
    <n v="-4964.3999999999996"/>
    <n v="1158288.97"/>
    <s v="Forecast"/>
  </r>
  <r>
    <x v="7"/>
    <x v="0"/>
    <s v="202410"/>
    <n v="19"/>
    <n v="1743939.19"/>
    <n v="-6.4586866857468242E-2"/>
    <s v="CohortAvg"/>
    <n v="-2.9756911147886381E-2"/>
    <s v="CohortAvg"/>
    <n v="0.29930793670690231"/>
    <s v="CohortAvg"/>
    <n v="8.7873432745273775E-2"/>
    <s v="CohortAvg_NonZero"/>
    <n v="8.4391050082973859E-5"/>
    <s v="CohortAvg"/>
    <n v="0"/>
    <s v="Zero"/>
    <n v="-2.094580665822552E-2"/>
    <s v="CohortAvg"/>
    <n v="-3.1925257602223692E-4"/>
    <s v="CohortAvg"/>
    <n v="0"/>
    <n v="-112635.57"/>
    <n v="-51894.239999999998"/>
    <n v="43497.9"/>
    <n v="0"/>
    <n v="147.16999999999999"/>
    <n v="-36528.21"/>
    <n v="-556.76"/>
    <n v="1622760.11"/>
    <n v="0.190751"/>
    <n v="0.91549999999999998"/>
    <n v="0.17464199999999999"/>
    <s v="DonorCohort:202101+Seasonal(0.916)"/>
    <n v="283401.44"/>
    <n v="303253.12"/>
    <n v="-19851.68"/>
    <x v="0"/>
    <n v="0"/>
    <n v="0.78500000000000003"/>
    <n v="0.24"/>
    <n v="0"/>
    <n v="0"/>
    <n v="0"/>
    <n v="303253.12"/>
    <n v="1743939.19"/>
    <n v="0.17388999999999999"/>
    <n v="-19851.68"/>
    <n v="-19704.509999999998"/>
    <n v="0"/>
    <n v="-19704.509999999998"/>
    <n v="1642464.61"/>
    <s v="Forecast"/>
  </r>
  <r>
    <x v="7"/>
    <x v="0"/>
    <s v="202411"/>
    <n v="18"/>
    <n v="1856729.98"/>
    <n v="-6.8912548956561639E-2"/>
    <s v="CohortAvg"/>
    <n v="-3.0715277231336949E-2"/>
    <s v="CohortAvg"/>
    <n v="0.31979471405317211"/>
    <s v="CohortAvg"/>
    <n v="7.9656239584644017E-2"/>
    <s v="CohortAvg_NonZero"/>
    <n v="2.1106412592112921E-5"/>
    <s v="CohortAvg"/>
    <n v="0"/>
    <s v="Zero"/>
    <n v="-2.1128069752917339E-2"/>
    <s v="CohortAvg"/>
    <n v="-4.2443834860864419E-4"/>
    <s v="CohortAvg"/>
    <n v="0"/>
    <n v="-127952"/>
    <n v="-57029.98"/>
    <n v="49481.04"/>
    <n v="0"/>
    <n v="39.19"/>
    <n v="-39229.120000000003"/>
    <n v="-788.07"/>
    <n v="1721189.86"/>
    <n v="0.17676500000000001"/>
    <n v="0.91549999999999998"/>
    <n v="0.16183700000000001"/>
    <s v="DonorCohort:202101+Seasonal(0.916)"/>
    <n v="278551.48"/>
    <n v="327433.53999999998"/>
    <n v="-48882.06"/>
    <x v="0"/>
    <n v="0"/>
    <n v="0.78500000000000003"/>
    <n v="0.24"/>
    <n v="0"/>
    <n v="0"/>
    <n v="0"/>
    <n v="327433.53999999998"/>
    <n v="1856729.98"/>
    <n v="0.17635000000000001"/>
    <n v="-48882.06"/>
    <n v="-48842.87"/>
    <n v="0"/>
    <n v="-48842.87"/>
    <n v="1770032.72"/>
    <s v="Forecast"/>
  </r>
  <r>
    <x v="7"/>
    <x v="0"/>
    <s v="202412"/>
    <n v="17"/>
    <n v="2078344.55"/>
    <n v="-6.5603305758911185E-2"/>
    <s v="CohortAvg"/>
    <n v="-3.1976438606974703E-2"/>
    <s v="CohortAvg"/>
    <n v="0.33016183994042791"/>
    <s v="CohortAvg"/>
    <n v="7.5044348289127913E-2"/>
    <s v="CohortAvg_NonZero"/>
    <n v="3.6883770611656388E-5"/>
    <s v="CohortAvg"/>
    <n v="0"/>
    <s v="Zero"/>
    <n v="-3.447398872277338E-2"/>
    <s v="CohortAvg"/>
    <n v="-4.8698411704558127E-4"/>
    <s v="CohortAvg"/>
    <n v="0"/>
    <n v="-136346.26999999999"/>
    <n v="-66458.06"/>
    <n v="57182.51"/>
    <n v="0"/>
    <n v="76.66"/>
    <n v="-71648.83"/>
    <n v="-1012.12"/>
    <n v="1932646.07"/>
    <n v="0.17926500000000001"/>
    <n v="0.91549999999999998"/>
    <n v="0.16412599999999999"/>
    <s v="DonorCohort:202101+Seasonal(0.916)"/>
    <n v="317197.32"/>
    <n v="390482.25"/>
    <n v="-73284.929999999993"/>
    <x v="0"/>
    <n v="0"/>
    <n v="0.78500000000000003"/>
    <n v="0.24"/>
    <n v="0"/>
    <n v="0"/>
    <n v="0"/>
    <n v="390482.25"/>
    <n v="2078344.55"/>
    <n v="0.18788099999999999"/>
    <n v="-73284.929999999993"/>
    <n v="-73208.27"/>
    <n v="0"/>
    <n v="-73208.27"/>
    <n v="2005854.34"/>
    <s v="Forecast"/>
  </r>
  <r>
    <x v="7"/>
    <x v="0"/>
    <s v="202501"/>
    <n v="16"/>
    <n v="2437678.27"/>
    <n v="-6.3066885544041509E-2"/>
    <s v="CohortAvg"/>
    <n v="-3.143925944092462E-2"/>
    <s v="CohortAvg"/>
    <n v="0.33878738675130959"/>
    <s v="CohortAvg"/>
    <n v="6.4867050465246059E-2"/>
    <s v="CohortAvg_NonZero"/>
    <n v="8.0352095944223939E-5"/>
    <s v="CohortAvg"/>
    <n v="0"/>
    <s v="Zero"/>
    <n v="-4.6806319572625599E-2"/>
    <s v="CohortAvg"/>
    <n v="-9.1840846962946239E-4"/>
    <s v="CohortAvg"/>
    <n v="0"/>
    <n v="-153736.78"/>
    <n v="-76638.8"/>
    <n v="68821.22"/>
    <n v="0"/>
    <n v="195.87"/>
    <n v="-114098.75"/>
    <n v="-2238.7800000000002"/>
    <n v="2275928.04"/>
    <n v="0.19098799999999999"/>
    <n v="0.91549999999999998"/>
    <n v="0.17485800000000001"/>
    <s v="DonorCohort:202101+Seasonal(0.916)"/>
    <n v="397965.15"/>
    <n v="451714.22"/>
    <n v="-53749.07"/>
    <x v="0"/>
    <n v="0"/>
    <n v="0.78500000000000003"/>
    <n v="0.24"/>
    <n v="0"/>
    <n v="0"/>
    <n v="0"/>
    <n v="451714.22"/>
    <n v="2437678.27"/>
    <n v="0.185305"/>
    <n v="-53749.07"/>
    <n v="-53553.2"/>
    <n v="0"/>
    <n v="-53553.2"/>
    <n v="2329481.2400000002"/>
    <s v="Forecast"/>
  </r>
  <r>
    <x v="7"/>
    <x v="0"/>
    <s v="202502"/>
    <n v="15"/>
    <n v="3528678.95"/>
    <n v="-6.3982333763556179E-2"/>
    <s v="CohortAvg"/>
    <n v="-3.1984400940940273E-2"/>
    <s v="CohortAvg"/>
    <n v="0.35676089543377981"/>
    <s v="CohortAvg"/>
    <n v="3.7913573059539109E-2"/>
    <s v="CohortAvg_NonZero"/>
    <n v="1.102074220708902E-4"/>
    <s v="CohortAvg"/>
    <n v="0"/>
    <s v="Zero"/>
    <n v="-9.2673467289449127E-2"/>
    <s v="CohortAvg"/>
    <n v="-2.003809758600655E-3"/>
    <s v="CohortAvg"/>
    <n v="0"/>
    <n v="-225773.11"/>
    <n v="-112862.68"/>
    <n v="104907.89"/>
    <n v="0"/>
    <n v="388.89"/>
    <n v="-327014.90999999997"/>
    <n v="-7070.8"/>
    <n v="3294562.16"/>
    <n v="0.18836900000000001"/>
    <n v="0.91549999999999998"/>
    <n v="0.172461"/>
    <s v="DonorCohort:202101+Seasonal(0.916)"/>
    <n v="568182.49"/>
    <n v="569276.73"/>
    <n v="-1094.24"/>
    <x v="0"/>
    <n v="0"/>
    <n v="0.78500000000000003"/>
    <n v="0.24"/>
    <n v="0"/>
    <n v="0"/>
    <n v="0"/>
    <n v="569276.73"/>
    <n v="3528678.95"/>
    <n v="0.161329"/>
    <n v="-1094.24"/>
    <n v="-705.35"/>
    <n v="0"/>
    <n v="-705.35"/>
    <n v="3295267.51"/>
    <s v="Forecast"/>
  </r>
  <r>
    <x v="7"/>
    <x v="0"/>
    <s v="202503"/>
    <n v="14"/>
    <n v="4876871"/>
    <n v="-5.4759527917537389E-2"/>
    <s v="CohortAvg"/>
    <n v="-3.4928281649282217E-2"/>
    <s v="CohortAvg"/>
    <n v="0.42602568932784157"/>
    <s v="CohortAvg"/>
    <n v="2.337347755521256E-2"/>
    <s v="CohortAvg_NonZero"/>
    <n v="7.3769899978396526E-6"/>
    <s v="CohortAvg"/>
    <n v="0"/>
    <s v="Zero"/>
    <n v="0"/>
    <s v="CohortAvg"/>
    <n v="0"/>
    <s v="CohortAvg"/>
    <n v="0"/>
    <n v="-267055.15000000002"/>
    <n v="-170340.72"/>
    <n v="173139.36"/>
    <n v="0"/>
    <n v="35.979999999999997"/>
    <n v="0"/>
    <n v="0"/>
    <n v="4612578.51"/>
    <n v="0.163996"/>
    <n v="0.91549999999999998"/>
    <n v="0.150146"/>
    <s v="DonorCohort:202101+Seasonal(0.916)"/>
    <n v="692560.67"/>
    <n v="883982.62"/>
    <n v="-191421.95"/>
    <x v="0"/>
    <n v="0"/>
    <n v="0.78500000000000003"/>
    <n v="0.24"/>
    <n v="0"/>
    <n v="0"/>
    <n v="0"/>
    <n v="883982.62"/>
    <n v="4876871"/>
    <n v="0.18126"/>
    <n v="-191421.95"/>
    <n v="-191385.97"/>
    <n v="0"/>
    <n v="-191385.97"/>
    <n v="4803964.4800000004"/>
    <s v="Forecast"/>
  </r>
  <r>
    <x v="7"/>
    <x v="0"/>
    <s v="202504"/>
    <n v="13"/>
    <n v="6195892.25"/>
    <n v="-5.3436159896214891E-2"/>
    <s v="CohortAvg"/>
    <n v="-3.7262293832445642E-2"/>
    <s v="CohortAvg"/>
    <n v="0.43812143365630779"/>
    <s v="CohortAvg"/>
    <n v="1.013329171740706E-2"/>
    <s v="CohortAvg_NonZero"/>
    <n v="1.850479424256834E-6"/>
    <s v="CohortAvg"/>
    <n v="0"/>
    <s v="Zero"/>
    <n v="0"/>
    <s v="CohortAvg"/>
    <n v="0"/>
    <s v="CohortAvg"/>
    <n v="0"/>
    <n v="-331084.69"/>
    <n v="-230873.16"/>
    <n v="226212.77"/>
    <n v="0"/>
    <n v="11.47"/>
    <n v="0"/>
    <n v="0"/>
    <n v="5860135.71"/>
    <n v="0.184257"/>
    <n v="0.91549999999999998"/>
    <n v="0.16869600000000001"/>
    <s v="DonorCohort:202101+Seasonal(0.916)"/>
    <n v="988582.45"/>
    <n v="1089395.6399999999"/>
    <n v="-100813.19"/>
    <x v="0"/>
    <n v="0"/>
    <n v="0.78500000000000003"/>
    <n v="0.24"/>
    <n v="0"/>
    <n v="0"/>
    <n v="0"/>
    <n v="1089395.6399999999"/>
    <n v="6195892.25"/>
    <n v="0.17582500000000001"/>
    <n v="-100813.19"/>
    <n v="-100801.73"/>
    <n v="0"/>
    <n v="-100801.73"/>
    <n v="5960937.4299999997"/>
    <s v="Forecast"/>
  </r>
  <r>
    <x v="7"/>
    <x v="0"/>
    <s v="202505"/>
    <n v="12"/>
    <n v="7928773.0499999998"/>
    <n v="-4.4072430150011992E-2"/>
    <s v="CohortAvg"/>
    <n v="-3.4648205923512317E-2"/>
    <s v="CohortAvg"/>
    <n v="0.41772677587066109"/>
    <s v="CohortAvg"/>
    <n v="0"/>
    <s v="CohortAvg_NoData_ERROR"/>
    <n v="8.7568032517331091E-7"/>
    <s v="CohortAvg"/>
    <n v="0"/>
    <s v="Zero"/>
    <n v="0"/>
    <s v="CohortAvg"/>
    <n v="0"/>
    <s v="CohortAvg"/>
    <n v="0"/>
    <n v="-349440.3"/>
    <n v="-274717.76"/>
    <n v="276005.07"/>
    <n v="0"/>
    <n v="6.94"/>
    <n v="0"/>
    <n v="0"/>
    <n v="7580613.1200000001"/>
    <n v="0.178732"/>
    <n v="0.91549999999999998"/>
    <n v="0.16363800000000001"/>
    <s v="DonorCohort:202101+Seasonal(0.916)"/>
    <n v="1240477.45"/>
    <n v="1208230.1000000001"/>
    <n v="32247.35"/>
    <x v="0"/>
    <n v="0"/>
    <n v="0.78500000000000003"/>
    <n v="0.24"/>
    <n v="0"/>
    <n v="0"/>
    <n v="0"/>
    <n v="1208230.1000000001"/>
    <n v="7928773.0499999998"/>
    <n v="0.15238599999999999"/>
    <n v="32247.35"/>
    <n v="32254.3"/>
    <n v="0"/>
    <n v="32254.3"/>
    <n v="7548358.8200000003"/>
    <s v="Forecast"/>
  </r>
  <r>
    <x v="7"/>
    <x v="0"/>
    <s v="202506"/>
    <n v="11"/>
    <n v="8981100.1400000006"/>
    <n v="-4.183772144978623E-2"/>
    <s v="CohortAvg"/>
    <n v="-3.5370812206737247E-2"/>
    <s v="CohortAvg"/>
    <n v="0.42523911920495111"/>
    <s v="CohortAvg"/>
    <n v="0"/>
    <s v="CohortAvg_NoData_ERROR"/>
    <n v="0"/>
    <s v="CohortAvg"/>
    <n v="0"/>
    <s v="Zero"/>
    <n v="0"/>
    <s v="CohortAvg"/>
    <n v="0"/>
    <s v="CohortAvg"/>
    <n v="0"/>
    <n v="-375748.77"/>
    <n v="-317668.81"/>
    <n v="318259.59000000003"/>
    <n v="0"/>
    <n v="0"/>
    <n v="0"/>
    <n v="0"/>
    <n v="8605942.1600000001"/>
    <n v="0.15490499999999999"/>
    <n v="0.91549999999999998"/>
    <n v="0.141823"/>
    <s v="DonorCohort:202101+Seasonal(0.916)"/>
    <n v="1220519.8600000001"/>
    <n v="1205862.98"/>
    <n v="14656.88"/>
    <x v="0"/>
    <n v="0"/>
    <n v="0.78500000000000003"/>
    <n v="0.24"/>
    <n v="0"/>
    <n v="0"/>
    <n v="0"/>
    <n v="1205862.98"/>
    <n v="8981100.1400000006"/>
    <n v="0.134267"/>
    <n v="14656.88"/>
    <n v="14656.88"/>
    <n v="0"/>
    <n v="14656.88"/>
    <n v="8591285.2699999996"/>
    <s v="Forecast"/>
  </r>
  <r>
    <x v="7"/>
    <x v="0"/>
    <s v="202507"/>
    <n v="10"/>
    <n v="11473598.43"/>
    <n v="-3.8782974484491542E-2"/>
    <s v="CohortAvg"/>
    <n v="-3.654567828229164E-2"/>
    <s v="CohortAvg"/>
    <n v="0.40930895164463488"/>
    <s v="CohortAvg"/>
    <n v="0"/>
    <s v="CohortAvg_NoData_ERROR"/>
    <n v="1.1866595689176771E-5"/>
    <s v="CohortAvg"/>
    <n v="0"/>
    <s v="Zero"/>
    <n v="0"/>
    <s v="CohortAvg"/>
    <n v="0"/>
    <s v="CohortAvg"/>
    <n v="0"/>
    <n v="-444980.28"/>
    <n v="-419310.44"/>
    <n v="391353.88"/>
    <n v="0"/>
    <n v="136.15"/>
    <n v="0"/>
    <n v="0"/>
    <n v="11000525.449999999"/>
    <n v="0.136487"/>
    <n v="0.91549999999999998"/>
    <n v="0.12496"/>
    <s v="DonorCohort:202101+Seasonal(0.916)"/>
    <n v="1374626.2"/>
    <n v="1355130.13"/>
    <n v="19496.07"/>
    <x v="0"/>
    <n v="0"/>
    <n v="0.78500000000000003"/>
    <n v="0.24"/>
    <n v="0"/>
    <n v="0"/>
    <n v="0"/>
    <n v="1355130.13"/>
    <n v="11473598.43"/>
    <n v="0.11810900000000001"/>
    <n v="19496.07"/>
    <n v="19632.23"/>
    <n v="0"/>
    <n v="19632.23"/>
    <n v="10980893.220000001"/>
    <s v="Forecast"/>
  </r>
  <r>
    <x v="7"/>
    <x v="0"/>
    <s v="202508"/>
    <n v="9"/>
    <n v="9429923.3200000003"/>
    <n v="-4.1860509916302857E-2"/>
    <s v="CohortAvg"/>
    <n v="-2.795488430452784E-2"/>
    <s v="CohortAvg"/>
    <n v="0.39343096463737759"/>
    <s v="CohortAvg"/>
    <n v="0"/>
    <s v="CohortAvg_NoData_ERROR"/>
    <n v="9.7546384365662549E-6"/>
    <s v="CohortAvg"/>
    <n v="0"/>
    <s v="Zero"/>
    <n v="0"/>
    <s v="CohortAvg"/>
    <n v="0"/>
    <s v="CohortAvg"/>
    <n v="0"/>
    <n v="-394741.4"/>
    <n v="-263612.42"/>
    <n v="309168.65000000002"/>
    <n v="0"/>
    <n v="91.99"/>
    <n v="0"/>
    <n v="0"/>
    <n v="9080646.1799999997"/>
    <n v="0.120061"/>
    <n v="0.91549999999999998"/>
    <n v="0.10992200000000001"/>
    <s v="DonorCohort:202101+Seasonal(0.916)"/>
    <n v="998161.64"/>
    <n v="962693.38"/>
    <n v="35468.25"/>
    <x v="0"/>
    <n v="0"/>
    <n v="0.78500000000000003"/>
    <n v="0.24"/>
    <n v="0"/>
    <n v="0"/>
    <n v="0"/>
    <n v="962693.38"/>
    <n v="9429923.3200000003"/>
    <n v="0.102089"/>
    <n v="35468.25"/>
    <n v="35560.239999999998"/>
    <n v="0"/>
    <n v="35560.239999999998"/>
    <n v="9045085.9399999995"/>
    <s v="Forecast"/>
  </r>
  <r>
    <x v="7"/>
    <x v="0"/>
    <s v="202509"/>
    <n v="8"/>
    <n v="4668082.47"/>
    <n v="-0.32957230210016542"/>
    <s v="CohortAvg"/>
    <n v="-6.850100570150562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538470.69"/>
    <n v="-319768.34000000003"/>
    <n v="194503.44"/>
    <n v="0"/>
    <n v="0"/>
    <n v="0"/>
    <n v="0"/>
    <n v="3004346.88"/>
    <n v="0.10377699999999999"/>
    <n v="0.91549999999999998"/>
    <n v="9.5013E-2"/>
    <s v="DonorCohort:202101+Seasonal(0.916)"/>
    <n v="285451.71999999997"/>
    <n v="396004.14"/>
    <n v="-110552.41"/>
    <x v="0"/>
    <n v="0"/>
    <n v="0.78500000000000003"/>
    <n v="0.24"/>
    <n v="0"/>
    <n v="0"/>
    <n v="0"/>
    <n v="396004.14"/>
    <n v="4668082.47"/>
    <n v="8.4832000000000005E-2"/>
    <n v="-110552.41"/>
    <n v="-110552.41"/>
    <n v="0"/>
    <n v="-110552.41"/>
    <n v="3114899.29"/>
    <s v="Forecast"/>
  </r>
  <r>
    <x v="7"/>
    <x v="1"/>
    <s v="202301"/>
    <n v="30"/>
    <n v="982681.88"/>
    <n v="-1.0443685956910359E-2"/>
    <s v="CohortAvg"/>
    <n v="-5.2055817143117009E-3"/>
    <s v="CohortAvg"/>
    <n v="9.3335292052218299E-2"/>
    <s v="CohortAvg"/>
    <n v="2.392911861735059E-2"/>
    <s v="CohortAvg_NonZero"/>
    <n v="0"/>
    <s v="CohortAvg"/>
    <n v="0"/>
    <s v="Zero"/>
    <n v="0"/>
    <s v="CohortAvg"/>
    <n v="0"/>
    <s v="CohortAvg"/>
    <n v="0"/>
    <n v="-10262.82"/>
    <n v="-5115.43"/>
    <n v="7643.24"/>
    <n v="0"/>
    <n v="0"/>
    <n v="0"/>
    <n v="0"/>
    <n v="974946.87"/>
    <n v="0.31300899999999998"/>
    <n v="1.0165999999999999"/>
    <n v="0.31821500000000003"/>
    <s v="CohortTrend+Seasonal(1.017)"/>
    <n v="310242.44"/>
    <n v="355779.61"/>
    <n v="-45537.17"/>
    <x v="0"/>
    <n v="0"/>
    <n v="0.78500000000000003"/>
    <n v="0.24"/>
    <n v="0"/>
    <n v="0"/>
    <n v="0"/>
    <n v="355779.61"/>
    <n v="982681.88"/>
    <n v="0.36204999999999998"/>
    <n v="-45537.17"/>
    <n v="-45537.17"/>
    <n v="0"/>
    <n v="-45537.17"/>
    <n v="1020484.04"/>
    <s v="Forecast"/>
  </r>
  <r>
    <x v="7"/>
    <x v="1"/>
    <s v="202404"/>
    <n v="25"/>
    <n v="193784.64"/>
    <n v="-6.0366185399036952E-2"/>
    <s v="CohortAvg"/>
    <n v="-1.5171111589479499E-2"/>
    <s v="CohortAvg"/>
    <n v="0.1570912430855943"/>
    <s v="CohortAvg"/>
    <n v="5.040339838111399E-2"/>
    <s v="CohortAvg_NonZero"/>
    <n v="0"/>
    <s v="CohortAvg"/>
    <n v="0"/>
    <s v="Zero"/>
    <n v="0"/>
    <s v="CohortAvg"/>
    <n v="0"/>
    <s v="CohortAvg"/>
    <n v="0"/>
    <n v="-11698.04"/>
    <n v="-2939.93"/>
    <n v="2536.8200000000002"/>
    <n v="0"/>
    <n v="0"/>
    <n v="0"/>
    <n v="0"/>
    <n v="181683.5"/>
    <n v="0.18582199999999999"/>
    <n v="1.0165999999999999"/>
    <n v="0.188913"/>
    <s v="CohortTrend+Seasonal(1.017)"/>
    <n v="34322.29"/>
    <n v="42089.05"/>
    <n v="-7766.76"/>
    <x v="0"/>
    <n v="0"/>
    <n v="0.78500000000000003"/>
    <n v="0.24"/>
    <n v="0"/>
    <n v="0"/>
    <n v="0"/>
    <n v="42089.05"/>
    <n v="193784.64"/>
    <n v="0.217195"/>
    <n v="-7766.76"/>
    <n v="-7766.76"/>
    <n v="0"/>
    <n v="-7766.76"/>
    <n v="189450.25"/>
    <s v="Forecast"/>
  </r>
  <r>
    <x v="7"/>
    <x v="1"/>
    <s v="202405"/>
    <n v="24"/>
    <n v="349539.51"/>
    <n v="-1.4664063120004031E-2"/>
    <s v="CohortAvg"/>
    <n v="-1.278581683875131E-2"/>
    <s v="CohortAvg"/>
    <n v="0.1485912748169938"/>
    <s v="CohortAvg"/>
    <n v="6.7743867634438834E-2"/>
    <s v="CohortAvg_NonZero"/>
    <n v="8.5491202221659135E-7"/>
    <s v="CohortAvg"/>
    <n v="0"/>
    <s v="Zero"/>
    <n v="0"/>
    <s v="CohortAvg"/>
    <n v="0"/>
    <s v="CohortAvg"/>
    <n v="0"/>
    <n v="-5125.67"/>
    <n v="-4469.1499999999996"/>
    <n v="4328.21"/>
    <n v="0"/>
    <n v="0.3"/>
    <n v="0"/>
    <n v="0"/>
    <n v="344272.61"/>
    <n v="0.27305400000000002"/>
    <n v="1.0165999999999999"/>
    <n v="0.27759499999999998"/>
    <s v="CohortTrend+Seasonal(1.017)"/>
    <n v="95568.29"/>
    <n v="108281.74"/>
    <n v="-12713.45"/>
    <x v="0"/>
    <n v="0"/>
    <n v="0.78500000000000003"/>
    <n v="0.24"/>
    <n v="0"/>
    <n v="0"/>
    <n v="0"/>
    <n v="108281.74"/>
    <n v="349539.51"/>
    <n v="0.309784"/>
    <n v="-12713.45"/>
    <n v="-12713.15"/>
    <n v="0"/>
    <n v="-12713.15"/>
    <n v="356985.76"/>
    <s v="Forecast"/>
  </r>
  <r>
    <x v="7"/>
    <x v="1"/>
    <s v="202406"/>
    <n v="23"/>
    <n v="200293.92"/>
    <n v="-1.6741606379687871E-2"/>
    <s v="CohortAvg"/>
    <n v="-1.495729548851412E-2"/>
    <s v="CohortAvg"/>
    <n v="0.1786314591070855"/>
    <s v="CohortAvg"/>
    <n v="5.620844502272148E-2"/>
    <s v="CohortAvg_NonZero"/>
    <n v="0"/>
    <s v="CohortAvg"/>
    <n v="0"/>
    <s v="Zero"/>
    <n v="0"/>
    <s v="CohortAvg"/>
    <n v="0"/>
    <s v="CohortAvg"/>
    <n v="0"/>
    <n v="-3353.24"/>
    <n v="-2995.86"/>
    <n v="2981.57"/>
    <n v="0"/>
    <n v="0"/>
    <n v="0"/>
    <n v="0"/>
    <n v="196926.38"/>
    <n v="0.19517000000000001"/>
    <n v="1.0165999999999999"/>
    <n v="0.19841600000000001"/>
    <s v="CohortTrend+Seasonal(1.017)"/>
    <n v="39073.31"/>
    <n v="44593.440000000002"/>
    <n v="-5520.13"/>
    <x v="0"/>
    <n v="0"/>
    <n v="0.78500000000000003"/>
    <n v="0.24"/>
    <n v="0"/>
    <n v="0"/>
    <n v="0"/>
    <n v="44593.440000000002"/>
    <n v="200293.92"/>
    <n v="0.22264"/>
    <n v="-5520.13"/>
    <n v="-5520.13"/>
    <n v="0"/>
    <n v="-5520.13"/>
    <n v="202446.51"/>
    <s v="Forecast"/>
  </r>
  <r>
    <x v="7"/>
    <x v="1"/>
    <s v="202407"/>
    <n v="22"/>
    <n v="295278.19"/>
    <n v="-4.1889487600939822E-2"/>
    <s v="CohortAvg"/>
    <n v="-1.5302952867406849E-2"/>
    <s v="CohortAvg"/>
    <n v="0.16967362629048"/>
    <s v="CohortAvg"/>
    <n v="8.2761551975630079E-2"/>
    <s v="CohortAvg_NonZero"/>
    <n v="0"/>
    <s v="CohortAvg"/>
    <n v="0"/>
    <s v="Zero"/>
    <n v="0"/>
    <s v="CohortAvg"/>
    <n v="0"/>
    <s v="CohortAvg"/>
    <n v="0"/>
    <n v="-12369.05"/>
    <n v="-4518.63"/>
    <n v="4175.08"/>
    <n v="0"/>
    <n v="0"/>
    <n v="0"/>
    <n v="0"/>
    <n v="282565.59000000003"/>
    <n v="0.18771599999999999"/>
    <n v="1.0165999999999999"/>
    <n v="0.19083800000000001"/>
    <s v="CohortTrend+Seasonal(1.017)"/>
    <n v="53924.22"/>
    <n v="63913.29"/>
    <n v="-9989.07"/>
    <x v="0"/>
    <n v="0"/>
    <n v="0.78500000000000003"/>
    <n v="0.24"/>
    <n v="0"/>
    <n v="0"/>
    <n v="0"/>
    <n v="63913.29"/>
    <n v="295278.19"/>
    <n v="0.216451"/>
    <n v="-9989.07"/>
    <n v="-9989.07"/>
    <n v="0"/>
    <n v="-9989.07"/>
    <n v="292554.65999999997"/>
    <s v="Forecast"/>
  </r>
  <r>
    <x v="7"/>
    <x v="1"/>
    <s v="202408"/>
    <n v="21"/>
    <n v="321607.58"/>
    <n v="-5.8475952443097758E-2"/>
    <s v="CohortAvg"/>
    <n v="-1.6485870592598109E-2"/>
    <s v="CohortAvg"/>
    <n v="0.18302102887314131"/>
    <s v="CohortAvg"/>
    <n v="0.1104761026857973"/>
    <s v="CohortAvg_NonZero"/>
    <n v="2.732692525571066E-9"/>
    <s v="CohortAvg"/>
    <n v="0"/>
    <s v="Zero"/>
    <n v="0"/>
    <s v="CohortAvg"/>
    <n v="0"/>
    <s v="CohortAvg"/>
    <n v="0"/>
    <n v="-18806.310000000001"/>
    <n v="-5301.98"/>
    <n v="4905.08"/>
    <n v="0"/>
    <n v="0"/>
    <n v="0"/>
    <n v="0"/>
    <n v="302404.37"/>
    <n v="0.19026799999999999"/>
    <n v="1.0165999999999999"/>
    <n v="0.19343199999999999"/>
    <s v="CohortTrend+Seasonal(1.017)"/>
    <n v="58494.8"/>
    <n v="70357.66"/>
    <n v="-11862.86"/>
    <x v="0"/>
    <n v="0"/>
    <n v="0.78500000000000003"/>
    <n v="0.24"/>
    <n v="0"/>
    <n v="0"/>
    <n v="0"/>
    <n v="70357.66"/>
    <n v="321607.58"/>
    <n v="0.21876899999999999"/>
    <n v="-11862.86"/>
    <n v="-11862.86"/>
    <n v="0"/>
    <n v="-11862.86"/>
    <n v="314267.23"/>
    <s v="Forecast"/>
  </r>
  <r>
    <x v="7"/>
    <x v="1"/>
    <s v="202409"/>
    <n v="20"/>
    <n v="452167.8"/>
    <n v="-3.8949122718650933E-2"/>
    <s v="CohortAvg"/>
    <n v="-1.511435584162518E-2"/>
    <s v="CohortAvg"/>
    <n v="0.1827171851619051"/>
    <s v="CohortAvg"/>
    <n v="3.1631686981508998E-2"/>
    <s v="CohortAvg_NonZero"/>
    <n v="0"/>
    <s v="CohortAvg"/>
    <n v="0"/>
    <s v="Zero"/>
    <n v="0"/>
    <s v="CohortAvg"/>
    <n v="0"/>
    <s v="CohortAvg"/>
    <n v="0"/>
    <n v="-17611.54"/>
    <n v="-6834.23"/>
    <n v="6884.9"/>
    <n v="0"/>
    <n v="0"/>
    <n v="0"/>
    <n v="0"/>
    <n v="434606.94"/>
    <n v="0.19678200000000001"/>
    <n v="1.0165999999999999"/>
    <n v="0.20005400000000001"/>
    <s v="CohortTrend+Seasonal(1.017)"/>
    <n v="86945"/>
    <n v="100568.12"/>
    <n v="-13623.12"/>
    <x v="0"/>
    <n v="0"/>
    <n v="0.78500000000000003"/>
    <n v="0.24"/>
    <n v="0"/>
    <n v="0"/>
    <n v="0"/>
    <n v="100568.12"/>
    <n v="452167.8"/>
    <n v="0.222413"/>
    <n v="-13623.12"/>
    <n v="-13623.12"/>
    <n v="0"/>
    <n v="-13623.12"/>
    <n v="448230.06"/>
    <s v="Forecast"/>
  </r>
  <r>
    <x v="7"/>
    <x v="1"/>
    <s v="202410"/>
    <n v="19"/>
    <n v="371519.91"/>
    <n v="-1.396847342508642E-2"/>
    <s v="CohortAvg"/>
    <n v="-1.8057039986108029E-2"/>
    <s v="CohortAvg"/>
    <n v="0.18807853152533199"/>
    <s v="CohortAvg"/>
    <n v="3.537680244129867E-2"/>
    <s v="CohortAvg_NonZero"/>
    <n v="1.198934049973708E-6"/>
    <s v="CohortAvg"/>
    <n v="0"/>
    <s v="Zero"/>
    <n v="0"/>
    <s v="CohortAvg"/>
    <n v="0"/>
    <s v="CohortAvg"/>
    <n v="0"/>
    <n v="-5189.57"/>
    <n v="-6708.55"/>
    <n v="5822.91"/>
    <n v="0"/>
    <n v="0.45"/>
    <n v="0"/>
    <n v="0"/>
    <n v="365444.26"/>
    <n v="0.18524499999999999"/>
    <n v="1.0165999999999999"/>
    <n v="0.18832599999999999"/>
    <s v="DonorCohort:202301+Seasonal(1.017)"/>
    <n v="68822.63"/>
    <n v="71549.58"/>
    <n v="-2726.95"/>
    <x v="0"/>
    <n v="0"/>
    <n v="0.78500000000000003"/>
    <n v="0.24"/>
    <n v="0"/>
    <n v="0"/>
    <n v="0"/>
    <n v="71549.58"/>
    <n v="371519.91"/>
    <n v="0.19258600000000001"/>
    <n v="-2726.95"/>
    <n v="-2726.51"/>
    <n v="0"/>
    <n v="-2726.51"/>
    <n v="368170.77"/>
    <s v="Forecast"/>
  </r>
  <r>
    <x v="7"/>
    <x v="1"/>
    <s v="202411"/>
    <n v="18"/>
    <n v="423386.47"/>
    <n v="-4.2360190077852897E-2"/>
    <s v="CohortAvg"/>
    <n v="-1.4810068677326239E-2"/>
    <s v="CohortAvg"/>
    <n v="0.1737228389324578"/>
    <s v="CohortAvg"/>
    <n v="3.3743679221009709E-2"/>
    <s v="CohortAvg_NonZero"/>
    <n v="0"/>
    <s v="CohortAvg"/>
    <n v="0"/>
    <s v="Zero"/>
    <n v="0"/>
    <s v="CohortAvg"/>
    <n v="0"/>
    <s v="CohortAvg"/>
    <n v="0"/>
    <n v="-17934.73"/>
    <n v="-6270.38"/>
    <n v="6129.33"/>
    <n v="0"/>
    <n v="0"/>
    <n v="0"/>
    <n v="0"/>
    <n v="405310.68"/>
    <n v="0.16040199999999999"/>
    <n v="1.0165999999999999"/>
    <n v="0.16306999999999999"/>
    <s v="DonorCohort:202301+Seasonal(1.017)"/>
    <n v="66094.06"/>
    <n v="111814.76"/>
    <n v="-45720.7"/>
    <x v="0"/>
    <n v="0"/>
    <n v="0.78500000000000003"/>
    <n v="0.24"/>
    <n v="0"/>
    <n v="0"/>
    <n v="0"/>
    <n v="111814.76"/>
    <n v="423386.47"/>
    <n v="0.264096"/>
    <n v="-45720.7"/>
    <n v="-45720.7"/>
    <n v="0"/>
    <n v="-45720.7"/>
    <n v="451031.38"/>
    <s v="Forecast"/>
  </r>
  <r>
    <x v="7"/>
    <x v="1"/>
    <s v="202412"/>
    <n v="17"/>
    <n v="31957.66"/>
    <n v="-8.5966729176408189E-3"/>
    <s v="CohortAvg"/>
    <n v="-1.2451476335261721E-2"/>
    <s v="CohortAvg"/>
    <n v="0.14874772165076819"/>
    <s v="CohortAvg"/>
    <n v="0.2"/>
    <s v="CohortAvg_NonZero"/>
    <n v="0"/>
    <s v="CohortAvg"/>
    <n v="0"/>
    <s v="Zero"/>
    <n v="0"/>
    <s v="CohortAvg"/>
    <n v="0"/>
    <s v="CohortAvg"/>
    <n v="0"/>
    <n v="-274.73"/>
    <n v="-397.92"/>
    <n v="396.14"/>
    <n v="0"/>
    <n v="0"/>
    <n v="0"/>
    <n v="0"/>
    <n v="31681.14"/>
    <n v="0.21996199999999999"/>
    <n v="1.0165999999999999"/>
    <n v="0.22362000000000001"/>
    <s v="DonorCohort:202301+Seasonal(1.017)"/>
    <n v="7084.55"/>
    <n v="7149.84"/>
    <n v="-65.290000000000006"/>
    <x v="0"/>
    <n v="0"/>
    <n v="0.78500000000000003"/>
    <n v="0.24"/>
    <n v="0"/>
    <n v="0"/>
    <n v="0"/>
    <n v="7149.84"/>
    <n v="31957.66"/>
    <n v="0.22372900000000001"/>
    <n v="-65.290000000000006"/>
    <n v="-65.290000000000006"/>
    <n v="0"/>
    <n v="-65.290000000000006"/>
    <n v="31746.43"/>
    <s v="Forecast"/>
  </r>
  <r>
    <x v="7"/>
    <x v="1"/>
    <s v="202501"/>
    <n v="16"/>
    <n v="54221.11"/>
    <n v="-1.523126375434012E-2"/>
    <s v="CohortAvg"/>
    <n v="-1.750874090377972E-2"/>
    <s v="CohortAvg"/>
    <n v="0.2044186726042132"/>
    <s v="CohortAvg"/>
    <n v="0"/>
    <s v="CohortAvg_NoData_ERROR"/>
    <n v="0"/>
    <s v="CohortAvg"/>
    <n v="0"/>
    <s v="Zero"/>
    <n v="0"/>
    <s v="CohortAvg"/>
    <n v="0"/>
    <s v="CohortAvg"/>
    <n v="0"/>
    <n v="-825.86"/>
    <n v="-949.34"/>
    <n v="923.65"/>
    <n v="0"/>
    <n v="0"/>
    <n v="0"/>
    <n v="0"/>
    <n v="53369.57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54221.11"/>
    <n v="0"/>
    <n v="0"/>
    <n v="0"/>
    <n v="0"/>
    <n v="0"/>
    <n v="53369.57"/>
    <s v="Forecast"/>
  </r>
  <r>
    <x v="7"/>
    <x v="1"/>
    <s v="202502"/>
    <n v="15"/>
    <n v="114841.99"/>
    <n v="-1.370049296898752E-2"/>
    <s v="CohortAvg"/>
    <n v="-1.8706287238341932E-2"/>
    <s v="CohortAvg"/>
    <n v="0.19433844011296611"/>
    <s v="CohortAvg"/>
    <n v="0"/>
    <s v="CohortAvg_NoData_ERROR"/>
    <n v="0"/>
    <s v="CohortAvg"/>
    <n v="0"/>
    <s v="Zero"/>
    <n v="0"/>
    <s v="CohortAvg"/>
    <n v="0"/>
    <s v="CohortAvg"/>
    <n v="0"/>
    <n v="-1573.39"/>
    <n v="-2148.27"/>
    <n v="1859.85"/>
    <n v="0"/>
    <n v="0"/>
    <n v="0"/>
    <n v="0"/>
    <n v="112980.18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114841.99"/>
    <n v="0"/>
    <n v="0"/>
    <n v="0"/>
    <n v="0"/>
    <n v="0"/>
    <n v="112980.18"/>
    <s v="Forecast"/>
  </r>
  <r>
    <x v="7"/>
    <x v="1"/>
    <s v="202503"/>
    <n v="14"/>
    <n v="79291.44"/>
    <n v="-9.8323342186665778E-3"/>
    <s v="CohortAvg"/>
    <n v="-1.41239310041739E-2"/>
    <s v="CohortAvg"/>
    <n v="0.20816022632275799"/>
    <s v="CohortAvg"/>
    <n v="0"/>
    <s v="CohortAvg_NoData_ERROR"/>
    <n v="0"/>
    <s v="CohortAvg"/>
    <n v="0"/>
    <s v="Zero"/>
    <n v="0"/>
    <s v="CohortAvg"/>
    <n v="0"/>
    <s v="CohortAvg"/>
    <n v="0"/>
    <n v="-779.62"/>
    <n v="-1119.9100000000001"/>
    <n v="1375.44"/>
    <n v="0"/>
    <n v="0"/>
    <n v="0"/>
    <n v="0"/>
    <n v="78767.350000000006"/>
    <n v="0.12357700000000001"/>
    <n v="1.0165999999999999"/>
    <n v="0.12563299999999999"/>
    <s v="DonorCohort:202301+Seasonal(1.017)"/>
    <n v="9895.76"/>
    <n v="12205.62"/>
    <n v="-2309.86"/>
    <x v="0"/>
    <n v="0"/>
    <n v="0.78500000000000003"/>
    <n v="0.24"/>
    <n v="0"/>
    <n v="0"/>
    <n v="0"/>
    <n v="12205.62"/>
    <n v="79291.44"/>
    <n v="0.15393399999999999"/>
    <n v="-2309.86"/>
    <n v="-2309.86"/>
    <n v="0"/>
    <n v="-2309.86"/>
    <n v="81077.210000000006"/>
    <s v="Forecast"/>
  </r>
  <r>
    <x v="7"/>
    <x v="1"/>
    <s v="202504"/>
    <n v="13"/>
    <n v="54282.12"/>
    <n v="-2.067175344231071E-2"/>
    <s v="CohortAvg"/>
    <n v="-1.6748738627252738E-2"/>
    <s v="CohortAvg"/>
    <n v="0.20236367661335131"/>
    <s v="CohortAvg"/>
    <n v="0"/>
    <s v="CohortAvg_NoData_ERROR"/>
    <n v="0"/>
    <s v="CohortAvg"/>
    <n v="0"/>
    <s v="Zero"/>
    <n v="0"/>
    <s v="CohortAvg"/>
    <n v="0"/>
    <s v="CohortAvg"/>
    <n v="0"/>
    <n v="-1122.1099999999999"/>
    <n v="-909.16"/>
    <n v="915.39"/>
    <n v="0"/>
    <n v="0"/>
    <n v="0"/>
    <n v="0"/>
    <n v="53166.25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54282.12"/>
    <n v="0"/>
    <n v="0"/>
    <n v="0"/>
    <n v="0"/>
    <n v="0"/>
    <n v="53166.25"/>
    <s v="Forecast"/>
  </r>
  <r>
    <x v="7"/>
    <x v="1"/>
    <s v="202505"/>
    <n v="12"/>
    <n v="15645.27"/>
    <n v="-9.6633990593188186E-3"/>
    <s v="CohortAvg"/>
    <n v="-1.577989851679799E-2"/>
    <s v="CohortAvg"/>
    <n v="0.19077277195639189"/>
    <s v="CohortAvg"/>
    <n v="0"/>
    <s v="CohortAvg_NoData_ERROR"/>
    <n v="0"/>
    <s v="CohortAvg"/>
    <n v="0"/>
    <s v="Zero"/>
    <n v="0"/>
    <s v="CohortAvg"/>
    <n v="0"/>
    <s v="CohortAvg"/>
    <n v="0"/>
    <n v="-151.19"/>
    <n v="-246.88"/>
    <n v="248.72"/>
    <n v="0"/>
    <n v="0"/>
    <n v="0"/>
    <n v="0"/>
    <n v="15495.92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15645.27"/>
    <n v="0"/>
    <n v="0"/>
    <n v="0"/>
    <n v="0"/>
    <n v="0"/>
    <n v="15495.92"/>
    <s v="Forecast"/>
  </r>
  <r>
    <x v="7"/>
    <x v="1"/>
    <s v="202506"/>
    <n v="11"/>
    <n v="28081.16"/>
    <n v="-1.324023981829096E-2"/>
    <s v="CohortAvg"/>
    <n v="-1.5653050161800328E-2"/>
    <s v="CohortAvg"/>
    <n v="0.1818594127528676"/>
    <s v="CohortAvg"/>
    <n v="0"/>
    <s v="CohortAvg_NoData_ERROR"/>
    <n v="0"/>
    <s v="CohortAvg"/>
    <n v="0"/>
    <s v="Zero"/>
    <n v="0"/>
    <s v="CohortAvg"/>
    <n v="0"/>
    <s v="CohortAvg"/>
    <n v="0"/>
    <n v="-371.8"/>
    <n v="-439.56"/>
    <n v="425.57"/>
    <n v="0"/>
    <n v="0"/>
    <n v="0"/>
    <n v="0"/>
    <n v="27695.37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28081.16"/>
    <n v="0"/>
    <n v="0"/>
    <n v="0"/>
    <n v="0"/>
    <n v="0"/>
    <n v="27695.37"/>
    <s v="Forecast"/>
  </r>
  <r>
    <x v="7"/>
    <x v="1"/>
    <s v="202507"/>
    <n v="10"/>
    <n v="109185.89"/>
    <n v="-1.020955826373765E-2"/>
    <s v="CohortAvg"/>
    <n v="-1.6478324751520071E-2"/>
    <s v="CohortAvg"/>
    <n v="0.18254413836955169"/>
    <s v="CohortAvg"/>
    <n v="0"/>
    <s v="CohortAvg_NoData_ERROR"/>
    <n v="0"/>
    <s v="CohortAvg"/>
    <n v="0"/>
    <s v="Zero"/>
    <n v="0"/>
    <s v="CohortAvg"/>
    <n v="0"/>
    <s v="CohortAvg"/>
    <n v="0"/>
    <n v="-1114.74"/>
    <n v="-1799.2"/>
    <n v="1660.94"/>
    <n v="0"/>
    <n v="0"/>
    <n v="0"/>
    <n v="0"/>
    <n v="107932.89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109185.89"/>
    <n v="0"/>
    <n v="0"/>
    <n v="0"/>
    <n v="0"/>
    <n v="0"/>
    <n v="107932.89"/>
    <s v="Forecast"/>
  </r>
  <r>
    <x v="7"/>
    <x v="1"/>
    <s v="202508"/>
    <n v="9"/>
    <n v="45096.55"/>
    <n v="-1.28385526923271E-2"/>
    <s v="CohortAvg"/>
    <n v="-1.2903949473234481E-2"/>
    <s v="CohortAvg"/>
    <n v="0.15884961136314929"/>
    <s v="CohortAvg"/>
    <n v="0"/>
    <s v="CohortAvg_NoData_ERROR"/>
    <n v="0"/>
    <s v="CohortAvg"/>
    <n v="0"/>
    <s v="Zero"/>
    <n v="0"/>
    <s v="CohortAvg"/>
    <n v="0"/>
    <s v="CohortAvg"/>
    <n v="0"/>
    <n v="-578.97"/>
    <n v="-581.91999999999996"/>
    <n v="596.96"/>
    <n v="0"/>
    <n v="0"/>
    <n v="0"/>
    <n v="0"/>
    <n v="44532.61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45096.55"/>
    <n v="0"/>
    <n v="0"/>
    <n v="0"/>
    <n v="0"/>
    <n v="0"/>
    <n v="44532.61"/>
    <s v="Forecast"/>
  </r>
  <r>
    <x v="7"/>
    <x v="1"/>
    <s v="202509"/>
    <n v="8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7"/>
    <x v="2"/>
    <s v="202101"/>
    <n v="64"/>
    <n v="808357.57"/>
    <n v="-0.18773768196957069"/>
    <s v="CohortAvg"/>
    <n v="-1.397105071513462E-2"/>
    <s v="CohortAvg"/>
    <n v="0.1521264327600034"/>
    <s v="CohortAvg"/>
    <n v="1.7718866266380331E-2"/>
    <s v="CohortAvg_NonZero"/>
    <n v="0"/>
    <s v="CohortAvg"/>
    <n v="0"/>
    <s v="Zero"/>
    <n v="0"/>
    <s v="CohortAvg"/>
    <n v="0"/>
    <s v="CohortAvg"/>
    <n v="0"/>
    <n v="-151759.18"/>
    <n v="-11293.6"/>
    <n v="10247.709999999999"/>
    <n v="0"/>
    <n v="0"/>
    <n v="0"/>
    <n v="0"/>
    <n v="655552.5"/>
    <n v="0.26050099999999998"/>
    <n v="0.89070000000000005"/>
    <n v="0.23202400000000001"/>
    <s v="CohortAvg+Seasonal(0.891)"/>
    <n v="152104"/>
    <n v="196917.88"/>
    <n v="-44813.89"/>
    <x v="0"/>
    <n v="0"/>
    <n v="0.78500000000000003"/>
    <n v="0.24"/>
    <n v="0"/>
    <n v="0"/>
    <n v="0"/>
    <n v="196917.88"/>
    <n v="808357.57"/>
    <n v="0.24360200000000001"/>
    <n v="-44813.89"/>
    <n v="-44813.89"/>
    <n v="0"/>
    <n v="-44813.89"/>
    <n v="700366.39"/>
    <s v="Forecast"/>
  </r>
  <r>
    <x v="7"/>
    <x v="2"/>
    <s v="202201"/>
    <n v="44"/>
    <n v="108143.69"/>
    <n v="-6.6017175853705937E-2"/>
    <s v="CohortAvg"/>
    <n v="-1.341655819404371E-2"/>
    <s v="CohortAvg"/>
    <n v="0.14943939596358841"/>
    <s v="CohortAvg"/>
    <n v="3.3378640648958111E-2"/>
    <s v="CohortAvg_NonZero"/>
    <n v="3.6918179857160259E-7"/>
    <s v="CohortAvg"/>
    <n v="0"/>
    <s v="Zero"/>
    <n v="-3.5930749071994987E-5"/>
    <s v="CohortAvg"/>
    <n v="-1.622208925120786E-7"/>
    <s v="CohortAvg"/>
    <n v="0"/>
    <n v="-7139.34"/>
    <n v="-1450.92"/>
    <n v="1346.74"/>
    <n v="0"/>
    <n v="0.04"/>
    <n v="-3.89"/>
    <n v="-0.02"/>
    <n v="100900.14"/>
    <n v="0.18850900000000001"/>
    <n v="0.89070000000000005"/>
    <n v="0.167902"/>
    <s v="CohortAvg+Seasonal(0.891)"/>
    <n v="16941.330000000002"/>
    <n v="19196.14"/>
    <n v="-2254.8200000000002"/>
    <x v="0"/>
    <n v="0"/>
    <n v="0.78500000000000003"/>
    <n v="0.24"/>
    <n v="0"/>
    <n v="0"/>
    <n v="0"/>
    <n v="19196.14"/>
    <n v="108143.69"/>
    <n v="0.177506"/>
    <n v="-2254.8200000000002"/>
    <n v="-2254.7800000000002"/>
    <n v="0"/>
    <n v="-2254.7800000000002"/>
    <n v="103154.92"/>
    <s v="Forecast"/>
  </r>
  <r>
    <x v="7"/>
    <x v="2"/>
    <s v="202301"/>
    <n v="35"/>
    <n v="8439430.2200000007"/>
    <n v="-3.7411176116482793E-2"/>
    <s v="CohortAvg"/>
    <n v="-1.53493578895437E-2"/>
    <s v="CohortAvg"/>
    <n v="0.1741111553540364"/>
    <s v="CohortAvg"/>
    <n v="1.8327921049659079E-2"/>
    <s v="CohortAvg_NonZero"/>
    <n v="2.5150902269335841E-7"/>
    <s v="CohortAvg"/>
    <n v="0"/>
    <s v="Zero"/>
    <n v="-7.87795507036935E-4"/>
    <s v="CohortAvg"/>
    <n v="-1.9371756746672488E-6"/>
    <s v="CohortAvg"/>
    <n v="0"/>
    <n v="-315729.01"/>
    <n v="-129539.83"/>
    <n v="122449.91"/>
    <n v="0"/>
    <n v="2.12"/>
    <n v="-6648.55"/>
    <n v="-16.350000000000001"/>
    <n v="8116609.1600000001"/>
    <n v="0.20314299999999999"/>
    <n v="0.89070000000000005"/>
    <n v="0.18093600000000001"/>
    <s v="CohortTrend+Seasonal(0.891)"/>
    <n v="1468583.99"/>
    <n v="1550876.88"/>
    <n v="-82292.89"/>
    <x v="0"/>
    <n v="0"/>
    <n v="0.78500000000000003"/>
    <n v="0.24"/>
    <n v="0"/>
    <n v="0"/>
    <n v="0"/>
    <n v="1550876.88"/>
    <n v="8439430.2200000007"/>
    <n v="0.18376600000000001"/>
    <n v="-82292.89"/>
    <n v="-82290.759999999995"/>
    <n v="0"/>
    <n v="-82290.759999999995"/>
    <n v="8198899.9299999997"/>
    <s v="Forecast"/>
  </r>
  <r>
    <x v="7"/>
    <x v="2"/>
    <s v="202404"/>
    <n v="25"/>
    <n v="2135356.4500000002"/>
    <n v="-4.1997704203225322E-2"/>
    <s v="CohortAvg"/>
    <n v="-1.6008220649639918E-2"/>
    <s v="CohortAvg"/>
    <n v="0.17611932594786861"/>
    <s v="CohortAvg"/>
    <n v="2.1733282678335152E-2"/>
    <s v="CohortAvg_NonZero"/>
    <n v="9.9170961024870824E-7"/>
    <s v="CohortAvg"/>
    <n v="0"/>
    <s v="Zero"/>
    <n v="-2.823603699886424E-3"/>
    <s v="CohortAvg"/>
    <n v="-1.583552221085585E-5"/>
    <s v="CohortAvg"/>
    <n v="0"/>
    <n v="-89680.07"/>
    <n v="-34183.26"/>
    <n v="31339.79"/>
    <n v="0"/>
    <n v="2.12"/>
    <n v="-6029.4"/>
    <n v="-33.81"/>
    <n v="2042830.81"/>
    <n v="0.15121499999999999"/>
    <n v="0.89070000000000005"/>
    <n v="0.134684"/>
    <s v="CohortTrend+Seasonal(0.891)"/>
    <n v="275137.17"/>
    <n v="291802.14"/>
    <n v="-16664.96"/>
    <x v="0"/>
    <n v="0"/>
    <n v="0.78500000000000003"/>
    <n v="0.24"/>
    <n v="0"/>
    <n v="0"/>
    <n v="0"/>
    <n v="291802.14"/>
    <n v="2135356.4500000002"/>
    <n v="0.136653"/>
    <n v="-16664.96"/>
    <n v="-16662.849999999999"/>
    <n v="0"/>
    <n v="-16662.849999999999"/>
    <n v="2059493.65"/>
    <s v="Forecast"/>
  </r>
  <r>
    <x v="7"/>
    <x v="2"/>
    <s v="202405"/>
    <n v="24"/>
    <n v="2168172.2000000002"/>
    <n v="-2.004479954341554E-2"/>
    <s v="CohortAvg"/>
    <n v="-1.513442931334779E-2"/>
    <s v="CohortAvg"/>
    <n v="0.17385352925247541"/>
    <s v="CohortAvg"/>
    <n v="3.062877926534701E-2"/>
    <s v="CohortAvg_NonZero"/>
    <n v="1.215154008353069E-6"/>
    <s v="CohortAvg"/>
    <n v="0"/>
    <s v="Zero"/>
    <n v="-5.7080458305445734E-3"/>
    <s v="CohortAvg"/>
    <n v="-3.5926055197007353E-5"/>
    <s v="CohortAvg"/>
    <n v="0"/>
    <n v="-43460.58"/>
    <n v="-32814.050000000003"/>
    <n v="31412.03"/>
    <n v="0"/>
    <n v="2.63"/>
    <n v="-12376.03"/>
    <n v="-77.89"/>
    <n v="2123306.9700000002"/>
    <n v="0.128301"/>
    <n v="0.89070000000000005"/>
    <n v="0.114276"/>
    <s v="CohortTrend+Seasonal(0.891)"/>
    <n v="242642.53"/>
    <n v="251367.77"/>
    <n v="-8725.25"/>
    <x v="0"/>
    <n v="0"/>
    <n v="0.78500000000000003"/>
    <n v="0.24"/>
    <n v="0"/>
    <n v="0"/>
    <n v="0"/>
    <n v="251367.77"/>
    <n v="2168172.2000000002"/>
    <n v="0.115935"/>
    <n v="-8725.25"/>
    <n v="-8722.61"/>
    <n v="0"/>
    <n v="-8722.61"/>
    <n v="2132029.58"/>
    <s v="Forecast"/>
  </r>
  <r>
    <x v="7"/>
    <x v="2"/>
    <s v="202406"/>
    <n v="23"/>
    <n v="1857602.25"/>
    <n v="-2.8001688653030519E-2"/>
    <s v="CohortAvg"/>
    <n v="-1.5084579485717861E-2"/>
    <s v="CohortAvg"/>
    <n v="0.17245712831550511"/>
    <s v="CohortAvg"/>
    <n v="5.9254529602429468E-2"/>
    <s v="CohortAvg_NonZero"/>
    <n v="1.0697663314746629E-6"/>
    <s v="CohortAvg"/>
    <n v="0"/>
    <s v="Zero"/>
    <n v="-3.8951487927866069E-3"/>
    <s v="CohortAvg"/>
    <n v="-5.5511273303959411E-5"/>
    <s v="CohortAvg"/>
    <n v="0"/>
    <n v="-52016"/>
    <n v="-28021.15"/>
    <n v="26696.400000000001"/>
    <n v="0"/>
    <n v="1.99"/>
    <n v="-7235.64"/>
    <n v="-103.12"/>
    <n v="1804259.51"/>
    <n v="0.13397600000000001"/>
    <n v="0.89070000000000005"/>
    <n v="0.11933000000000001"/>
    <s v="CohortTrend+Seasonal(0.891)"/>
    <n v="215303.04000000001"/>
    <n v="225516.15"/>
    <n v="-10213.11"/>
    <x v="0"/>
    <n v="0"/>
    <n v="0.78500000000000003"/>
    <n v="0.24"/>
    <n v="0"/>
    <n v="0"/>
    <n v="0"/>
    <n v="225516.15"/>
    <n v="1857602.25"/>
    <n v="0.121402"/>
    <n v="-10213.11"/>
    <n v="-10211.129999999999"/>
    <n v="0"/>
    <n v="-10211.129999999999"/>
    <n v="1814470.64"/>
    <s v="Forecast"/>
  </r>
  <r>
    <x v="7"/>
    <x v="2"/>
    <s v="202407"/>
    <n v="22"/>
    <n v="3357768.26"/>
    <n v="-2.7316340667765379E-2"/>
    <s v="CohortAvg"/>
    <n v="-1.562395868377575E-2"/>
    <s v="CohortAvg"/>
    <n v="0.17628330763105871"/>
    <s v="CohortAvg"/>
    <n v="3.0596169336070119E-2"/>
    <s v="CohortAvg_NonZero"/>
    <n v="6.7176582132212188E-6"/>
    <s v="CohortAvg"/>
    <n v="0"/>
    <s v="Zero"/>
    <n v="-5.0264840611217981E-3"/>
    <s v="CohortAvg"/>
    <n v="-4.3158579600643802E-5"/>
    <s v="CohortAvg"/>
    <n v="0"/>
    <n v="-91721.94"/>
    <n v="-52461.63"/>
    <n v="49326.54"/>
    <n v="0"/>
    <n v="22.56"/>
    <n v="-16877.77"/>
    <n v="-144.91999999999999"/>
    <n v="3262888.68"/>
    <n v="0.112263"/>
    <n v="0.89070000000000005"/>
    <n v="9.9990999999999997E-2"/>
    <s v="CohortTrend+Seasonal(0.891)"/>
    <n v="326258.90000000002"/>
    <n v="339950.6"/>
    <n v="-13691.7"/>
    <x v="0"/>
    <n v="0"/>
    <n v="0.78500000000000003"/>
    <n v="0.24"/>
    <n v="0"/>
    <n v="0"/>
    <n v="0"/>
    <n v="339950.6"/>
    <n v="3357768.26"/>
    <n v="0.101243"/>
    <n v="-13691.7"/>
    <n v="-13669.14"/>
    <n v="0"/>
    <n v="-13669.14"/>
    <n v="3276557.82"/>
    <s v="Forecast"/>
  </r>
  <r>
    <x v="7"/>
    <x v="2"/>
    <s v="202408"/>
    <n v="21"/>
    <n v="2374492.44"/>
    <n v="-2.4432904657253229E-2"/>
    <s v="CohortAvg"/>
    <n v="-1.6458154877982509E-2"/>
    <s v="CohortAvg"/>
    <n v="0.188402260699889"/>
    <s v="CohortAvg"/>
    <n v="2.074726843137269E-2"/>
    <s v="CohortAvg_NonZero"/>
    <n v="4.3007969122345199E-7"/>
    <s v="CohortAvg"/>
    <n v="0"/>
    <s v="Zero"/>
    <n v="-3.153039411931736E-3"/>
    <s v="CohortAvg"/>
    <n v="-3.2892390025684597E-5"/>
    <s v="CohortAvg"/>
    <n v="0"/>
    <n v="-58015.75"/>
    <n v="-39079.760000000002"/>
    <n v="37279.980000000003"/>
    <n v="0"/>
    <n v="1.02"/>
    <n v="-7486.87"/>
    <n v="-78.099999999999994"/>
    <n v="2314675.89"/>
    <n v="0.107835"/>
    <n v="0.89070000000000005"/>
    <n v="9.6046999999999993E-2"/>
    <s v="CohortTrend+Seasonal(0.891)"/>
    <n v="222317.7"/>
    <n v="228809.46"/>
    <n v="-6491.75"/>
    <x v="0"/>
    <n v="0"/>
    <n v="0.78500000000000003"/>
    <n v="0.24"/>
    <n v="0"/>
    <n v="0"/>
    <n v="0"/>
    <n v="228809.46"/>
    <n v="2374492.44"/>
    <n v="9.6361000000000002E-2"/>
    <n v="-6491.75"/>
    <n v="-6490.73"/>
    <n v="0"/>
    <n v="-6490.73"/>
    <n v="2321166.62"/>
    <s v="Forecast"/>
  </r>
  <r>
    <x v="7"/>
    <x v="2"/>
    <s v="202409"/>
    <n v="20"/>
    <n v="2259460.59"/>
    <n v="-3.2470449707268478E-2"/>
    <s v="CohortAvg"/>
    <n v="-1.6704510849655751E-2"/>
    <s v="CohortAvg"/>
    <n v="0.185757333166508"/>
    <s v="CohortAvg"/>
    <n v="3.3420093040820893E-2"/>
    <s v="CohortAvg_NonZero"/>
    <n v="8.0271871614966445E-6"/>
    <s v="CohortAvg"/>
    <n v="0"/>
    <s v="Zero"/>
    <n v="-1.221425625863839E-2"/>
    <s v="CohortAvg"/>
    <n v="-1.000293555324861E-4"/>
    <s v="CohortAvg"/>
    <n v="0"/>
    <n v="-73365.7"/>
    <n v="-37743.18"/>
    <n v="34975.949999999997"/>
    <n v="0"/>
    <n v="18.14"/>
    <n v="-27597.63"/>
    <n v="-226.01"/>
    <n v="2183309.52"/>
    <n v="9.4571000000000002E-2"/>
    <n v="0.89070000000000005"/>
    <n v="8.4233000000000002E-2"/>
    <s v="CohortTrend+Seasonal(0.891)"/>
    <n v="183906.87"/>
    <n v="203208.03"/>
    <n v="-19301.169999999998"/>
    <x v="0"/>
    <n v="0"/>
    <n v="0.78500000000000003"/>
    <n v="0.24"/>
    <n v="0"/>
    <n v="0"/>
    <n v="0"/>
    <n v="203208.03"/>
    <n v="2259460.59"/>
    <n v="8.9937000000000003E-2"/>
    <n v="-19301.169999999998"/>
    <n v="-19283.03"/>
    <n v="0"/>
    <n v="-19283.03"/>
    <n v="2202592.5499999998"/>
    <s v="Forecast"/>
  </r>
  <r>
    <x v="7"/>
    <x v="2"/>
    <s v="202410"/>
    <n v="19"/>
    <n v="2160982.7400000002"/>
    <n v="-3.9662221205940609E-2"/>
    <s v="CohortAvg"/>
    <n v="-1.6658400884591539E-2"/>
    <s v="CohortAvg"/>
    <n v="0.18260834468603371"/>
    <s v="CohortAvg"/>
    <n v="2.7608740376634001E-2"/>
    <s v="CohortAvg_NonZero"/>
    <n v="1.9501795372156819E-6"/>
    <s v="CohortAvg"/>
    <n v="0"/>
    <s v="Zero"/>
    <n v="-8.0181160546255615E-3"/>
    <s v="CohortAvg"/>
    <n v="-1.149708927467563E-4"/>
    <s v="CohortAvg"/>
    <n v="0"/>
    <n v="-85709.38"/>
    <n v="-35998.519999999997"/>
    <n v="32884.46"/>
    <n v="0"/>
    <n v="4.21"/>
    <n v="-17327.009999999998"/>
    <n v="-248.45"/>
    <n v="2072155.09"/>
    <n v="9.6042000000000002E-2"/>
    <n v="0.89070000000000005"/>
    <n v="8.5542999999999994E-2"/>
    <s v="DonorCohort:202101+Seasonal(0.891)"/>
    <n v="177258.48"/>
    <n v="167952.16"/>
    <n v="9306.32"/>
    <x v="0"/>
    <n v="0"/>
    <n v="0.78500000000000003"/>
    <n v="0.24"/>
    <n v="0"/>
    <n v="0"/>
    <n v="0"/>
    <n v="167952.16"/>
    <n v="2160982.7400000002"/>
    <n v="7.7719999999999997E-2"/>
    <n v="9306.32"/>
    <n v="9310.5400000000009"/>
    <n v="0"/>
    <n v="9310.5400000000009"/>
    <n v="2062844.55"/>
    <s v="Forecast"/>
  </r>
  <r>
    <x v="7"/>
    <x v="2"/>
    <s v="202411"/>
    <n v="18"/>
    <n v="2434816.06"/>
    <n v="-3.6675023107902709E-2"/>
    <s v="CohortAvg"/>
    <n v="-1.7480271297228581E-2"/>
    <s v="CohortAvg"/>
    <n v="0.19070939882498181"/>
    <s v="CohortAvg"/>
    <n v="2.1043353593902862E-2"/>
    <s v="CohortAvg_NonZero"/>
    <n v="2.7032027042745872E-6"/>
    <s v="CohortAvg"/>
    <n v="0"/>
    <s v="Zero"/>
    <n v="-1.146769623475849E-2"/>
    <s v="CohortAvg"/>
    <n v="-1.0164546107392389E-4"/>
    <s v="CohortAvg"/>
    <n v="0"/>
    <n v="-89296.94"/>
    <n v="-42561.25"/>
    <n v="38695.19"/>
    <n v="0"/>
    <n v="6.58"/>
    <n v="-27921.73"/>
    <n v="-247.49"/>
    <n v="2341646.4900000002"/>
    <n v="8.2997000000000001E-2"/>
    <n v="0.89070000000000005"/>
    <n v="7.3924000000000004E-2"/>
    <s v="DonorCohort:202101+Seasonal(0.891)"/>
    <n v="173102.87"/>
    <n v="176605.37"/>
    <n v="-3502.5"/>
    <x v="0"/>
    <n v="0"/>
    <n v="0.78500000000000003"/>
    <n v="0.24"/>
    <n v="0"/>
    <n v="0"/>
    <n v="0"/>
    <n v="176605.37"/>
    <n v="2434816.06"/>
    <n v="7.2533E-2"/>
    <n v="-3502.5"/>
    <n v="-3495.92"/>
    <n v="0"/>
    <n v="-3495.92"/>
    <n v="2345142.41"/>
    <s v="Forecast"/>
  </r>
  <r>
    <x v="7"/>
    <x v="2"/>
    <s v="202412"/>
    <n v="17"/>
    <n v="2167022.48"/>
    <n v="-2.087544645776028E-2"/>
    <s v="CohortAvg"/>
    <n v="-1.6644939792795539E-2"/>
    <s v="CohortAvg"/>
    <n v="0.190233035356592"/>
    <s v="CohortAvg"/>
    <n v="2.747707328258445E-2"/>
    <s v="CohortAvg_NonZero"/>
    <n v="1.2413995823966061E-6"/>
    <s v="CohortAvg"/>
    <n v="0"/>
    <s v="Zero"/>
    <n v="-1.139970741774449E-2"/>
    <s v="CohortAvg"/>
    <n v="-8.4378784777159731E-5"/>
    <s v="CohortAvg"/>
    <n v="0"/>
    <n v="-45237.56"/>
    <n v="-36069.96"/>
    <n v="34353.269999999997"/>
    <n v="0"/>
    <n v="2.69"/>
    <n v="-24703.42"/>
    <n v="-182.85"/>
    <n v="2120065.54"/>
    <n v="7.7456999999999998E-2"/>
    <n v="0.89070000000000005"/>
    <n v="6.8989999999999996E-2"/>
    <s v="DonorCohort:202101+Seasonal(0.891)"/>
    <n v="146263.41"/>
    <n v="154124.82999999999"/>
    <n v="-7861.41"/>
    <x v="0"/>
    <n v="0"/>
    <n v="0.78500000000000003"/>
    <n v="0.24"/>
    <n v="0"/>
    <n v="0"/>
    <n v="0"/>
    <n v="154124.82999999999"/>
    <n v="2167022.48"/>
    <n v="7.1123000000000006E-2"/>
    <n v="-7861.41"/>
    <n v="-7858.72"/>
    <n v="0"/>
    <n v="-7858.72"/>
    <n v="2127924.27"/>
    <s v="Forecast"/>
  </r>
  <r>
    <x v="7"/>
    <x v="2"/>
    <s v="202501"/>
    <n v="16"/>
    <n v="3878477.82"/>
    <n v="-3.0148944057644629E-2"/>
    <s v="CohortAvg"/>
    <n v="-1.7469413855288909E-2"/>
    <s v="CohortAvg"/>
    <n v="0.19168006241842231"/>
    <s v="CohortAvg"/>
    <n v="1.495469800234612E-2"/>
    <s v="CohortAvg_NonZero"/>
    <n v="5.5570010466300073E-5"/>
    <s v="CohortAvg"/>
    <n v="0"/>
    <s v="Zero"/>
    <n v="-1.8408345562701739E-2"/>
    <s v="CohortAvg"/>
    <n v="-1.5210407108234901E-4"/>
    <s v="CohortAvg"/>
    <n v="0"/>
    <n v="-116932.01"/>
    <n v="-67754.73"/>
    <n v="61952.24"/>
    <n v="0"/>
    <n v="215.53"/>
    <n v="-71396.36"/>
    <n v="-589.92999999999995"/>
    <n v="3755527.79"/>
    <n v="7.5951000000000005E-2"/>
    <n v="0.89070000000000005"/>
    <n v="6.7648E-2"/>
    <s v="DonorCohort:202101+Seasonal(0.891)"/>
    <n v="254055.63"/>
    <n v="247528.97"/>
    <n v="6526.66"/>
    <x v="0"/>
    <n v="0"/>
    <n v="0.78500000000000003"/>
    <n v="0.24"/>
    <n v="0"/>
    <n v="0"/>
    <n v="0"/>
    <n v="247528.97"/>
    <n v="3878477.82"/>
    <n v="6.3821000000000003E-2"/>
    <n v="6526.66"/>
    <n v="6742.19"/>
    <n v="0"/>
    <n v="6742.19"/>
    <n v="3748785.6"/>
    <s v="Forecast"/>
  </r>
  <r>
    <x v="7"/>
    <x v="2"/>
    <s v="202502"/>
    <n v="15"/>
    <n v="3978697.19"/>
    <n v="-3.3876395084702998E-2"/>
    <s v="CohortAvg"/>
    <n v="-1.7620855189688981E-2"/>
    <s v="CohortAvg"/>
    <n v="0.19813440987170031"/>
    <s v="CohortAvg"/>
    <n v="7.9645373695133598E-3"/>
    <s v="CohortAvg_NonZero"/>
    <n v="0"/>
    <s v="CohortAvg"/>
    <n v="0"/>
    <s v="Zero"/>
    <n v="-3.2050781999239802E-2"/>
    <s v="CohortAvg"/>
    <n v="-2.9301236694226259E-4"/>
    <s v="CohortAvg"/>
    <n v="0"/>
    <n v="-134783.92000000001"/>
    <n v="-70108.05"/>
    <n v="65693.070000000007"/>
    <n v="0"/>
    <n v="0"/>
    <n v="-127520.36"/>
    <n v="-1165.81"/>
    <n v="3839498.29"/>
    <n v="6.8154000000000006E-2"/>
    <n v="0.89070000000000005"/>
    <n v="6.0703E-2"/>
    <s v="DonorCohort:202101+Seasonal(0.891)"/>
    <n v="233070.8"/>
    <n v="208724.87"/>
    <n v="24345.93"/>
    <x v="0"/>
    <n v="0"/>
    <n v="0.78500000000000003"/>
    <n v="0.24"/>
    <n v="0"/>
    <n v="0"/>
    <n v="0"/>
    <n v="208724.87"/>
    <n v="3978697.19"/>
    <n v="5.2461000000000001E-2"/>
    <n v="24345.93"/>
    <n v="24345.93"/>
    <n v="0"/>
    <n v="24345.93"/>
    <n v="3815152.36"/>
    <s v="Forecast"/>
  </r>
  <r>
    <x v="7"/>
    <x v="2"/>
    <s v="202503"/>
    <n v="14"/>
    <n v="5157767.55"/>
    <n v="-2.275099598902167E-2"/>
    <s v="CohortAvg"/>
    <n v="-1.6960217466124621E-2"/>
    <s v="CohortAvg"/>
    <n v="0.20108707559397729"/>
    <s v="CohortAvg"/>
    <n v="7.1848262480383477E-3"/>
    <s v="CohortAvg_NonZero"/>
    <n v="7.7868596731792683E-8"/>
    <s v="CohortAvg"/>
    <n v="0"/>
    <s v="Zero"/>
    <n v="0"/>
    <s v="CohortAvg"/>
    <n v="0"/>
    <s v="CohortAvg"/>
    <n v="0"/>
    <n v="-117344.35"/>
    <n v="-87476.86"/>
    <n v="86430.03"/>
    <n v="0"/>
    <n v="0.4"/>
    <n v="0"/>
    <n v="0"/>
    <n v="5039375.9800000004"/>
    <n v="5.6022000000000002E-2"/>
    <n v="0.89070000000000005"/>
    <n v="4.9897999999999998E-2"/>
    <s v="DonorCohort:202101+Seasonal(0.891)"/>
    <n v="251454.1"/>
    <n v="246194.59"/>
    <n v="5259.51"/>
    <x v="0"/>
    <n v="0"/>
    <n v="0.78500000000000003"/>
    <n v="0.24"/>
    <n v="0"/>
    <n v="0"/>
    <n v="0"/>
    <n v="246194.59"/>
    <n v="5157767.55"/>
    <n v="4.7732999999999998E-2"/>
    <n v="5259.51"/>
    <n v="5259.92"/>
    <n v="0"/>
    <n v="5259.92"/>
    <n v="5034116.0599999996"/>
    <s v="Forecast"/>
  </r>
  <r>
    <x v="7"/>
    <x v="2"/>
    <s v="202504"/>
    <n v="13"/>
    <n v="6507155.2000000002"/>
    <n v="-2.4527694420428431E-2"/>
    <s v="CohortAvg"/>
    <n v="-1.6866596385272058E-2"/>
    <s v="CohortAvg"/>
    <n v="0.19638365935361249"/>
    <s v="CohortAvg"/>
    <n v="3.260907177009143E-3"/>
    <s v="CohortAvg_NonZero"/>
    <n v="0"/>
    <s v="CohortAvg"/>
    <n v="0"/>
    <s v="Zero"/>
    <n v="0"/>
    <s v="CohortAvg"/>
    <n v="0"/>
    <s v="CohortAvg"/>
    <n v="0"/>
    <n v="-159605.51"/>
    <n v="-109753.56"/>
    <n v="106491.58"/>
    <n v="0"/>
    <n v="0"/>
    <n v="0"/>
    <n v="0"/>
    <n v="6344287.7000000002"/>
    <n v="5.0972999999999997E-2"/>
    <n v="0.89070000000000005"/>
    <n v="4.5400999999999997E-2"/>
    <s v="DonorCohort:202101+Seasonal(0.891)"/>
    <n v="288036.99"/>
    <n v="280335.65999999997"/>
    <n v="7701.33"/>
    <x v="0"/>
    <n v="0"/>
    <n v="0.78500000000000003"/>
    <n v="0.24"/>
    <n v="0"/>
    <n v="0"/>
    <n v="0"/>
    <n v="280335.65999999997"/>
    <n v="6507155.2000000002"/>
    <n v="4.3081000000000001E-2"/>
    <n v="7701.33"/>
    <n v="7701.33"/>
    <n v="0"/>
    <n v="7701.33"/>
    <n v="6336586.3799999999"/>
    <s v="Forecast"/>
  </r>
  <r>
    <x v="7"/>
    <x v="2"/>
    <s v="202505"/>
    <n v="12"/>
    <n v="6349879.5"/>
    <n v="-2.5911994083676091E-2"/>
    <s v="CohortAvg"/>
    <n v="-1.56549940319759E-2"/>
    <s v="CohortAvg"/>
    <n v="0.18314203485789859"/>
    <s v="CohortAvg"/>
    <n v="0"/>
    <s v="CohortAvg_NoData_ERROR"/>
    <n v="0"/>
    <s v="CohortAvg"/>
    <n v="0"/>
    <s v="Zero"/>
    <n v="0"/>
    <s v="CohortAvg"/>
    <n v="0"/>
    <s v="CohortAvg"/>
    <n v="0"/>
    <n v="-164538.04"/>
    <n v="-99407.33"/>
    <n v="96910.82"/>
    <n v="0"/>
    <n v="0"/>
    <n v="0"/>
    <n v="0"/>
    <n v="6182844.96"/>
    <n v="4.6005999999999998E-2"/>
    <n v="0.89070000000000005"/>
    <n v="4.0977E-2"/>
    <s v="DonorCohort:202101+Seasonal(0.891)"/>
    <n v="253351.92"/>
    <n v="235756.4"/>
    <n v="17595.52"/>
    <x v="0"/>
    <n v="0"/>
    <n v="0.78500000000000003"/>
    <n v="0.24"/>
    <n v="0"/>
    <n v="0"/>
    <n v="0"/>
    <n v="235756.4"/>
    <n v="6349879.5"/>
    <n v="3.7128000000000001E-2"/>
    <n v="17595.52"/>
    <n v="17595.52"/>
    <n v="0"/>
    <n v="17595.52"/>
    <n v="6165249.4400000004"/>
    <s v="Forecast"/>
  </r>
  <r>
    <x v="7"/>
    <x v="2"/>
    <s v="202506"/>
    <n v="11"/>
    <n v="6492252.6799999997"/>
    <n v="-1.8589272654979911E-2"/>
    <s v="CohortAvg"/>
    <n v="-1.5055165684438789E-2"/>
    <s v="CohortAvg"/>
    <n v="0.18301810212805389"/>
    <s v="CohortAvg"/>
    <n v="0"/>
    <s v="CohortAvg_NoData_ERROR"/>
    <n v="0"/>
    <s v="CohortAvg"/>
    <n v="0"/>
    <s v="Zero"/>
    <n v="0"/>
    <s v="CohortAvg"/>
    <n v="0"/>
    <s v="CohortAvg"/>
    <n v="0"/>
    <n v="-120686.26"/>
    <n v="-97741.94"/>
    <n v="99016.65"/>
    <n v="0"/>
    <n v="0"/>
    <n v="0"/>
    <n v="0"/>
    <n v="6372841.1299999999"/>
    <n v="3.9648000000000003E-2"/>
    <n v="0.89070000000000005"/>
    <n v="3.5313999999999998E-2"/>
    <s v="DonorCohort:202101+Seasonal(0.891)"/>
    <n v="225050.38"/>
    <n v="200030.15"/>
    <n v="25020.23"/>
    <x v="0"/>
    <n v="0"/>
    <n v="0.78500000000000003"/>
    <n v="0.24"/>
    <n v="0"/>
    <n v="0"/>
    <n v="0"/>
    <n v="200030.15"/>
    <n v="6492252.6799999997"/>
    <n v="3.0811000000000002E-2"/>
    <n v="25020.23"/>
    <n v="25020.23"/>
    <n v="0"/>
    <n v="25020.23"/>
    <n v="6347820.8899999997"/>
    <s v="Forecast"/>
  </r>
  <r>
    <x v="7"/>
    <x v="2"/>
    <s v="202507"/>
    <n v="10"/>
    <n v="8158851.1200000001"/>
    <n v="-1.4550235130752679E-2"/>
    <s v="CohortAvg"/>
    <n v="-1.5292209418121139E-2"/>
    <s v="CohortAvg"/>
    <n v="0.16849374079709881"/>
    <s v="CohortAvg"/>
    <n v="0"/>
    <s v="CohortAvg_NoData_ERROR"/>
    <n v="0"/>
    <s v="CohortAvg"/>
    <n v="0"/>
    <s v="Zero"/>
    <n v="0"/>
    <s v="CohortAvg"/>
    <n v="0"/>
    <s v="CohortAvg"/>
    <n v="0"/>
    <n v="-118713.2"/>
    <n v="-124766.86"/>
    <n v="114559.61"/>
    <n v="0"/>
    <n v="0"/>
    <n v="0"/>
    <n v="0"/>
    <n v="8029930.6699999999"/>
    <n v="3.2902000000000001E-2"/>
    <n v="0.89070000000000005"/>
    <n v="2.9305000000000001E-2"/>
    <s v="DonorCohort:202101+Seasonal(0.891)"/>
    <n v="235320.9"/>
    <n v="161797.5"/>
    <n v="73523.399999999994"/>
    <x v="0"/>
    <n v="0"/>
    <n v="0.78500000000000003"/>
    <n v="0.24"/>
    <n v="0"/>
    <n v="0"/>
    <n v="0"/>
    <n v="161797.5"/>
    <n v="8158851.1200000001"/>
    <n v="1.9831000000000001E-2"/>
    <n v="73523.399999999994"/>
    <n v="73523.399999999994"/>
    <n v="0"/>
    <n v="73523.399999999994"/>
    <n v="7956407.2699999996"/>
    <s v="Forecast"/>
  </r>
  <r>
    <x v="7"/>
    <x v="2"/>
    <s v="202508"/>
    <n v="9"/>
    <n v="7221437.6900000004"/>
    <n v="-1.693918575024516E-2"/>
    <s v="CohortAvg"/>
    <n v="-1.0362037894240049E-2"/>
    <s v="CohortAvg"/>
    <n v="0.16330966355156579"/>
    <s v="CohortAvg"/>
    <n v="0"/>
    <s v="CohortAvg_NoData_ERROR"/>
    <n v="3.0216784630903839E-5"/>
    <s v="CohortAvg"/>
    <n v="0"/>
    <s v="Zero"/>
    <n v="0"/>
    <s v="CohortAvg"/>
    <n v="0"/>
    <s v="CohortAvg"/>
    <n v="0"/>
    <n v="-122325.27"/>
    <n v="-74828.81"/>
    <n v="98277.55"/>
    <n v="0"/>
    <n v="218.21"/>
    <n v="0"/>
    <n v="0"/>
    <n v="7122342.9400000004"/>
    <n v="2.1177000000000001E-2"/>
    <n v="0.89070000000000005"/>
    <n v="1.8862E-2"/>
    <s v="DonorCohort:202101+Seasonal(0.891)"/>
    <n v="134342.78"/>
    <n v="104683.37"/>
    <n v="29659.41"/>
    <x v="0"/>
    <n v="0"/>
    <n v="0.78500000000000003"/>
    <n v="0.24"/>
    <n v="0"/>
    <n v="0"/>
    <n v="0"/>
    <n v="104683.37"/>
    <n v="7221437.6900000004"/>
    <n v="1.4496E-2"/>
    <n v="29659.41"/>
    <n v="29877.62"/>
    <n v="0"/>
    <n v="29877.62"/>
    <n v="7092465.3200000003"/>
    <s v="Forecast"/>
  </r>
  <r>
    <x v="7"/>
    <x v="2"/>
    <s v="202509"/>
    <n v="8"/>
    <n v="5571577.9500000002"/>
    <n v="-0.21319990247352749"/>
    <s v="CohortAvg"/>
    <n v="-2.615861710167259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187859.8799999999"/>
    <n v="-145744.76999999999"/>
    <n v="232149.08"/>
    <n v="0"/>
    <n v="0"/>
    <n v="0"/>
    <n v="0"/>
    <n v="4470122.38"/>
    <n v="1.5480000000000001E-2"/>
    <n v="0.89070000000000005"/>
    <n v="1.3788E-2"/>
    <s v="DonorCohort:202101+Seasonal(0.891)"/>
    <n v="61634.239999999998"/>
    <n v="68759.839999999997"/>
    <n v="-7125.6"/>
    <x v="0"/>
    <n v="0"/>
    <n v="0.78500000000000003"/>
    <n v="0.24"/>
    <n v="0"/>
    <n v="0"/>
    <n v="0"/>
    <n v="68759.839999999997"/>
    <n v="5571577.9500000002"/>
    <n v="1.2341E-2"/>
    <n v="-7125.6"/>
    <n v="-7125.6"/>
    <n v="0"/>
    <n v="-7125.6"/>
    <n v="4477247.9800000004"/>
    <s v="Forecast"/>
  </r>
  <r>
    <x v="7"/>
    <x v="3"/>
    <s v="201912"/>
    <n v="77"/>
    <n v="53961.57"/>
    <n v="-7.1561077553282176E-3"/>
    <s v="CohortAvg"/>
    <n v="-6.4928671424984807E-4"/>
    <s v="CohortAvg"/>
    <n v="0"/>
    <s v="CohortAvg"/>
    <n v="2.9858038430386941E-2"/>
    <s v="CohortAvg_NonZero"/>
    <n v="1.379038892914124E-6"/>
    <s v="CohortAvg"/>
    <n v="0"/>
    <s v="Zero"/>
    <n v="0"/>
    <s v="CohortAvg"/>
    <n v="0"/>
    <s v="CohortAvg"/>
    <n v="0"/>
    <n v="-386.15"/>
    <n v="-35.04"/>
    <n v="0"/>
    <n v="0"/>
    <n v="7.0000000000000007E-2"/>
    <n v="0"/>
    <n v="0"/>
    <n v="53540.31"/>
    <n v="0.98790800000000001"/>
    <n v="0.93030000000000002"/>
    <n v="0.91908599999999996"/>
    <s v="CohortAvg+Seasonal(0.930)"/>
    <n v="49208.13"/>
    <n v="53983.53"/>
    <n v="-4775.3999999999996"/>
    <x v="0"/>
    <n v="0"/>
    <n v="0.78500000000000003"/>
    <n v="0.24"/>
    <n v="0"/>
    <n v="0"/>
    <n v="0"/>
    <n v="53983.53"/>
    <n v="53961.57"/>
    <n v="1.000407"/>
    <n v="-4775.3999999999996"/>
    <n v="-4775.33"/>
    <n v="0"/>
    <n v="-4775.33"/>
    <n v="58315.63"/>
    <s v="Forecast"/>
  </r>
  <r>
    <x v="7"/>
    <x v="3"/>
    <s v="202001"/>
    <n v="76"/>
    <n v="59.17"/>
    <n v="-0.5"/>
    <s v="CohortAvg"/>
    <n v="-3.672577172456084E-5"/>
    <s v="CohortAvg"/>
    <n v="0"/>
    <s v="CohortAvg"/>
    <n v="1.7890081148948279E-2"/>
    <s v="CohortAvg_NonZero"/>
    <n v="0"/>
    <s v="CohortAvg"/>
    <n v="0"/>
    <s v="Zero"/>
    <n v="0"/>
    <s v="CohortAvg"/>
    <n v="0"/>
    <s v="CohortAvg"/>
    <n v="0"/>
    <n v="-29.58"/>
    <n v="0"/>
    <n v="0"/>
    <n v="0"/>
    <n v="0"/>
    <n v="0"/>
    <n v="0"/>
    <n v="29.58"/>
    <n v="0.81586199999999998"/>
    <n v="0.93030000000000002"/>
    <n v="0.75902499999999995"/>
    <s v="CohortAvg+Seasonal(0.930)"/>
    <n v="22.45"/>
    <n v="48.26"/>
    <n v="-25.81"/>
    <x v="0"/>
    <n v="0"/>
    <n v="0.78500000000000003"/>
    <n v="0.24"/>
    <n v="0"/>
    <n v="0"/>
    <n v="0"/>
    <n v="48.26"/>
    <n v="59.17"/>
    <n v="0.81569400000000003"/>
    <n v="-25.81"/>
    <n v="-25.81"/>
    <n v="0"/>
    <n v="-25.81"/>
    <n v="55.39"/>
    <s v="Forecast"/>
  </r>
  <r>
    <x v="7"/>
    <x v="3"/>
    <s v="202101"/>
    <n v="64"/>
    <n v="998367.68"/>
    <n v="-0.1058126115252036"/>
    <s v="CohortAvg"/>
    <n v="-8.3990254789280943E-3"/>
    <s v="CohortAvg"/>
    <n v="0.1101269798492058"/>
    <s v="CohortAvg"/>
    <n v="6.2854970410775009E-3"/>
    <s v="CohortAvg_NonZero"/>
    <n v="0"/>
    <s v="CohortAvg"/>
    <n v="0"/>
    <s v="Zero"/>
    <n v="-3.4949094309418352E-4"/>
    <s v="CohortAvg"/>
    <n v="-3.689667216127307E-6"/>
    <s v="CohortAvg"/>
    <n v="0"/>
    <n v="-105639.89"/>
    <n v="-8385.32"/>
    <n v="9162.27"/>
    <n v="0"/>
    <n v="0"/>
    <n v="-348.92"/>
    <n v="-3.68"/>
    <n v="893504.74"/>
    <n v="0.27586699999999997"/>
    <n v="0.93030000000000002"/>
    <n v="0.25664799999999999"/>
    <s v="CohortAvg+Seasonal(0.930)"/>
    <n v="229316.48000000001"/>
    <n v="277738.03000000003"/>
    <n v="-48421.55"/>
    <x v="0"/>
    <n v="0"/>
    <n v="0.78500000000000003"/>
    <n v="0.24"/>
    <n v="0"/>
    <n v="0"/>
    <n v="0"/>
    <n v="277738.03000000003"/>
    <n v="998367.68"/>
    <n v="0.27819199999999999"/>
    <n v="-48421.55"/>
    <n v="-48421.55"/>
    <n v="0"/>
    <n v="-48421.55"/>
    <n v="941926.29"/>
    <s v="Forecast"/>
  </r>
  <r>
    <x v="7"/>
    <x v="3"/>
    <s v="202201"/>
    <n v="44"/>
    <n v="227602.82"/>
    <n v="-8.8808077096940927E-2"/>
    <s v="CohortAvg"/>
    <n v="-1.044030663798844E-2"/>
    <s v="CohortAvg"/>
    <n v="0.1133308705096296"/>
    <s v="CohortAvg"/>
    <n v="3.1723634741072017E-2"/>
    <s v="CohortAvg_NonZero"/>
    <n v="8.531405690401085E-4"/>
    <s v="CohortAvg"/>
    <n v="0"/>
    <s v="Zero"/>
    <n v="-3.6673172838087848E-4"/>
    <s v="CohortAvg"/>
    <n v="-3.1533816425965741E-6"/>
    <s v="CohortAvg"/>
    <n v="0"/>
    <n v="-20212.97"/>
    <n v="-2376.2399999999998"/>
    <n v="2149.54"/>
    <n v="0"/>
    <n v="194.18"/>
    <n v="-83.47"/>
    <n v="-0.72"/>
    <n v="206968.95999999999"/>
    <n v="0.30497400000000002"/>
    <n v="0.93030000000000002"/>
    <n v="0.28372799999999998"/>
    <s v="CohortAvg+Seasonal(0.930)"/>
    <n v="58722.85"/>
    <n v="69949.97"/>
    <n v="-11227.12"/>
    <x v="0"/>
    <n v="0"/>
    <n v="0.78500000000000003"/>
    <n v="0.24"/>
    <n v="0"/>
    <n v="0"/>
    <n v="0"/>
    <n v="69949.97"/>
    <n v="227602.82"/>
    <n v="0.307334"/>
    <n v="-11227.12"/>
    <n v="-11032.94"/>
    <n v="0"/>
    <n v="-11032.94"/>
    <n v="218001.91"/>
    <s v="Forecast"/>
  </r>
  <r>
    <x v="7"/>
    <x v="3"/>
    <s v="202301"/>
    <n v="35"/>
    <n v="2756747.82"/>
    <n v="-7.0080732180468008E-2"/>
    <s v="CohortAvg"/>
    <n v="-1.6137021629046309E-2"/>
    <s v="CohortAvg"/>
    <n v="0.19106092259701951"/>
    <s v="CohortAvg"/>
    <n v="2.443285617565593E-2"/>
    <s v="CohortAvg_NonZero"/>
    <n v="8.8616941941992036E-6"/>
    <s v="CohortAvg"/>
    <n v="0"/>
    <s v="Zero"/>
    <n v="-2.5609941689258911E-3"/>
    <s v="CohortAvg"/>
    <n v="-1.7470749771482239E-5"/>
    <s v="CohortAvg"/>
    <n v="0"/>
    <n v="-193194.91"/>
    <n v="-44485.7"/>
    <n v="43892.23"/>
    <n v="0"/>
    <n v="24.43"/>
    <n v="-7060.02"/>
    <n v="-48.16"/>
    <n v="2562935.02"/>
    <n v="0.26120500000000002"/>
    <n v="0.93030000000000002"/>
    <n v="0.243008"/>
    <s v="CohortTrend+Seasonal(0.930)"/>
    <n v="622813.16"/>
    <n v="704634.31"/>
    <n v="-81821.149999999994"/>
    <x v="0"/>
    <n v="0"/>
    <n v="0.78500000000000003"/>
    <n v="0.24"/>
    <n v="0"/>
    <n v="0"/>
    <n v="0"/>
    <n v="704634.31"/>
    <n v="2756747.82"/>
    <n v="0.25560300000000002"/>
    <n v="-81821.149999999994"/>
    <n v="-81796.72"/>
    <n v="0"/>
    <n v="-81796.72"/>
    <n v="2644731.7400000002"/>
    <s v="Forecast"/>
  </r>
  <r>
    <x v="7"/>
    <x v="3"/>
    <s v="202404"/>
    <n v="25"/>
    <n v="701605.56"/>
    <n v="-4.9821236065646139E-2"/>
    <s v="CohortAvg"/>
    <n v="-1.7524986771481791E-2"/>
    <s v="CohortAvg"/>
    <n v="0.1919711349328872"/>
    <s v="CohortAvg"/>
    <n v="6.1165177873388633E-2"/>
    <s v="CohortAvg_NonZero"/>
    <n v="2.8312734004521131E-6"/>
    <s v="CohortAvg"/>
    <n v="0"/>
    <s v="Zero"/>
    <n v="-1.076479860494174E-2"/>
    <s v="CohortAvg"/>
    <n v="-1.202190513159237E-4"/>
    <s v="CohortAvg"/>
    <n v="0"/>
    <n v="-34954.86"/>
    <n v="-12295.63"/>
    <n v="11224"/>
    <n v="0"/>
    <n v="1.99"/>
    <n v="-7552.64"/>
    <n v="-84.35"/>
    <n v="665577.09"/>
    <n v="0.16489500000000001"/>
    <n v="0.93030000000000002"/>
    <n v="0.15340699999999999"/>
    <s v="CohortTrend+Seasonal(0.930)"/>
    <n v="102104.49"/>
    <n v="113489.58"/>
    <n v="-11385.09"/>
    <x v="0"/>
    <n v="0"/>
    <n v="0.78500000000000003"/>
    <n v="0.24"/>
    <n v="0"/>
    <n v="0"/>
    <n v="0"/>
    <n v="113489.58"/>
    <n v="701605.56"/>
    <n v="0.16175700000000001"/>
    <n v="-11385.09"/>
    <n v="-11383.11"/>
    <n v="0"/>
    <n v="-11383.11"/>
    <n v="676960.19"/>
    <s v="Forecast"/>
  </r>
  <r>
    <x v="7"/>
    <x v="3"/>
    <s v="202405"/>
    <n v="24"/>
    <n v="629086.1"/>
    <n v="-5.1989442685189777E-2"/>
    <s v="CohortAvg"/>
    <n v="-1.7936572139072501E-2"/>
    <s v="CohortAvg"/>
    <n v="0.2004599818322316"/>
    <s v="CohortAvg"/>
    <n v="4.4624679998101789E-2"/>
    <s v="CohortAvg_NonZero"/>
    <n v="3.2011732425047758E-6"/>
    <s v="CohortAvg"/>
    <n v="0"/>
    <s v="Zero"/>
    <n v="-1.217685941394777E-2"/>
    <s v="CohortAvg"/>
    <n v="-1.091655855778271E-4"/>
    <s v="CohortAvg"/>
    <n v="0"/>
    <n v="-32705.84"/>
    <n v="-11283.65"/>
    <n v="10508.88"/>
    <n v="0"/>
    <n v="2.0099999999999998"/>
    <n v="-7660.29"/>
    <n v="-68.67"/>
    <n v="595603.49"/>
    <n v="0.13722999999999999"/>
    <n v="0.93030000000000002"/>
    <n v="0.12767000000000001"/>
    <s v="CohortTrend+Seasonal(0.930)"/>
    <n v="76040.600000000006"/>
    <n v="85116.3"/>
    <n v="-9075.7000000000007"/>
    <x v="0"/>
    <n v="0"/>
    <n v="0.78500000000000003"/>
    <n v="0.24"/>
    <n v="0"/>
    <n v="0"/>
    <n v="0"/>
    <n v="85116.3"/>
    <n v="629086.1"/>
    <n v="0.13530200000000001"/>
    <n v="-9075.7000000000007"/>
    <n v="-9073.68"/>
    <n v="0"/>
    <n v="-9073.68"/>
    <n v="604677.17000000004"/>
    <s v="Forecast"/>
  </r>
  <r>
    <x v="7"/>
    <x v="3"/>
    <s v="202406"/>
    <n v="23"/>
    <n v="777780.93"/>
    <n v="-4.8271254270168713E-2"/>
    <s v="CohortAvg"/>
    <n v="-1.8125189561896189E-2"/>
    <s v="CohortAvg"/>
    <n v="0.2032457055281906"/>
    <s v="CohortAvg"/>
    <n v="3.8408922254973957E-2"/>
    <s v="CohortAvg_NonZero"/>
    <n v="2.3780542137909089E-6"/>
    <s v="CohortAvg"/>
    <n v="0"/>
    <s v="Zero"/>
    <n v="-1.426400605370109E-2"/>
    <s v="CohortAvg"/>
    <n v="-1.1322661272513769E-4"/>
    <s v="CohortAvg"/>
    <n v="0"/>
    <n v="-37544.46"/>
    <n v="-14097.43"/>
    <n v="13173.39"/>
    <n v="0"/>
    <n v="1.85"/>
    <n v="-11094.27"/>
    <n v="-88.07"/>
    <n v="739310.58"/>
    <n v="0.10861"/>
    <n v="0.93030000000000002"/>
    <n v="0.10104299999999999"/>
    <s v="CohortTrend+Seasonal(0.930)"/>
    <n v="74702.34"/>
    <n v="83381.509999999995"/>
    <n v="-8679.17"/>
    <x v="0"/>
    <n v="0"/>
    <n v="0.78500000000000003"/>
    <n v="0.24"/>
    <n v="0"/>
    <n v="0"/>
    <n v="0"/>
    <n v="83381.509999999995"/>
    <n v="777780.93"/>
    <n v="0.10720399999999999"/>
    <n v="-8679.17"/>
    <n v="-8677.32"/>
    <n v="0"/>
    <n v="-8677.32"/>
    <n v="747987.9"/>
    <s v="Forecast"/>
  </r>
  <r>
    <x v="7"/>
    <x v="3"/>
    <s v="202407"/>
    <n v="22"/>
    <n v="709919.95"/>
    <n v="-6.6535993658489723E-2"/>
    <s v="CohortAvg"/>
    <n v="-1.8892899264007879E-2"/>
    <s v="CohortAvg"/>
    <n v="0.2074458883268569"/>
    <s v="CohortAvg"/>
    <n v="2.656585638544301E-2"/>
    <s v="CohortAvg_NonZero"/>
    <n v="7.2882898299648946E-6"/>
    <s v="CohortAvg"/>
    <n v="0"/>
    <s v="Zero"/>
    <n v="-1.7180716474966641E-2"/>
    <s v="CohortAvg"/>
    <n v="-2.02618241823395E-4"/>
    <s v="CohortAvg"/>
    <n v="0"/>
    <n v="-47235.23"/>
    <n v="-13412.45"/>
    <n v="12272.5"/>
    <n v="0"/>
    <n v="5.17"/>
    <n v="-12196.93"/>
    <n v="-143.84"/>
    <n v="661539.6"/>
    <n v="9.0470999999999996E-2"/>
    <n v="0.93030000000000002"/>
    <n v="8.4168999999999994E-2"/>
    <s v="CohortTrend+Seasonal(0.930)"/>
    <n v="55680.800000000003"/>
    <n v="63631.38"/>
    <n v="-7950.58"/>
    <x v="0"/>
    <n v="0"/>
    <n v="0.78500000000000003"/>
    <n v="0.24"/>
    <n v="0"/>
    <n v="0"/>
    <n v="0"/>
    <n v="63631.38"/>
    <n v="709919.95"/>
    <n v="8.9632000000000003E-2"/>
    <n v="-7950.58"/>
    <n v="-7945.41"/>
    <n v="0"/>
    <n v="-7945.41"/>
    <n v="669485"/>
    <s v="Forecast"/>
  </r>
  <r>
    <x v="7"/>
    <x v="3"/>
    <s v="202408"/>
    <n v="21"/>
    <n v="868825.76"/>
    <n v="-4.9448821407576012E-2"/>
    <s v="CohortAvg"/>
    <n v="-1.9236593641704242E-2"/>
    <s v="CohortAvg"/>
    <n v="0.21430885902583191"/>
    <s v="CohortAvg"/>
    <n v="3.1261863154418063E-2"/>
    <s v="CohortAvg_NonZero"/>
    <n v="4.4860819331943904E-6"/>
    <s v="CohortAvg"/>
    <n v="0"/>
    <s v="Zero"/>
    <n v="-1.239591693274295E-2"/>
    <s v="CohortAvg"/>
    <n v="-1.111783440990892E-4"/>
    <s v="CohortAvg"/>
    <n v="0"/>
    <n v="-42962.41"/>
    <n v="-16713.25"/>
    <n v="15516.42"/>
    <n v="0"/>
    <n v="3.9"/>
    <n v="-10769.89"/>
    <n v="-96.59"/>
    <n v="824662.62"/>
    <n v="7.9684000000000005E-2"/>
    <n v="0.93030000000000002"/>
    <n v="7.4133000000000004E-2"/>
    <s v="CohortTrend+Seasonal(0.930)"/>
    <n v="61134.92"/>
    <n v="68890.77"/>
    <n v="-7755.85"/>
    <x v="0"/>
    <n v="0"/>
    <n v="0.78500000000000003"/>
    <n v="0.24"/>
    <n v="0"/>
    <n v="0"/>
    <n v="0"/>
    <n v="68890.77"/>
    <n v="868825.76"/>
    <n v="7.9292000000000001E-2"/>
    <n v="-7755.85"/>
    <n v="-7751.96"/>
    <n v="0"/>
    <n v="-7751.96"/>
    <n v="832414.58"/>
    <s v="Forecast"/>
  </r>
  <r>
    <x v="7"/>
    <x v="3"/>
    <s v="202409"/>
    <n v="20"/>
    <n v="698121.12"/>
    <n v="-7.1760646931227773E-2"/>
    <s v="CohortAvg"/>
    <n v="-2.0064170063724539E-2"/>
    <s v="CohortAvg"/>
    <n v="0.21101166664716881"/>
    <s v="CohortAvg"/>
    <n v="3.4389653662911253E-2"/>
    <s v="CohortAvg_NonZero"/>
    <n v="2.9130836205112318E-6"/>
    <s v="CohortAvg"/>
    <n v="0"/>
    <s v="Zero"/>
    <n v="-1.5371010538646739E-2"/>
    <s v="CohortAvg"/>
    <n v="-1.2702232871687251E-4"/>
    <s v="CohortAvg"/>
    <n v="0"/>
    <n v="-50097.62"/>
    <n v="-14007.22"/>
    <n v="12275.98"/>
    <n v="0"/>
    <n v="2.0299999999999998"/>
    <n v="-10730.83"/>
    <n v="-88.68"/>
    <n v="646290.22"/>
    <n v="6.8351999999999996E-2"/>
    <n v="0.93030000000000002"/>
    <n v="6.3589999999999994E-2"/>
    <s v="CohortTrend+Seasonal(0.930)"/>
    <n v="41097.699999999997"/>
    <n v="50741.52"/>
    <n v="-9643.82"/>
    <x v="0"/>
    <n v="0"/>
    <n v="0.78500000000000003"/>
    <n v="0.24"/>
    <n v="0"/>
    <n v="0"/>
    <n v="0"/>
    <n v="50741.52"/>
    <n v="698121.12"/>
    <n v="7.2682999999999998E-2"/>
    <n v="-9643.82"/>
    <n v="-9641.7900000000009"/>
    <n v="0"/>
    <n v="-9641.7900000000009"/>
    <n v="655932.01"/>
    <s v="Forecast"/>
  </r>
  <r>
    <x v="7"/>
    <x v="3"/>
    <s v="202410"/>
    <n v="19"/>
    <n v="742828.83"/>
    <n v="-4.8597581680055152E-2"/>
    <s v="CohortAvg"/>
    <n v="-1.989747348906656E-2"/>
    <s v="CohortAvg"/>
    <n v="0.21382370995135369"/>
    <s v="CohortAvg"/>
    <n v="3.6085429665301282E-2"/>
    <s v="CohortAvg_NonZero"/>
    <n v="2.2468708473496161E-6"/>
    <s v="CohortAvg"/>
    <n v="0"/>
    <s v="Zero"/>
    <n v="-2.1386869295644859E-2"/>
    <s v="CohortAvg"/>
    <n v="-1.8463339854254179E-4"/>
    <s v="CohortAvg"/>
    <n v="0"/>
    <n v="-36099.68"/>
    <n v="-14780.42"/>
    <n v="13236.2"/>
    <n v="0"/>
    <n v="1.67"/>
    <n v="-15886.78"/>
    <n v="-137.15"/>
    <n v="705183.26"/>
    <n v="7.1835999999999997E-2"/>
    <n v="0.93030000000000002"/>
    <n v="6.6832000000000003E-2"/>
    <s v="DonorCohort:202101+Seasonal(0.930)"/>
    <n v="47128.480000000003"/>
    <n v="46353.69"/>
    <n v="774.79"/>
    <x v="0"/>
    <n v="0"/>
    <n v="0.78500000000000003"/>
    <n v="0.24"/>
    <n v="0"/>
    <n v="0"/>
    <n v="0"/>
    <n v="46353.69"/>
    <n v="742828.83"/>
    <n v="6.2401999999999999E-2"/>
    <n v="774.79"/>
    <n v="776.46"/>
    <n v="0"/>
    <n v="776.46"/>
    <n v="704406.8"/>
    <s v="Forecast"/>
  </r>
  <r>
    <x v="7"/>
    <x v="3"/>
    <s v="202411"/>
    <n v="18"/>
    <n v="836173.81"/>
    <n v="-5.2056426492827358E-2"/>
    <s v="CohortAvg"/>
    <n v="-2.005375844958053E-2"/>
    <s v="CohortAvg"/>
    <n v="0.2235487547723887"/>
    <s v="CohortAvg"/>
    <n v="2.8114095057829368E-2"/>
    <s v="CohortAvg_NonZero"/>
    <n v="9.6897255596819003E-7"/>
    <s v="CohortAvg"/>
    <n v="0"/>
    <s v="Zero"/>
    <n v="-2.629006441652636E-2"/>
    <s v="CohortAvg"/>
    <n v="-2.4992823592436469E-4"/>
    <s v="CohortAvg"/>
    <n v="0"/>
    <n v="-43528.22"/>
    <n v="-16768.43"/>
    <n v="15577.13"/>
    <n v="0"/>
    <n v="0.81"/>
    <n v="-21983.06"/>
    <n v="-208.98"/>
    <n v="791453.49"/>
    <n v="6.1674E-2"/>
    <n v="0.93030000000000002"/>
    <n v="5.7377999999999998E-2"/>
    <s v="DonorCohort:202101+Seasonal(0.930)"/>
    <n v="45411.9"/>
    <n v="49696.54"/>
    <n v="-4284.6400000000003"/>
    <x v="0"/>
    <n v="0"/>
    <n v="0.78500000000000003"/>
    <n v="0.24"/>
    <n v="0"/>
    <n v="0"/>
    <n v="0"/>
    <n v="49696.54"/>
    <n v="836173.81"/>
    <n v="5.9433E-2"/>
    <n v="-4284.6400000000003"/>
    <n v="-4283.83"/>
    <n v="0"/>
    <n v="-4283.83"/>
    <n v="795737.32"/>
    <s v="Forecast"/>
  </r>
  <r>
    <x v="7"/>
    <x v="3"/>
    <s v="202412"/>
    <n v="17"/>
    <n v="889726.24"/>
    <n v="-5.0543133578719208E-2"/>
    <s v="CohortAvg"/>
    <n v="-2.056341719801168E-2"/>
    <s v="CohortAvg"/>
    <n v="0.2232638259972427"/>
    <s v="CohortAvg"/>
    <n v="3.1573503903071398E-2"/>
    <s v="CohortAvg_NonZero"/>
    <n v="2.8275010446688659E-6"/>
    <s v="CohortAvg"/>
    <n v="0"/>
    <s v="Zero"/>
    <n v="-4.4589679224133323E-2"/>
    <s v="CohortAvg"/>
    <n v="-4.6907779442558118E-4"/>
    <s v="CohortAvg"/>
    <n v="0"/>
    <n v="-44969.55"/>
    <n v="-18295.810000000001"/>
    <n v="16553.64"/>
    <n v="0"/>
    <n v="2.52"/>
    <n v="-39672.61"/>
    <n v="-417.35"/>
    <n v="843012"/>
    <n v="5.8741000000000002E-2"/>
    <n v="0.93030000000000002"/>
    <n v="5.4649000000000003E-2"/>
    <s v="DonorCohort:202101+Seasonal(0.930)"/>
    <n v="46069.35"/>
    <n v="49410.53"/>
    <n v="-3341.18"/>
    <x v="0"/>
    <n v="0"/>
    <n v="0.78500000000000003"/>
    <n v="0.24"/>
    <n v="0"/>
    <n v="0"/>
    <n v="0"/>
    <n v="49410.53"/>
    <n v="889726.24"/>
    <n v="5.5535000000000001E-2"/>
    <n v="-3341.18"/>
    <n v="-3338.67"/>
    <n v="0"/>
    <n v="-3338.67"/>
    <n v="846350.66"/>
    <s v="Forecast"/>
  </r>
  <r>
    <x v="7"/>
    <x v="3"/>
    <s v="202501"/>
    <n v="16"/>
    <n v="1468728.09"/>
    <n v="-5.2079780811704453E-2"/>
    <s v="CohortAvg"/>
    <n v="-2.0766377023964621E-2"/>
    <s v="CohortAvg"/>
    <n v="0.2259473248875741"/>
    <s v="CohortAvg"/>
    <n v="1.3634090713774499E-2"/>
    <s v="CohortAvg_NonZero"/>
    <n v="1.6155377537326119E-5"/>
    <s v="CohortAvg"/>
    <n v="0"/>
    <s v="Zero"/>
    <n v="-4.3488316610755091E-2"/>
    <s v="CohortAvg"/>
    <n v="-4.6883825975404798E-4"/>
    <s v="CohortAvg"/>
    <n v="0"/>
    <n v="-76491.039999999994"/>
    <n v="-30500.16"/>
    <n v="27654.6"/>
    <n v="0"/>
    <n v="23.73"/>
    <n v="-63872.51"/>
    <n v="-688.6"/>
    <n v="1389367.76"/>
    <n v="5.4886999999999998E-2"/>
    <n v="0.93030000000000002"/>
    <n v="5.1063999999999998E-2"/>
    <s v="DonorCohort:202101+Seasonal(0.930)"/>
    <n v="70946.19"/>
    <n v="75909.33"/>
    <n v="-4963.1400000000003"/>
    <x v="0"/>
    <n v="0"/>
    <n v="0.78500000000000003"/>
    <n v="0.24"/>
    <n v="0"/>
    <n v="0"/>
    <n v="0"/>
    <n v="75909.33"/>
    <n v="1468728.09"/>
    <n v="5.1684000000000001E-2"/>
    <n v="-4963.1400000000003"/>
    <n v="-4939.41"/>
    <n v="0"/>
    <n v="-4939.41"/>
    <n v="1394307.17"/>
    <s v="Forecast"/>
  </r>
  <r>
    <x v="7"/>
    <x v="3"/>
    <s v="202502"/>
    <n v="15"/>
    <n v="1587676.88"/>
    <n v="-5.2996919818100258E-2"/>
    <s v="CohortAvg"/>
    <n v="-1.9313427042316651E-2"/>
    <s v="CohortAvg"/>
    <n v="0.2288657816371949"/>
    <s v="CohortAvg"/>
    <n v="1.8494390331389669E-2"/>
    <s v="CohortAvg_NonZero"/>
    <n v="3.5993091819566799E-4"/>
    <s v="CohortAvg"/>
    <n v="0"/>
    <s v="Zero"/>
    <n v="-8.4932539048338182E-2"/>
    <s v="CohortAvg"/>
    <n v="-1.104393559506117E-3"/>
    <s v="CohortAvg"/>
    <n v="0"/>
    <n v="-84141.98"/>
    <n v="-30663.48"/>
    <n v="30280.41"/>
    <n v="0"/>
    <n v="571.45000000000005"/>
    <n v="-134845.43"/>
    <n v="-1753.42"/>
    <n v="1502580.37"/>
    <n v="5.1081000000000001E-2"/>
    <n v="0.93030000000000002"/>
    <n v="4.7523000000000003E-2"/>
    <s v="DonorCohort:202101+Seasonal(0.930)"/>
    <n v="71406.899999999994"/>
    <n v="69168.850000000006"/>
    <n v="2238.0500000000002"/>
    <x v="0"/>
    <n v="0"/>
    <n v="0.78500000000000003"/>
    <n v="0.24"/>
    <n v="0"/>
    <n v="0"/>
    <n v="0"/>
    <n v="69168.850000000006"/>
    <n v="1587676.88"/>
    <n v="4.3566000000000001E-2"/>
    <n v="2238.0500000000002"/>
    <n v="2809.51"/>
    <n v="0"/>
    <n v="2809.51"/>
    <n v="1499770.86"/>
    <s v="Forecast"/>
  </r>
  <r>
    <x v="7"/>
    <x v="3"/>
    <s v="202503"/>
    <n v="14"/>
    <n v="1862014.31"/>
    <n v="-4.5828544659309578E-2"/>
    <s v="CohortAvg"/>
    <n v="-2.1925541461315669E-2"/>
    <s v="CohortAvg"/>
    <n v="0.25464821591117193"/>
    <s v="CohortAvg"/>
    <n v="4.6176837495393924E-3"/>
    <s v="CohortAvg_NonZero"/>
    <n v="3.4699528688469333E-7"/>
    <s v="CohortAvg"/>
    <n v="0"/>
    <s v="Zero"/>
    <n v="0"/>
    <s v="CohortAvg"/>
    <n v="0"/>
    <s v="CohortAvg"/>
    <n v="0"/>
    <n v="-85333.41"/>
    <n v="-40825.67"/>
    <n v="39513.22"/>
    <n v="0"/>
    <n v="0.65"/>
    <n v="0"/>
    <n v="0"/>
    <n v="1775367.8"/>
    <n v="4.3057999999999999E-2"/>
    <n v="0.93030000000000002"/>
    <n v="4.0058999999999997E-2"/>
    <s v="DonorCohort:202101+Seasonal(0.930)"/>
    <n v="71118.98"/>
    <n v="71641.64"/>
    <n v="-522.66"/>
    <x v="0"/>
    <n v="0"/>
    <n v="0.78500000000000003"/>
    <n v="0.24"/>
    <n v="0"/>
    <n v="0"/>
    <n v="0"/>
    <n v="71641.64"/>
    <n v="1862014.31"/>
    <n v="3.8475000000000002E-2"/>
    <n v="-522.66"/>
    <n v="-522.01"/>
    <n v="0"/>
    <n v="-522.01"/>
    <n v="1775889.81"/>
    <s v="Forecast"/>
  </r>
  <r>
    <x v="7"/>
    <x v="3"/>
    <s v="202504"/>
    <n v="13"/>
    <n v="1589896.16"/>
    <n v="-5.5437720322723483E-2"/>
    <s v="CohortAvg"/>
    <n v="-2.196297796313891E-2"/>
    <s v="CohortAvg"/>
    <n v="0.25095335912297262"/>
    <s v="CohortAvg"/>
    <n v="2.1791689037598898E-3"/>
    <s v="CohortAvg_NonZero"/>
    <n v="2.7196129261490302E-7"/>
    <s v="CohortAvg"/>
    <n v="0"/>
    <s v="Zero"/>
    <n v="0"/>
    <s v="CohortAvg"/>
    <n v="0"/>
    <s v="CohortAvg"/>
    <n v="0"/>
    <n v="-88140.22"/>
    <n v="-34918.85"/>
    <n v="33249.15"/>
    <n v="0"/>
    <n v="0.43"/>
    <n v="0"/>
    <n v="0"/>
    <n v="1500085.8"/>
    <n v="3.8026999999999998E-2"/>
    <n v="0.93030000000000002"/>
    <n v="3.5378E-2"/>
    <s v="DonorCohort:202101+Seasonal(0.930)"/>
    <n v="53069.78"/>
    <n v="54429.11"/>
    <n v="-1359.33"/>
    <x v="0"/>
    <n v="0"/>
    <n v="0.78500000000000003"/>
    <n v="0.24"/>
    <n v="0"/>
    <n v="0"/>
    <n v="0"/>
    <n v="54429.11"/>
    <n v="1589896.16"/>
    <n v="3.4234000000000001E-2"/>
    <n v="-1359.33"/>
    <n v="-1358.9"/>
    <n v="0"/>
    <n v="-1358.9"/>
    <n v="1501444.7"/>
    <s v="Forecast"/>
  </r>
  <r>
    <x v="7"/>
    <x v="3"/>
    <s v="202505"/>
    <n v="12"/>
    <n v="1901945.08"/>
    <n v="-4.6630198275913859E-2"/>
    <s v="CohortAvg"/>
    <n v="-2.0311911996965661E-2"/>
    <s v="CohortAvg"/>
    <n v="0.22986328890718261"/>
    <s v="CohortAvg"/>
    <n v="0"/>
    <s v="CohortAvg_NoData_ERROR"/>
    <n v="0"/>
    <s v="CohortAvg"/>
    <n v="0"/>
    <s v="Zero"/>
    <n v="0"/>
    <s v="CohortAvg"/>
    <n v="0"/>
    <s v="CohortAvg"/>
    <n v="0"/>
    <n v="-88688.08"/>
    <n v="-38632.14"/>
    <n v="36432.28"/>
    <n v="0"/>
    <n v="0"/>
    <n v="0"/>
    <n v="0"/>
    <n v="1811057.14"/>
    <n v="3.3834999999999997E-2"/>
    <n v="0.93030000000000002"/>
    <n v="3.1477999999999999E-2"/>
    <s v="DonorCohort:202101+Seasonal(0.930)"/>
    <n v="57008.99"/>
    <n v="54726.61"/>
    <n v="2282.38"/>
    <x v="0"/>
    <n v="0"/>
    <n v="0.78500000000000003"/>
    <n v="0.24"/>
    <n v="0"/>
    <n v="0"/>
    <n v="0"/>
    <n v="54726.61"/>
    <n v="1901945.08"/>
    <n v="2.8774000000000001E-2"/>
    <n v="2282.38"/>
    <n v="2282.38"/>
    <n v="0"/>
    <n v="2282.38"/>
    <n v="1808774.76"/>
    <s v="Forecast"/>
  </r>
  <r>
    <x v="7"/>
    <x v="3"/>
    <s v="202506"/>
    <n v="11"/>
    <n v="2166118.85"/>
    <n v="-4.969046669678686E-2"/>
    <s v="CohortAvg"/>
    <n v="-2.0935053651477679E-2"/>
    <s v="CohortAvg"/>
    <n v="0.23697308778186851"/>
    <s v="CohortAvg"/>
    <n v="0"/>
    <s v="CohortAvg_NoData_ERROR"/>
    <n v="0"/>
    <s v="CohortAvg"/>
    <n v="0"/>
    <s v="Zero"/>
    <n v="0"/>
    <s v="CohortAvg"/>
    <n v="0"/>
    <s v="CohortAvg"/>
    <n v="0"/>
    <n v="-107635.46"/>
    <n v="-45347.81"/>
    <n v="42775.99"/>
    <n v="0"/>
    <n v="0"/>
    <n v="0"/>
    <n v="0"/>
    <n v="2055911.56"/>
    <n v="2.8438999999999999E-2"/>
    <n v="0.93030000000000002"/>
    <n v="2.6457999999999999E-2"/>
    <s v="DonorCohort:202101+Seasonal(0.930)"/>
    <n v="54394.35"/>
    <n v="46832.72"/>
    <n v="7561.62"/>
    <x v="0"/>
    <n v="0"/>
    <n v="0.78500000000000003"/>
    <n v="0.24"/>
    <n v="0"/>
    <n v="0"/>
    <n v="0"/>
    <n v="46832.72"/>
    <n v="2166118.85"/>
    <n v="2.1621000000000001E-2"/>
    <n v="7561.62"/>
    <n v="7561.62"/>
    <n v="0"/>
    <n v="7561.62"/>
    <n v="2048349.94"/>
    <s v="Forecast"/>
  </r>
  <r>
    <x v="7"/>
    <x v="3"/>
    <s v="202507"/>
    <n v="10"/>
    <n v="2694543.75"/>
    <n v="-3.5404447489177968E-2"/>
    <s v="CohortAvg"/>
    <n v="-2.1260709294763092E-2"/>
    <s v="CohortAvg"/>
    <n v="0.23004595465881431"/>
    <s v="CohortAvg"/>
    <n v="0"/>
    <s v="CohortAvg_NoData_ERROR"/>
    <n v="0"/>
    <s v="CohortAvg"/>
    <n v="0"/>
    <s v="Zero"/>
    <n v="0"/>
    <s v="CohortAvg"/>
    <n v="0"/>
    <s v="CohortAvg"/>
    <n v="0"/>
    <n v="-95398.83"/>
    <n v="-57287.91"/>
    <n v="51655.74"/>
    <n v="0"/>
    <n v="0"/>
    <n v="0"/>
    <n v="0"/>
    <n v="2593512.75"/>
    <n v="2.1368999999999999E-2"/>
    <n v="0.93030000000000002"/>
    <n v="1.9879999999999998E-2"/>
    <s v="DonorCohort:202101+Seasonal(0.930)"/>
    <n v="51558.97"/>
    <n v="50727.57"/>
    <n v="831.41"/>
    <x v="0"/>
    <n v="0"/>
    <n v="0.78500000000000003"/>
    <n v="0.24"/>
    <n v="0"/>
    <n v="0"/>
    <n v="0"/>
    <n v="50727.57"/>
    <n v="2694543.75"/>
    <n v="1.8825999999999999E-2"/>
    <n v="831.41"/>
    <n v="831.41"/>
    <n v="0"/>
    <n v="831.41"/>
    <n v="2592681.34"/>
    <s v="Forecast"/>
  </r>
  <r>
    <x v="7"/>
    <x v="3"/>
    <s v="202508"/>
    <n v="9"/>
    <n v="2950039.77"/>
    <n v="-3.401478328980713E-2"/>
    <s v="CohortAvg"/>
    <n v="-1.55992988995003E-2"/>
    <s v="CohortAvg"/>
    <n v="0.21272815219708169"/>
    <s v="CohortAvg"/>
    <n v="0"/>
    <s v="CohortAvg_NoData_ERROR"/>
    <n v="0"/>
    <s v="CohortAvg"/>
    <n v="0"/>
    <s v="Zero"/>
    <n v="0"/>
    <s v="CohortAvg"/>
    <n v="0"/>
    <s v="CohortAvg"/>
    <n v="0"/>
    <n v="-100344.96000000001"/>
    <n v="-46018.55"/>
    <n v="52296.38"/>
    <n v="0"/>
    <n v="0"/>
    <n v="0"/>
    <n v="0"/>
    <n v="2855972.63"/>
    <n v="1.8606999999999999E-2"/>
    <n v="0.93030000000000002"/>
    <n v="1.7309999999999999E-2"/>
    <s v="DonorCohort:202101+Seasonal(0.930)"/>
    <n v="49438.080000000002"/>
    <n v="48489.83"/>
    <n v="948.25"/>
    <x v="0"/>
    <n v="0"/>
    <n v="0.78500000000000003"/>
    <n v="0.24"/>
    <n v="0"/>
    <n v="0"/>
    <n v="0"/>
    <n v="48489.83"/>
    <n v="2950039.77"/>
    <n v="1.6437E-2"/>
    <n v="948.25"/>
    <n v="948.25"/>
    <n v="0"/>
    <n v="948.25"/>
    <n v="2855024.38"/>
    <s v="Forecast"/>
  </r>
  <r>
    <x v="7"/>
    <x v="3"/>
    <s v="202509"/>
    <n v="8"/>
    <n v="2134613.4900000002"/>
    <n v="-0.20586768865366589"/>
    <s v="CohortAvg"/>
    <n v="-3.011842872874689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39447.95"/>
    <n v="-64291.199999999997"/>
    <n v="88942.23"/>
    <n v="0"/>
    <n v="0"/>
    <n v="0"/>
    <n v="0"/>
    <n v="1719816.57"/>
    <n v="1.6244999999999999E-2"/>
    <n v="0.93030000000000002"/>
    <n v="1.5114000000000001E-2"/>
    <s v="DonorCohort:202101+Seasonal(0.930)"/>
    <n v="25992.83"/>
    <n v="26822.720000000001"/>
    <n v="-829.89"/>
    <x v="0"/>
    <n v="0"/>
    <n v="0.78500000000000003"/>
    <n v="0.24"/>
    <n v="0"/>
    <n v="0"/>
    <n v="0"/>
    <n v="26822.720000000001"/>
    <n v="2134613.4900000002"/>
    <n v="1.2566000000000001E-2"/>
    <n v="-829.89"/>
    <n v="-829.89"/>
    <n v="0"/>
    <n v="-829.89"/>
    <n v="1720646.46"/>
    <s v="Forecast"/>
  </r>
  <r>
    <x v="7"/>
    <x v="4"/>
    <s v="202101"/>
    <n v="62"/>
    <n v="1199219.44"/>
    <n v="-0.1352148081692022"/>
    <s v="CohortAvg"/>
    <n v="-1.11177464792914E-2"/>
    <s v="CohortAvg"/>
    <n v="0.1264188703416636"/>
    <s v="CohortAvg"/>
    <n v="4.3673691472746141E-2"/>
    <s v="CohortAvg_NonZero"/>
    <n v="0"/>
    <s v="CohortAvg"/>
    <n v="0"/>
    <s v="Zero"/>
    <n v="0"/>
    <s v="CohortAvg"/>
    <n v="0"/>
    <s v="CohortAvg"/>
    <n v="0"/>
    <n v="-162152.23000000001"/>
    <n v="-13332.62"/>
    <n v="12633.66"/>
    <n v="0"/>
    <n v="0"/>
    <n v="0"/>
    <n v="0"/>
    <n v="1036368.26"/>
    <n v="0.16989499999999999"/>
    <n v="0.91620000000000001"/>
    <n v="0.15565799999999999"/>
    <s v="CohortAvg+Seasonal(0.916)"/>
    <n v="161319.35"/>
    <n v="188852.33"/>
    <n v="-27532.98"/>
    <x v="0"/>
    <n v="0"/>
    <n v="0.78500000000000003"/>
    <n v="0.24"/>
    <n v="0"/>
    <n v="0"/>
    <n v="0"/>
    <n v="188852.33"/>
    <n v="1199219.44"/>
    <n v="0.15747900000000001"/>
    <n v="-27532.98"/>
    <n v="-27532.98"/>
    <n v="0"/>
    <n v="-27532.98"/>
    <n v="1063901.24"/>
    <s v="Forecast"/>
  </r>
  <r>
    <x v="7"/>
    <x v="4"/>
    <s v="202201"/>
    <n v="44"/>
    <n v="55792.95"/>
    <n v="-9.6382327117780109E-2"/>
    <s v="CohortAvg"/>
    <n v="-9.5504350056315624E-3"/>
    <s v="CohortAvg"/>
    <n v="0.10019882585370229"/>
    <s v="CohortAvg"/>
    <n v="3.6645590233256739E-2"/>
    <s v="CohortAvg_NonZero"/>
    <n v="8.0418077720948305E-9"/>
    <s v="CohortAvg"/>
    <n v="0"/>
    <s v="Zero"/>
    <n v="0"/>
    <s v="CohortAvg"/>
    <n v="0"/>
    <s v="CohortAvg"/>
    <n v="0"/>
    <n v="-5377.45"/>
    <n v="-532.85"/>
    <n v="465.87"/>
    <n v="0"/>
    <n v="0"/>
    <n v="0"/>
    <n v="0"/>
    <n v="50348.52"/>
    <n v="3.9778000000000001E-2"/>
    <n v="0.91620000000000001"/>
    <n v="3.6444999999999998E-2"/>
    <s v="CohortAvg+Seasonal(0.916)"/>
    <n v="1834.96"/>
    <n v="2083.23"/>
    <n v="-248.26"/>
    <x v="0"/>
    <n v="0"/>
    <n v="0.78500000000000003"/>
    <n v="0.24"/>
    <n v="0"/>
    <n v="0"/>
    <n v="0"/>
    <n v="2083.23"/>
    <n v="55792.95"/>
    <n v="3.7338999999999997E-2"/>
    <n v="-248.26"/>
    <n v="-248.26"/>
    <n v="0"/>
    <n v="-248.26"/>
    <n v="50596.78"/>
    <s v="Forecast"/>
  </r>
  <r>
    <x v="7"/>
    <x v="4"/>
    <s v="202405"/>
    <n v="24"/>
    <n v="4288.67"/>
    <n v="-1.6680737458245179E-2"/>
    <s v="CohortAvg"/>
    <n v="-1.0452247718326551E-2"/>
    <s v="CohortAvg"/>
    <n v="0.1215795945917635"/>
    <s v="CohortAvg"/>
    <n v="0"/>
    <s v="CohortAvg_NoData_ERROR"/>
    <n v="0"/>
    <s v="CohortAvg"/>
    <n v="0"/>
    <s v="Zero"/>
    <n v="0"/>
    <s v="CohortAvg"/>
    <n v="0"/>
    <s v="CohortAvg"/>
    <n v="0"/>
    <n v="-71.540000000000006"/>
    <n v="-44.83"/>
    <n v="43.45"/>
    <n v="0"/>
    <n v="0"/>
    <n v="0"/>
    <n v="0"/>
    <n v="4215.76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4288.67"/>
    <n v="0"/>
    <n v="0"/>
    <n v="0"/>
    <n v="0"/>
    <n v="0"/>
    <n v="4215.76"/>
    <s v="Forecast"/>
  </r>
  <r>
    <x v="7"/>
    <x v="4"/>
    <s v="202407"/>
    <n v="22"/>
    <n v="2125.98"/>
    <n v="-5.3088908898349808E-2"/>
    <s v="CohortAvg"/>
    <n v="-1.048888420997309E-2"/>
    <s v="CohortAvg"/>
    <n v="0.12048639780701879"/>
    <s v="CohortAvg"/>
    <n v="0"/>
    <s v="CohortAvg_NoData_ERROR"/>
    <n v="0"/>
    <s v="CohortAvg"/>
    <n v="0"/>
    <s v="Zero"/>
    <n v="0"/>
    <s v="CohortAvg"/>
    <n v="0"/>
    <s v="CohortAvg"/>
    <n v="0"/>
    <n v="-112.87"/>
    <n v="-22.3"/>
    <n v="21.35"/>
    <n v="0"/>
    <n v="0"/>
    <n v="0"/>
    <n v="0"/>
    <n v="2012.16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2125.98"/>
    <n v="0"/>
    <n v="0"/>
    <n v="0"/>
    <n v="0"/>
    <n v="0"/>
    <n v="2012.16"/>
    <s v="Forecast"/>
  </r>
  <r>
    <x v="7"/>
    <x v="4"/>
    <s v="202409"/>
    <n v="20"/>
    <n v="7518.82"/>
    <n v="-4.3110221321937349E-2"/>
    <s v="CohortAvg"/>
    <n v="-1.0458584559241259E-2"/>
    <s v="CohortAvg"/>
    <n v="0.1208345040175066"/>
    <s v="CohortAvg"/>
    <n v="0"/>
    <s v="CohortAvg_NoData_ERROR"/>
    <n v="0"/>
    <s v="CohortAvg"/>
    <n v="0"/>
    <s v="Zero"/>
    <n v="0"/>
    <s v="CohortAvg"/>
    <n v="0"/>
    <s v="CohortAvg"/>
    <n v="0"/>
    <n v="-324.14"/>
    <n v="-78.64"/>
    <n v="75.709999999999994"/>
    <n v="0"/>
    <n v="0"/>
    <n v="0"/>
    <n v="0"/>
    <n v="7191.76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7518.82"/>
    <n v="0"/>
    <n v="0"/>
    <n v="0"/>
    <n v="0"/>
    <n v="0"/>
    <n v="7191.76"/>
    <s v="Forecast"/>
  </r>
  <r>
    <x v="7"/>
    <x v="4"/>
    <s v="202504"/>
    <n v="13"/>
    <n v="4252.84"/>
    <n v="-1.2966450916657371E-2"/>
    <s v="CohortAvg"/>
    <n v="-1.0430099550313571E-2"/>
    <s v="CohortAvg"/>
    <n v="0.12516925424470249"/>
    <s v="CohortAvg"/>
    <n v="0"/>
    <s v="CohortAvg_NoData_ERROR"/>
    <n v="0"/>
    <s v="CohortAvg"/>
    <n v="0"/>
    <s v="Zero"/>
    <n v="0"/>
    <s v="CohortAvg"/>
    <n v="0"/>
    <s v="CohortAvg"/>
    <n v="0"/>
    <n v="-55.14"/>
    <n v="-44.36"/>
    <n v="44.36"/>
    <n v="0"/>
    <n v="0"/>
    <n v="0"/>
    <n v="0"/>
    <n v="4197.7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4252.84"/>
    <n v="0"/>
    <n v="0"/>
    <n v="0"/>
    <n v="0"/>
    <n v="0"/>
    <n v="4197.7"/>
    <s v="Forecast"/>
  </r>
  <r>
    <x v="7"/>
    <x v="4"/>
    <s v="202507"/>
    <n v="10"/>
    <n v="9447.58"/>
    <n v="-1.040547944726119E-2"/>
    <s v="CohortAvg"/>
    <n v="-1.028572214708658E-2"/>
    <s v="CohortAvg"/>
    <n v="0.1223919607784528"/>
    <s v="CohortAvg"/>
    <n v="0"/>
    <s v="CohortAvg_NoData_ERROR"/>
    <n v="0"/>
    <s v="CohortAvg"/>
    <n v="0"/>
    <s v="Zero"/>
    <n v="0"/>
    <s v="CohortAvg"/>
    <n v="0"/>
    <s v="CohortAvg"/>
    <n v="0"/>
    <n v="-98.31"/>
    <n v="-97.18"/>
    <n v="96.36"/>
    <n v="0"/>
    <n v="0"/>
    <n v="0"/>
    <n v="0"/>
    <n v="9348.4599999999991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9447.58"/>
    <n v="0"/>
    <n v="0"/>
    <n v="0"/>
    <n v="0"/>
    <n v="0"/>
    <n v="9348.4599999999991"/>
    <s v="Forecast"/>
  </r>
  <r>
    <x v="7"/>
    <x v="4"/>
    <s v="202508"/>
    <n v="9"/>
    <n v="30040.98"/>
    <n v="-6.4972026994566346E-3"/>
    <s v="CohortAvg"/>
    <n v="-3.3440191784005631E-3"/>
    <s v="CohortAvg"/>
    <n v="0.11657904171238311"/>
    <s v="CohortAvg"/>
    <n v="0"/>
    <s v="CohortAvg_NoData_ERROR"/>
    <n v="0"/>
    <s v="CohortAvg"/>
    <n v="0"/>
    <s v="Zero"/>
    <n v="0"/>
    <s v="CohortAvg"/>
    <n v="0"/>
    <s v="CohortAvg"/>
    <n v="0"/>
    <n v="-195.18"/>
    <n v="-100.46"/>
    <n v="291.85000000000002"/>
    <n v="0"/>
    <n v="0"/>
    <n v="0"/>
    <n v="0"/>
    <n v="30037.19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30040.98"/>
    <n v="0"/>
    <n v="0"/>
    <n v="0"/>
    <n v="0"/>
    <n v="0"/>
    <n v="30037.19"/>
    <s v="Forecast"/>
  </r>
  <r>
    <x v="7"/>
    <x v="4"/>
    <s v="202509"/>
    <n v="8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8"/>
    <x v="0"/>
    <s v="201912"/>
    <n v="78"/>
    <n v="343211.62"/>
    <n v="5.3422501945179482E-4"/>
    <s v="CohortAvg"/>
    <n v="1.5451710182629651E-3"/>
    <s v="CohortAvg"/>
    <n v="0"/>
    <s v="CohortAvg"/>
    <n v="2.9222640294228781E-2"/>
    <s v="CohortAvg_NonZero"/>
    <n v="1.3170610967134651E-4"/>
    <s v="CohortAvg"/>
    <n v="0"/>
    <s v="Zero"/>
    <n v="0"/>
    <s v="CohortAvg"/>
    <n v="0"/>
    <s v="CohortAvg"/>
    <n v="0"/>
    <n v="183.35"/>
    <n v="530.32000000000005"/>
    <n v="0"/>
    <n v="10029.549999999999"/>
    <n v="45.2"/>
    <n v="0"/>
    <n v="0"/>
    <n v="332423.19"/>
    <n v="0.996502"/>
    <n v="0.92310000000000003"/>
    <n v="0.91986299999999999"/>
    <s v="CohortAvg+Seasonal(0.923)"/>
    <n v="305783.78000000003"/>
    <n v="313094.84999999998"/>
    <n v="-7311.07"/>
    <x v="1"/>
    <n v="10029.549999999999"/>
    <n v="0.78500000000000003"/>
    <n v="0.24"/>
    <n v="7873.2"/>
    <n v="7873.2"/>
    <n v="2407.09"/>
    <n v="305221.65000000002"/>
    <n v="333182.07"/>
    <n v="0.91608100000000003"/>
    <n v="562.13"/>
    <n v="607.33000000000004"/>
    <n v="20309.84"/>
    <n v="20917.169999999998"/>
    <n v="311506.02"/>
    <s v="Forecast"/>
  </r>
  <r>
    <x v="8"/>
    <x v="0"/>
    <s v="202001"/>
    <n v="77"/>
    <n v="71475.539999999994"/>
    <n v="3.7975439766210858E-2"/>
    <s v="CohortAvg"/>
    <n v="1.6343127932784971E-3"/>
    <s v="CohortAvg"/>
    <n v="0"/>
    <s v="CohortAvg"/>
    <n v="1.2706394951880751E-2"/>
    <s v="CohortAvg_NonZero"/>
    <n v="0"/>
    <s v="CohortAvg"/>
    <n v="0"/>
    <s v="Zero"/>
    <n v="0"/>
    <s v="CohortAvg"/>
    <n v="0"/>
    <s v="CohortAvg"/>
    <n v="0"/>
    <n v="2714.32"/>
    <n v="116.81"/>
    <n v="0"/>
    <n v="908.2"/>
    <n v="0"/>
    <n v="0"/>
    <n v="0"/>
    <n v="67736.22"/>
    <n v="0.99837399999999998"/>
    <n v="0.92310000000000003"/>
    <n v="0.92159100000000005"/>
    <s v="CohortAvg+Seasonal(0.923)"/>
    <n v="62425.1"/>
    <n v="65334.04"/>
    <n v="-2908.95"/>
    <x v="1"/>
    <n v="908.2"/>
    <n v="0.78500000000000003"/>
    <n v="0.24"/>
    <n v="712.93"/>
    <n v="712.93"/>
    <n v="217.97"/>
    <n v="64621.11"/>
    <n v="70567.350000000006"/>
    <n v="0.91573700000000002"/>
    <n v="-2196.0100000000002"/>
    <n v="-2196.0100000000002"/>
    <n v="1839.1"/>
    <n v="-356.92"/>
    <n v="68093.14"/>
    <s v="Forecast"/>
  </r>
  <r>
    <x v="8"/>
    <x v="0"/>
    <s v="202101"/>
    <n v="65"/>
    <n v="764807.19"/>
    <n v="-3.9041460138732821E-3"/>
    <s v="CohortAvg"/>
    <n v="-1.907735893426669E-3"/>
    <s v="CohortAvg"/>
    <n v="0"/>
    <s v="CohortAvg"/>
    <n v="1.539455164842353E-2"/>
    <s v="CohortAvg_NonZero"/>
    <n v="1.0383552596434551E-4"/>
    <s v="CohortAvg"/>
    <n v="0"/>
    <s v="Zero"/>
    <n v="0"/>
    <s v="CohortAvg"/>
    <n v="0"/>
    <s v="CohortAvg"/>
    <n v="0"/>
    <n v="-2985.92"/>
    <n v="-1459.05"/>
    <n v="0"/>
    <n v="11773.86"/>
    <n v="79.41"/>
    <n v="0"/>
    <n v="0"/>
    <n v="748508.94"/>
    <n v="0.94596400000000003"/>
    <n v="0.92310000000000003"/>
    <n v="0.87321199999999999"/>
    <s v="CohortAvg+Seasonal(0.923)"/>
    <n v="653607.27"/>
    <n v="660884.55000000005"/>
    <n v="-7277.28"/>
    <x v="1"/>
    <n v="11773.86"/>
    <n v="0.78500000000000003"/>
    <n v="0.24"/>
    <n v="9242.48"/>
    <n v="9242.48"/>
    <n v="2825.73"/>
    <n v="651642.06000000006"/>
    <n v="753033.32"/>
    <n v="0.86535600000000001"/>
    <n v="1965.2"/>
    <n v="2044.62"/>
    <n v="23842.07"/>
    <n v="25886.69"/>
    <n v="722622.25"/>
    <s v="Forecast"/>
  </r>
  <r>
    <x v="8"/>
    <x v="0"/>
    <s v="202201"/>
    <n v="45"/>
    <n v="426069.67"/>
    <n v="-0.1150023408632575"/>
    <s v="CohortAvg"/>
    <n v="-6.4867029883869153E-3"/>
    <s v="CohortAvg"/>
    <n v="3.085378571600389E-2"/>
    <s v="CohortAvg"/>
    <n v="4.1436778780639019E-2"/>
    <s v="CohortAvg_NonZero"/>
    <n v="4.3045816879405847E-3"/>
    <s v="CohortAvg"/>
    <n v="0"/>
    <s v="Zero"/>
    <n v="-1.617596084798789E-4"/>
    <s v="CohortAvg"/>
    <n v="-3.5786674855599602E-6"/>
    <s v="CohortAvg"/>
    <n v="0"/>
    <n v="-48999.01"/>
    <n v="-2763.79"/>
    <n v="1095.49"/>
    <n v="17654.95"/>
    <n v="1834.05"/>
    <n v="-68.92"/>
    <n v="-1.52"/>
    <n v="355913.35"/>
    <n v="0.58605300000000005"/>
    <n v="0.92310000000000003"/>
    <n v="0.54098100000000005"/>
    <s v="CohortAvg+Seasonal(0.923)"/>
    <n v="192542.39"/>
    <n v="228537.23"/>
    <n v="-35994.839999999997"/>
    <x v="1"/>
    <n v="17654.95"/>
    <n v="0.78500000000000003"/>
    <n v="0.24"/>
    <n v="13859.14"/>
    <n v="13859.14"/>
    <n v="4237.1899999999996"/>
    <n v="214678.09"/>
    <n v="408414.71"/>
    <n v="0.52563800000000005"/>
    <n v="-22135.7"/>
    <n v="-20301.650000000001"/>
    <n v="35751.279999999999"/>
    <n v="15449.63"/>
    <n v="340463.72"/>
    <s v="Forecast"/>
  </r>
  <r>
    <x v="8"/>
    <x v="0"/>
    <s v="202301"/>
    <n v="36"/>
    <n v="3483978.43"/>
    <n v="-6.982185802586495E-2"/>
    <s v="CohortAvg"/>
    <n v="-1.6978882083825132E-2"/>
    <s v="CohortAvg"/>
    <n v="0.20600848587115589"/>
    <s v="CohortAvg"/>
    <n v="6.4091070693382227E-2"/>
    <s v="CohortAvg_NonZero"/>
    <n v="1.2546359560167001E-4"/>
    <s v="CohortAvg"/>
    <n v="0"/>
    <s v="Zero"/>
    <n v="-5.2098921026269979E-3"/>
    <s v="CohortAvg"/>
    <n v="-7.4709854192336349E-5"/>
    <s v="CohortAvg"/>
    <n v="0"/>
    <n v="-243257.85"/>
    <n v="-59154.06"/>
    <n v="59810.76"/>
    <n v="223291.91"/>
    <n v="437.11"/>
    <n v="-18151.150000000001"/>
    <n v="-260.29000000000002"/>
    <n v="3017648.27"/>
    <n v="0.58410799999999996"/>
    <n v="0.92310000000000003"/>
    <n v="0.53918500000000003"/>
    <s v="CohortTrend+Seasonal(0.923)"/>
    <n v="1627072.03"/>
    <n v="1807576.07"/>
    <n v="-180504.04"/>
    <x v="1"/>
    <n v="223291.91"/>
    <n v="0.78500000000000003"/>
    <n v="0.24"/>
    <n v="175284.15"/>
    <n v="175284.15"/>
    <n v="53590.06"/>
    <n v="1632291.92"/>
    <n v="3260686.52"/>
    <n v="0.50059799999999999"/>
    <n v="-5219.8900000000003"/>
    <n v="-4782.78"/>
    <n v="452166.11"/>
    <n v="447383.33"/>
    <n v="2570264.9300000002"/>
    <s v="Forecast"/>
  </r>
  <r>
    <x v="8"/>
    <x v="0"/>
    <s v="202404"/>
    <n v="26"/>
    <n v="628115.14"/>
    <n v="-7.1948643708605098E-2"/>
    <s v="CohortAvg"/>
    <n v="-2.4118170805199391E-2"/>
    <s v="CohortAvg"/>
    <n v="0.25451888768287612"/>
    <s v="CohortAvg"/>
    <n v="0.10749110360072051"/>
    <s v="CohortAvg_NonZero"/>
    <n v="9.864628169258689E-5"/>
    <s v="CohortAvg"/>
    <n v="0"/>
    <s v="Zero"/>
    <n v="-7.8976781261437413E-3"/>
    <s v="CohortAvg"/>
    <n v="-9.9843923152897874E-5"/>
    <s v="CohortAvg"/>
    <n v="0"/>
    <n v="-45192.03"/>
    <n v="-15148.99"/>
    <n v="13322.26"/>
    <n v="67516.789999999994"/>
    <n v="61.96"/>
    <n v="-4960.6499999999996"/>
    <n v="-62.71"/>
    <n v="513517.64"/>
    <n v="0.37100699999999998"/>
    <n v="0.92310000000000003"/>
    <n v="0.342474"/>
    <s v="CohortTrend+Seasonal(0.923)"/>
    <n v="175866.25"/>
    <n v="207625.11"/>
    <n v="-31758.86"/>
    <x v="1"/>
    <n v="67516.789999999994"/>
    <n v="0.78500000000000003"/>
    <n v="0.24"/>
    <n v="53000.68"/>
    <n v="53000.68"/>
    <n v="16204.03"/>
    <n v="154624.43"/>
    <n v="560598.35"/>
    <n v="0.27582000000000001"/>
    <n v="21241.82"/>
    <n v="21303.79"/>
    <n v="136721.5"/>
    <n v="158025.29"/>
    <n v="355492.35"/>
    <s v="Forecast"/>
  </r>
  <r>
    <x v="8"/>
    <x v="0"/>
    <s v="202405"/>
    <n v="25"/>
    <n v="837885.32"/>
    <n v="-6.067578657011341E-2"/>
    <s v="CohortAvg"/>
    <n v="-2.4326048294672931E-2"/>
    <s v="CohortAvg"/>
    <n v="0.26294508092336011"/>
    <s v="CohortAvg"/>
    <n v="0.1042852843408998"/>
    <s v="CohortAvg_NonZero"/>
    <n v="1.5205378960846469E-4"/>
    <s v="CohortAvg"/>
    <n v="0"/>
    <s v="Zero"/>
    <n v="-1.1818891720178609E-2"/>
    <s v="CohortAvg"/>
    <n v="-2.1015500881479179E-4"/>
    <s v="CohortAvg"/>
    <n v="0"/>
    <n v="-50839.35"/>
    <n v="-20382.439999999999"/>
    <n v="18359.82"/>
    <n v="87379.11"/>
    <n v="127.4"/>
    <n v="-9902.8799999999992"/>
    <n v="-176.09"/>
    <n v="697516.83"/>
    <n v="0.33176"/>
    <n v="0.92310000000000003"/>
    <n v="0.30624499999999999"/>
    <s v="CohortTrend+Seasonal(0.923)"/>
    <n v="213611.11"/>
    <n v="248801.08"/>
    <n v="-35189.97"/>
    <x v="1"/>
    <n v="87379.11"/>
    <n v="0.78500000000000003"/>
    <n v="0.24"/>
    <n v="68592.600000000006"/>
    <n v="68592.600000000006"/>
    <n v="20970.990000000002"/>
    <n v="180208.48"/>
    <n v="750506.21"/>
    <n v="0.240116"/>
    <n v="33402.629999999997"/>
    <n v="33530.03"/>
    <n v="176942.69"/>
    <n v="210472.72"/>
    <n v="487044.11"/>
    <s v="Forecast"/>
  </r>
  <r>
    <x v="8"/>
    <x v="0"/>
    <s v="202406"/>
    <n v="24"/>
    <n v="1250986.42"/>
    <n v="-5.6055769639974239E-2"/>
    <s v="CohortAvg"/>
    <n v="-2.5513191558015069E-2"/>
    <s v="CohortAvg"/>
    <n v="0.28161823698427552"/>
    <s v="CohortAvg"/>
    <n v="6.5804120867160046E-2"/>
    <s v="CohortAvg_NonZero"/>
    <n v="1.956854287190821E-5"/>
    <s v="CohortAvg"/>
    <n v="0"/>
    <s v="Zero"/>
    <n v="-1.0133668009569739E-2"/>
    <s v="CohortAvg"/>
    <n v="-2.1618801187678249E-4"/>
    <s v="CohortAvg"/>
    <n v="0"/>
    <n v="-70125.009999999995"/>
    <n v="-31916.66"/>
    <n v="29358.38"/>
    <n v="82320.06"/>
    <n v="24.48"/>
    <n v="-12677.08"/>
    <n v="-270.45"/>
    <n v="1095958.6000000001"/>
    <n v="0.291875"/>
    <n v="0.92310000000000003"/>
    <n v="0.26942700000000003"/>
    <s v="CohortTrend+Seasonal(0.923)"/>
    <n v="295281.21999999997"/>
    <n v="325892.28000000003"/>
    <n v="-30611.06"/>
    <x v="1"/>
    <n v="82320.06"/>
    <n v="0.78500000000000003"/>
    <n v="0.24"/>
    <n v="64621.25"/>
    <n v="64621.25"/>
    <n v="19756.810000000001"/>
    <n v="261271.03"/>
    <n v="1168666.3600000001"/>
    <n v="0.22356300000000001"/>
    <n v="34010.19"/>
    <n v="34034.67"/>
    <n v="166698.13"/>
    <n v="200732.79"/>
    <n v="895225.81"/>
    <s v="Forecast"/>
  </r>
  <r>
    <x v="8"/>
    <x v="0"/>
    <s v="202407"/>
    <n v="23"/>
    <n v="1322825.6599999999"/>
    <n v="-5.3414547622166728E-2"/>
    <s v="CohortAvg"/>
    <n v="-2.6785310027861369E-2"/>
    <s v="CohortAvg"/>
    <n v="0.29019221199644629"/>
    <s v="CohortAvg"/>
    <n v="7.3328416510498887E-2"/>
    <s v="CohortAvg_NonZero"/>
    <n v="2.608739746273569E-5"/>
    <s v="CohortAvg"/>
    <n v="0"/>
    <s v="Zero"/>
    <n v="-1.2698524994893479E-2"/>
    <s v="CohortAvg"/>
    <n v="-8.4393695020457178E-5"/>
    <s v="CohortAvg"/>
    <n v="0"/>
    <n v="-70658.13"/>
    <n v="-35432.300000000003"/>
    <n v="31989.48"/>
    <n v="97000.71"/>
    <n v="34.51"/>
    <n v="-16797.93"/>
    <n v="-111.64"/>
    <n v="1151689.49"/>
    <n v="0.254334"/>
    <n v="0.92310000000000003"/>
    <n v="0.23477400000000001"/>
    <s v="CohortTrend+Seasonal(0.923)"/>
    <n v="270386.32"/>
    <n v="301779.07"/>
    <n v="-31392.75"/>
    <x v="1"/>
    <n v="97000.71"/>
    <n v="0.78500000000000003"/>
    <n v="0.24"/>
    <n v="76145.56"/>
    <n v="76145.56"/>
    <n v="23280.17"/>
    <n v="225633.51"/>
    <n v="1225824.95"/>
    <n v="0.18406700000000001"/>
    <n v="44752.81"/>
    <n v="44787.32"/>
    <n v="196426.44"/>
    <n v="241213.76"/>
    <n v="910475.73"/>
    <s v="Forecast"/>
  </r>
  <r>
    <x v="8"/>
    <x v="0"/>
    <s v="202408"/>
    <n v="22"/>
    <n v="1241273.47"/>
    <n v="-6.4893953195233764E-2"/>
    <s v="CohortAvg"/>
    <n v="-2.62067078384851E-2"/>
    <s v="CohortAvg"/>
    <n v="0.28097414570335161"/>
    <s v="CohortAvg"/>
    <n v="9.4832064523193968E-2"/>
    <s v="CohortAvg_NonZero"/>
    <n v="1.250852074918362E-4"/>
    <s v="CohortAvg"/>
    <n v="0"/>
    <s v="Zero"/>
    <n v="-1.444506196825642E-2"/>
    <s v="CohortAvg"/>
    <n v="-3.2068471974132032E-4"/>
    <s v="CohortAvg"/>
    <n v="0"/>
    <n v="-80551.14"/>
    <n v="-32529.69"/>
    <n v="29063.81"/>
    <n v="117712.53"/>
    <n v="155.26"/>
    <n v="-17930.27"/>
    <n v="-398.06"/>
    <n v="1039388.66"/>
    <n v="0.236903"/>
    <n v="0.92310000000000003"/>
    <n v="0.21868299999999999"/>
    <s v="CohortTrend+Seasonal(0.923)"/>
    <n v="227296.56"/>
    <n v="264155.63"/>
    <n v="-36859.07"/>
    <x v="1"/>
    <n v="117712.53"/>
    <n v="0.78500000000000003"/>
    <n v="0.24"/>
    <n v="92404.33"/>
    <n v="92404.33"/>
    <n v="28251.01"/>
    <n v="171751.3"/>
    <n v="1123560.94"/>
    <n v="0.152863"/>
    <n v="55545.26"/>
    <n v="55700.53"/>
    <n v="238367.86"/>
    <n v="294068.39"/>
    <n v="745320.27"/>
    <s v="Forecast"/>
  </r>
  <r>
    <x v="8"/>
    <x v="0"/>
    <s v="202409"/>
    <n v="21"/>
    <n v="1153324.57"/>
    <n v="-7.0098615370361855E-2"/>
    <s v="CohortAvg"/>
    <n v="-2.925077283188713E-2"/>
    <s v="CohortAvg"/>
    <n v="0.29787389633334221"/>
    <s v="CohortAvg"/>
    <n v="9.9441525611862577E-2"/>
    <s v="CohortAvg_NonZero"/>
    <n v="3.3172952488526932E-4"/>
    <s v="CohortAvg"/>
    <n v="0"/>
    <s v="Zero"/>
    <n v="-1.7099631169112509E-2"/>
    <s v="CohortAvg"/>
    <n v="8.8502684037224534E-4"/>
    <s v="CohortAvg"/>
    <n v="0"/>
    <n v="-80846.460000000006"/>
    <n v="-33735.629999999997"/>
    <n v="28628.77"/>
    <n v="114688.35"/>
    <n v="382.59"/>
    <n v="-19721.419999999998"/>
    <n v="1020.72"/>
    <n v="952300.3"/>
    <n v="0.220689"/>
    <n v="0.92310000000000003"/>
    <n v="0.20371600000000001"/>
    <s v="CohortTrend+Seasonal(0.923)"/>
    <n v="193998.94"/>
    <n v="228495.14"/>
    <n v="-34496.199999999997"/>
    <x v="1"/>
    <n v="114688.35"/>
    <n v="0.78500000000000003"/>
    <n v="0.24"/>
    <n v="90030.36"/>
    <n v="90030.36"/>
    <n v="27525.21"/>
    <n v="138464.78"/>
    <n v="1038636.21"/>
    <n v="0.13331399999999999"/>
    <n v="55534.16"/>
    <n v="55916.75"/>
    <n v="232243.92"/>
    <n v="288160.67"/>
    <n v="664139.64"/>
    <s v="Forecast"/>
  </r>
  <r>
    <x v="8"/>
    <x v="0"/>
    <s v="202410"/>
    <n v="20"/>
    <n v="1622760.11"/>
    <n v="-6.4693209853587924E-2"/>
    <s v="CohortAvg"/>
    <n v="-2.9784329543404601E-2"/>
    <s v="CohortAvg"/>
    <n v="0.29832248297880182"/>
    <s v="CohortAvg"/>
    <n v="8.8893383380206095E-2"/>
    <s v="CohortAvg_NonZero"/>
    <n v="8.4428332419455337E-5"/>
    <s v="CohortAvg"/>
    <n v="0"/>
    <s v="Zero"/>
    <n v="-2.0430930801202899E-2"/>
    <s v="CohortAvg"/>
    <n v="-3.0800723084430071E-4"/>
    <s v="CohortAvg"/>
    <n v="0"/>
    <n v="-104981.56"/>
    <n v="-48332.82"/>
    <n v="40342.15"/>
    <n v="144252.64000000001"/>
    <n v="137.01"/>
    <n v="-33154.5"/>
    <n v="-499.82"/>
    <n v="1365398.23"/>
    <n v="0.21043400000000001"/>
    <n v="0.92310000000000003"/>
    <n v="0.19425000000000001"/>
    <s v="CohortTrend+Seasonal(0.923)"/>
    <n v="265228.88"/>
    <n v="283401.44"/>
    <n v="-18172.560000000001"/>
    <x v="1"/>
    <n v="144252.64000000001"/>
    <n v="0.78500000000000003"/>
    <n v="0.24"/>
    <n v="113238.32"/>
    <n v="113238.32"/>
    <n v="34620.629999999997"/>
    <n v="170163.12"/>
    <n v="1478507.47"/>
    <n v="0.115091"/>
    <n v="95065.76"/>
    <n v="95202.77"/>
    <n v="292111.59000000003"/>
    <n v="387314.36"/>
    <n v="978083.87"/>
    <s v="Forecast"/>
  </r>
  <r>
    <x v="8"/>
    <x v="0"/>
    <s v="202411"/>
    <n v="19"/>
    <n v="1721189.86"/>
    <n v="-6.9104171299411071E-2"/>
    <s v="CohortAvg"/>
    <n v="-3.0756523202887982E-2"/>
    <s v="CohortAvg"/>
    <n v="0.31888632301828701"/>
    <s v="CohortAvg"/>
    <n v="8.007820564155782E-2"/>
    <s v="CohortAvg_NonZero"/>
    <n v="1.8367485366480279E-5"/>
    <s v="CohortAvg"/>
    <n v="0"/>
    <s v="Zero"/>
    <n v="-2.0218541913703821E-2"/>
    <s v="CohortAvg"/>
    <n v="-4.0572938017393537E-4"/>
    <s v="CohortAvg"/>
    <n v="0"/>
    <n v="-118941.4"/>
    <n v="-52937.82"/>
    <n v="45738.66"/>
    <n v="137829.79999999999"/>
    <n v="31.61"/>
    <n v="-34799.949999999997"/>
    <n v="-698.34"/>
    <n v="1457187.89"/>
    <n v="0.190751"/>
    <n v="0.92310000000000003"/>
    <n v="0.17608099999999999"/>
    <s v="DonorCohort:202101+Seasonal(0.923)"/>
    <n v="256582.71"/>
    <n v="278551.48"/>
    <n v="-21968.77"/>
    <x v="1"/>
    <n v="137829.79999999999"/>
    <n v="0.78500000000000003"/>
    <n v="0.24"/>
    <n v="108196.39"/>
    <n v="108196.39"/>
    <n v="33079.15"/>
    <n v="170355.1"/>
    <n v="1583360.06"/>
    <n v="0.10759100000000001"/>
    <n v="86227.62"/>
    <n v="86259.23"/>
    <n v="279105.34000000003"/>
    <n v="365364.56"/>
    <n v="1091823.33"/>
    <s v="Forecast"/>
  </r>
  <r>
    <x v="8"/>
    <x v="0"/>
    <s v="202412"/>
    <n v="18"/>
    <n v="1932646.07"/>
    <n v="-6.570838453192733E-2"/>
    <s v="CohortAvg"/>
    <n v="-3.1996899583953027E-2"/>
    <s v="CohortAvg"/>
    <n v="0.32900913773243468"/>
    <s v="CohortAvg"/>
    <n v="7.5789384843906016E-2"/>
    <s v="CohortAvg_NonZero"/>
    <n v="3.6545094226621443E-5"/>
    <s v="CohortAvg"/>
    <n v="0"/>
    <s v="Zero"/>
    <n v="-3.3999806309643839E-2"/>
    <s v="CohortAvg"/>
    <n v="-4.719776593640524E-4"/>
    <s v="CohortAvg"/>
    <n v="0"/>
    <n v="-126991.05"/>
    <n v="-61838.68"/>
    <n v="52988.18"/>
    <n v="146474.06"/>
    <n v="70.63"/>
    <n v="-65709.59"/>
    <n v="-912.17"/>
    <n v="1650259.83"/>
    <n v="0.17676500000000001"/>
    <n v="0.92310000000000003"/>
    <n v="0.16317000000000001"/>
    <s v="DonorCohort:202101+Seasonal(0.923)"/>
    <n v="269273.2"/>
    <n v="317197.32"/>
    <n v="-47924.11"/>
    <x v="1"/>
    <n v="146474.06"/>
    <n v="0.78500000000000003"/>
    <n v="0.24"/>
    <n v="114982.13"/>
    <n v="114982.13"/>
    <n v="35153.769999999997"/>
    <n v="202215.18"/>
    <n v="1786172.01"/>
    <n v="0.11321100000000001"/>
    <n v="67058.02"/>
    <n v="67128.649999999994"/>
    <n v="296609.96000000002"/>
    <n v="363738.61"/>
    <n v="1286521.22"/>
    <s v="Forecast"/>
  </r>
  <r>
    <x v="8"/>
    <x v="0"/>
    <s v="202501"/>
    <n v="17"/>
    <n v="2275928.04"/>
    <n v="-6.3207794032325945E-2"/>
    <s v="CohortAvg"/>
    <n v="-3.1434108321883612E-2"/>
    <s v="CohortAvg"/>
    <n v="0.33776952194608612"/>
    <s v="CohortAvg"/>
    <n v="6.577700913989655E-2"/>
    <s v="CohortAvg_NonZero"/>
    <n v="8.1232747745681858E-5"/>
    <s v="CohortAvg"/>
    <n v="0"/>
    <s v="Zero"/>
    <n v="-4.6663686146254803E-2"/>
    <s v="CohortAvg"/>
    <n v="-9.1649072655115838E-4"/>
    <s v="CohortAvg"/>
    <n v="0"/>
    <n v="-143856.39000000001"/>
    <n v="-71541.77"/>
    <n v="64061.59"/>
    <n v="149703.74"/>
    <n v="184.88"/>
    <n v="-106203.19"/>
    <n v="-2085.87"/>
    <n v="1974702.86"/>
    <n v="0.17926500000000001"/>
    <n v="0.92310000000000003"/>
    <n v="0.16547799999999999"/>
    <s v="DonorCohort:202101+Seasonal(0.923)"/>
    <n v="326770.65000000002"/>
    <n v="397965.15"/>
    <n v="-71194.490000000005"/>
    <x v="1"/>
    <n v="149703.74"/>
    <n v="0.78500000000000003"/>
    <n v="0.24"/>
    <n v="117517.44"/>
    <n v="117517.44"/>
    <n v="35928.9"/>
    <n v="280447.71000000002"/>
    <n v="2126224.2999999998"/>
    <n v="0.13189899999999999"/>
    <n v="46322.94"/>
    <n v="46507.82"/>
    <n v="303150.07"/>
    <n v="349657.89"/>
    <n v="1625044.96"/>
    <s v="Forecast"/>
  </r>
  <r>
    <x v="8"/>
    <x v="0"/>
    <s v="202502"/>
    <n v="16"/>
    <n v="3294562.16"/>
    <n v="-6.420175823500486E-2"/>
    <s v="CohortAvg"/>
    <n v="-3.192734707414354E-2"/>
    <s v="CohortAvg"/>
    <n v="0.35533033264817421"/>
    <s v="CohortAvg"/>
    <n v="3.8517909800448863E-2"/>
    <s v="CohortAvg_NonZero"/>
    <n v="1.125910793066759E-4"/>
    <s v="CohortAvg"/>
    <n v="0"/>
    <s v="Zero"/>
    <n v="-9.5007679509978502E-2"/>
    <s v="CohortAvg"/>
    <n v="-2.0542807009636178E-3"/>
    <s v="CohortAvg"/>
    <n v="0"/>
    <n v="-211516.68"/>
    <n v="-105186.63"/>
    <n v="97554.82"/>
    <n v="126899.65"/>
    <n v="370.94"/>
    <n v="-313008.71000000002"/>
    <n v="-6767.96"/>
    <n v="2948143.08"/>
    <n v="0.19098799999999999"/>
    <n v="0.92310000000000003"/>
    <n v="0.17629900000000001"/>
    <s v="DonorCohort:202101+Seasonal(0.923)"/>
    <n v="519755.6"/>
    <n v="568182.49"/>
    <n v="-48426.89"/>
    <x v="1"/>
    <n v="126899.65"/>
    <n v="0.78500000000000003"/>
    <n v="0.24"/>
    <n v="99616.22"/>
    <n v="99616.22"/>
    <n v="30455.919999999998"/>
    <n v="468566.27"/>
    <n v="3167662.51"/>
    <n v="0.147922"/>
    <n v="51189.33"/>
    <n v="51560.27"/>
    <n v="256971.79"/>
    <n v="308532.06"/>
    <n v="2639611.02"/>
    <s v="Forecast"/>
  </r>
  <r>
    <x v="8"/>
    <x v="0"/>
    <s v="202503"/>
    <n v="15"/>
    <n v="4612578.51"/>
    <n v="-5.4782894022565087E-2"/>
    <s v="CohortAvg"/>
    <n v="-3.4935238494083531E-2"/>
    <s v="CohortAvg"/>
    <n v="0.42576872175912972"/>
    <s v="CohortAvg"/>
    <n v="2.337347755521255E-2"/>
    <s v="CohortAvg_NonZero"/>
    <n v="7.2982213881659998E-6"/>
    <s v="CohortAvg"/>
    <n v="0"/>
    <s v="Zero"/>
    <n v="0"/>
    <s v="CohortAvg"/>
    <n v="0"/>
    <s v="CohortAvg"/>
    <n v="0"/>
    <n v="-252690.4"/>
    <n v="-161141.53"/>
    <n v="163657.64000000001"/>
    <n v="107812"/>
    <n v="33.659999999999997"/>
    <n v="0"/>
    <n v="0"/>
    <n v="4254558.55"/>
    <n v="0.18836900000000001"/>
    <n v="0.92310000000000003"/>
    <n v="0.17388200000000001"/>
    <s v="DonorCohort:202101+Seasonal(0.923)"/>
    <n v="739790.51"/>
    <n v="692560.67"/>
    <n v="47229.84"/>
    <x v="1"/>
    <n v="107812"/>
    <n v="0.78500000000000003"/>
    <n v="0.24"/>
    <n v="84632.42"/>
    <n v="84632.42"/>
    <n v="25874.880000000001"/>
    <n v="607928.25"/>
    <n v="4504766.51"/>
    <n v="0.13495199999999999"/>
    <n v="131862.26"/>
    <n v="131895.93"/>
    <n v="218319.3"/>
    <n v="350215.23"/>
    <n v="3904343.33"/>
    <s v="Forecast"/>
  </r>
  <r>
    <x v="8"/>
    <x v="0"/>
    <s v="202504"/>
    <n v="14"/>
    <n v="5860135.71"/>
    <n v="-5.3499965556375713E-2"/>
    <s v="CohortAvg"/>
    <n v="-3.7307750359726513E-2"/>
    <s v="CohortAvg"/>
    <n v="0.43796859764627211"/>
    <s v="CohortAvg"/>
    <n v="1.013329171740706E-2"/>
    <s v="CohortAvg_NonZero"/>
    <n v="1.789739805290663E-6"/>
    <s v="CohortAvg"/>
    <n v="0"/>
    <s v="Zero"/>
    <n v="0"/>
    <s v="CohortAvg"/>
    <n v="0"/>
    <s v="CohortAvg"/>
    <n v="0"/>
    <n v="-313517.06"/>
    <n v="-218628.48000000001"/>
    <n v="213879.62"/>
    <n v="59382.46"/>
    <n v="10.49"/>
    <n v="0"/>
    <n v="0"/>
    <n v="5482476.8399999999"/>
    <n v="0.163996"/>
    <n v="0.92310000000000003"/>
    <n v="0.15138299999999999"/>
    <s v="DonorCohort:202101+Seasonal(0.923)"/>
    <n v="829955.8"/>
    <n v="988582.45"/>
    <n v="-158626.64000000001"/>
    <x v="1"/>
    <n v="59382.46"/>
    <n v="0.78500000000000003"/>
    <n v="0.24"/>
    <n v="46615.23"/>
    <n v="46615.23"/>
    <n v="14251.79"/>
    <n v="941967.21"/>
    <n v="5800753.2400000002"/>
    <n v="0.162387"/>
    <n v="-112011.41"/>
    <n v="-112000.92"/>
    <n v="120249.49"/>
    <n v="8248.57"/>
    <n v="5474228.2699999996"/>
    <s v="Forecast"/>
  </r>
  <r>
    <x v="8"/>
    <x v="0"/>
    <s v="202505"/>
    <n v="13"/>
    <n v="7580613.1200000001"/>
    <n v="-4.4750325685529009E-2"/>
    <s v="CohortAvg"/>
    <n v="-3.5181143726789252E-2"/>
    <s v="CohortAvg"/>
    <n v="0.42415199715899887"/>
    <s v="CohortAvg"/>
    <n v="0"/>
    <s v="CohortAvg_NoData_ERROR"/>
    <n v="8.8914951171361606E-7"/>
    <s v="CohortAvg"/>
    <n v="0"/>
    <s v="Zero"/>
    <n v="0"/>
    <s v="CohortAvg"/>
    <n v="0"/>
    <s v="CohortAvg"/>
    <n v="0"/>
    <n v="-339234.91"/>
    <n v="-266694.64"/>
    <n v="267944.34999999998"/>
    <n v="0"/>
    <n v="6.74"/>
    <n v="0"/>
    <n v="0"/>
    <n v="7242621.1799999997"/>
    <n v="0.184257"/>
    <n v="0.92310000000000003"/>
    <n v="0.17008599999999999"/>
    <s v="DonorCohort:202101+Seasonal(0.923)"/>
    <n v="1231870.6399999999"/>
    <n v="1240477.45"/>
    <n v="-8606.81"/>
    <x v="1"/>
    <n v="0"/>
    <n v="0.78500000000000003"/>
    <n v="0.24"/>
    <n v="0"/>
    <n v="0"/>
    <n v="0"/>
    <n v="1240477.45"/>
    <n v="7580613.1200000001"/>
    <n v="0.16363800000000001"/>
    <n v="-8606.81"/>
    <n v="-8600.07"/>
    <n v="0"/>
    <n v="-8600.07"/>
    <n v="7251221.2599999998"/>
    <s v="Forecast"/>
  </r>
  <r>
    <x v="8"/>
    <x v="0"/>
    <s v="202506"/>
    <n v="12"/>
    <n v="8605942.1600000001"/>
    <n v="-4.2758691313494163E-2"/>
    <s v="CohortAvg"/>
    <n v="-3.6149426599884217E-2"/>
    <s v="CohortAvg"/>
    <n v="0.43459986831093422"/>
    <s v="CohortAvg"/>
    <n v="0"/>
    <s v="CohortAvg_NoData_ERROR"/>
    <n v="0"/>
    <s v="CohortAvg"/>
    <n v="0"/>
    <s v="Zero"/>
    <n v="0"/>
    <s v="CohortAvg"/>
    <n v="0"/>
    <s v="CohortAvg"/>
    <n v="0"/>
    <n v="-367978.82"/>
    <n v="-311099.87"/>
    <n v="311678.44"/>
    <n v="0"/>
    <n v="0"/>
    <n v="0"/>
    <n v="0"/>
    <n v="8238541.9000000004"/>
    <n v="0.178732"/>
    <n v="0.92310000000000003"/>
    <n v="0.16498699999999999"/>
    <s v="DonorCohort:202101+Seasonal(0.923)"/>
    <n v="1359248.95"/>
    <n v="1220519.8600000001"/>
    <n v="138729.09"/>
    <x v="1"/>
    <n v="0"/>
    <n v="0.78500000000000003"/>
    <n v="0.24"/>
    <n v="0"/>
    <n v="0"/>
    <n v="0"/>
    <n v="1220519.8600000001"/>
    <n v="8605942.1600000001"/>
    <n v="0.141823"/>
    <n v="138729.09"/>
    <n v="138729.09"/>
    <n v="0"/>
    <n v="138729.09"/>
    <n v="8099812.8099999996"/>
    <s v="Forecast"/>
  </r>
  <r>
    <x v="8"/>
    <x v="0"/>
    <s v="202507"/>
    <n v="11"/>
    <n v="11000525.449999999"/>
    <n v="-4.0255559530186953E-2"/>
    <s v="CohortAvg"/>
    <n v="-3.7933313450522949E-2"/>
    <s v="CohortAvg"/>
    <n v="0.42485036509403851"/>
    <s v="CohortAvg"/>
    <n v="0"/>
    <s v="CohortAvg_NoData_ERROR"/>
    <n v="1.2317168951992979E-5"/>
    <s v="CohortAvg"/>
    <n v="0"/>
    <s v="Zero"/>
    <n v="0"/>
    <s v="CohortAvg"/>
    <n v="0"/>
    <s v="CohortAvg"/>
    <n v="0"/>
    <n v="-442832.31"/>
    <n v="-417286.38"/>
    <n v="389464.77"/>
    <n v="0"/>
    <n v="135.5"/>
    <n v="0"/>
    <n v="0"/>
    <n v="10529736.029999999"/>
    <n v="0.15490499999999999"/>
    <n v="0.92310000000000003"/>
    <n v="0.14299200000000001"/>
    <s v="DonorCohort:202101+Seasonal(0.923)"/>
    <n v="1505663.85"/>
    <n v="1374626.2"/>
    <n v="131037.64"/>
    <x v="1"/>
    <n v="0"/>
    <n v="0.78500000000000003"/>
    <n v="0.24"/>
    <n v="0"/>
    <n v="0"/>
    <n v="0"/>
    <n v="1374626.2"/>
    <n v="11000525.449999999"/>
    <n v="0.12496"/>
    <n v="131037.64"/>
    <n v="131173.14000000001"/>
    <n v="0"/>
    <n v="131173.14000000001"/>
    <n v="10398562.9"/>
    <s v="Forecast"/>
  </r>
  <r>
    <x v="8"/>
    <x v="0"/>
    <s v="202508"/>
    <n v="10"/>
    <n v="9080646.1799999997"/>
    <n v="-4.3721924308371983E-2"/>
    <s v="CohortAvg"/>
    <n v="-2.9197956213520761E-2"/>
    <s v="CohortAvg"/>
    <n v="0.41092568845526511"/>
    <s v="CohortAvg"/>
    <n v="0"/>
    <s v="CohortAvg_NoData_ERROR"/>
    <n v="1.018839866575504E-5"/>
    <s v="CohortAvg"/>
    <n v="0"/>
    <s v="Zero"/>
    <n v="0"/>
    <s v="CohortAvg"/>
    <n v="0"/>
    <s v="CohortAvg"/>
    <n v="0"/>
    <n v="-397023.32"/>
    <n v="-265136.31"/>
    <n v="310955.90000000002"/>
    <n v="0"/>
    <n v="92.52"/>
    <n v="0"/>
    <n v="0"/>
    <n v="8729349.9199999999"/>
    <n v="0.136487"/>
    <n v="0.92310000000000003"/>
    <n v="0.12598999999999999"/>
    <s v="DonorCohort:202101+Seasonal(0.923)"/>
    <n v="1099808.83"/>
    <n v="998161.64"/>
    <n v="101647.19"/>
    <x v="1"/>
    <n v="0"/>
    <n v="0.78500000000000003"/>
    <n v="0.24"/>
    <n v="0"/>
    <n v="0"/>
    <n v="0"/>
    <n v="998161.64"/>
    <n v="9080646.1799999997"/>
    <n v="0.10992200000000001"/>
    <n v="101647.19"/>
    <n v="101739.71"/>
    <n v="0"/>
    <n v="101739.71"/>
    <n v="8627610.2200000007"/>
    <s v="Forecast"/>
  </r>
  <r>
    <x v="8"/>
    <x v="0"/>
    <s v="202509"/>
    <n v="9"/>
    <n v="3004346.88"/>
    <n v="-0.35025974097658258"/>
    <s v="CohortAvg"/>
    <n v="-7.2800852379738656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052301.76"/>
    <n v="-218719.01"/>
    <n v="125181.12"/>
    <n v="0"/>
    <n v="0"/>
    <n v="0"/>
    <n v="0"/>
    <n v="1858507.22"/>
    <n v="0.120061"/>
    <n v="0.92310000000000003"/>
    <n v="0.110828"/>
    <s v="DonorCohort:202101+Seasonal(0.923)"/>
    <n v="205974.04"/>
    <n v="285451.71999999997"/>
    <n v="-79477.679999999993"/>
    <x v="1"/>
    <n v="0"/>
    <n v="0.78500000000000003"/>
    <n v="0.24"/>
    <n v="0"/>
    <n v="0"/>
    <n v="0"/>
    <n v="285451.71999999997"/>
    <n v="3004346.88"/>
    <n v="9.5013E-2"/>
    <n v="-79477.679999999993"/>
    <n v="-79477.679999999993"/>
    <n v="0"/>
    <n v="-79477.679999999993"/>
    <n v="1937984.91"/>
    <s v="Forecast"/>
  </r>
  <r>
    <x v="8"/>
    <x v="1"/>
    <s v="202301"/>
    <n v="31"/>
    <n v="974946.87"/>
    <n v="-9.8218717514432854E-3"/>
    <s v="CohortAvg"/>
    <n v="-5.0172490679813112E-3"/>
    <s v="CohortAvg"/>
    <n v="9.2067257477805309E-2"/>
    <s v="CohortAvg"/>
    <n v="2.3739601340974709E-2"/>
    <s v="CohortAvg_NonZero"/>
    <n v="0"/>
    <s v="CohortAvg"/>
    <n v="0"/>
    <s v="Zero"/>
    <n v="0"/>
    <s v="CohortAvg"/>
    <n v="0"/>
    <s v="CohortAvg"/>
    <n v="0"/>
    <n v="-9575.7999999999993"/>
    <n v="-4891.55"/>
    <n v="7480.06"/>
    <n v="23144.85"/>
    <n v="0"/>
    <n v="0"/>
    <n v="0"/>
    <n v="944814.73"/>
    <n v="0.32447199999999998"/>
    <n v="1.169"/>
    <n v="0.37930700000000001"/>
    <s v="CohortTrend+Seasonal(1.169)"/>
    <n v="358374.40000000002"/>
    <n v="310242.44"/>
    <n v="48131.96"/>
    <x v="1"/>
    <n v="23144.85"/>
    <n v="0.78500000000000003"/>
    <n v="0.24"/>
    <n v="18168.71"/>
    <n v="18168.71"/>
    <n v="5554.76"/>
    <n v="292073.74"/>
    <n v="951802.02"/>
    <n v="0.30686400000000003"/>
    <n v="66300.66"/>
    <n v="66300.66"/>
    <n v="46868.32"/>
    <n v="113168.99"/>
    <n v="831645.74"/>
    <s v="Forecast"/>
  </r>
  <r>
    <x v="8"/>
    <x v="1"/>
    <s v="202404"/>
    <n v="26"/>
    <n v="181683.5"/>
    <n v="-6.1257370149747817E-2"/>
    <s v="CohortAvg"/>
    <n v="-1.5188040232948371E-2"/>
    <s v="CohortAvg"/>
    <n v="0.15693312166053261"/>
    <s v="CohortAvg"/>
    <n v="5.0328654238037507E-2"/>
    <s v="CohortAvg_NonZero"/>
    <n v="0"/>
    <s v="CohortAvg"/>
    <n v="0"/>
    <s v="Zero"/>
    <n v="0"/>
    <s v="CohortAvg"/>
    <n v="0"/>
    <s v="CohortAvg"/>
    <n v="0"/>
    <n v="-11129.45"/>
    <n v="-2759.42"/>
    <n v="2376.0100000000002"/>
    <n v="9143.89"/>
    <n v="0"/>
    <n v="0"/>
    <n v="0"/>
    <n v="161026.75"/>
    <n v="0.190745"/>
    <n v="1.169"/>
    <n v="0.22298100000000001"/>
    <s v="CohortTrend+Seasonal(1.169)"/>
    <n v="35905.89"/>
    <n v="34322.29"/>
    <n v="1583.6"/>
    <x v="1"/>
    <n v="9143.89"/>
    <n v="0.78500000000000003"/>
    <n v="0.24"/>
    <n v="7177.95"/>
    <n v="7177.95"/>
    <n v="2194.5300000000002"/>
    <n v="27144.34"/>
    <n v="172539.61"/>
    <n v="0.15732199999999999"/>
    <n v="8761.5499999999993"/>
    <n v="8761.5499999999993"/>
    <n v="18516.37"/>
    <n v="27277.91"/>
    <n v="133748.84"/>
    <s v="Forecast"/>
  </r>
  <r>
    <x v="8"/>
    <x v="1"/>
    <s v="202405"/>
    <n v="25"/>
    <n v="344272.61"/>
    <n v="-1.378435156925055E-2"/>
    <s v="CohortAvg"/>
    <n v="-1.2769302680143389E-2"/>
    <s v="CohortAvg"/>
    <n v="0.14820650708151911"/>
    <s v="CohortAvg"/>
    <n v="6.8343078955677775E-2"/>
    <s v="CohortAvg_NonZero"/>
    <n v="6.6640762552635782E-7"/>
    <s v="CohortAvg"/>
    <n v="0"/>
    <s v="Zero"/>
    <n v="0"/>
    <s v="CohortAvg"/>
    <n v="0"/>
    <s v="CohortAvg"/>
    <n v="0"/>
    <n v="-4745.57"/>
    <n v="-4396.12"/>
    <n v="4251.95"/>
    <n v="23528.65"/>
    <n v="0.23"/>
    <n v="0"/>
    <n v="0"/>
    <n v="315853.98"/>
    <n v="0.28809200000000001"/>
    <n v="1.169"/>
    <n v="0.336779"/>
    <s v="CohortTrend+Seasonal(1.169)"/>
    <n v="106373.02"/>
    <n v="95568.29"/>
    <n v="10804.73"/>
    <x v="1"/>
    <n v="23528.65"/>
    <n v="0.78500000000000003"/>
    <n v="0.24"/>
    <n v="18469.990000000002"/>
    <n v="18469.990000000002"/>
    <n v="5646.88"/>
    <n v="77098.3"/>
    <n v="320743.96000000002"/>
    <n v="0.240373"/>
    <n v="29274.720000000001"/>
    <n v="29274.95"/>
    <n v="47645.52"/>
    <n v="76920.460000000006"/>
    <n v="238933.52"/>
    <s v="Forecast"/>
  </r>
  <r>
    <x v="8"/>
    <x v="1"/>
    <s v="202406"/>
    <n v="24"/>
    <n v="196926.38"/>
    <n v="-1.6342249224225509E-2"/>
    <s v="CohortAvg"/>
    <n v="-1.493394000953603E-2"/>
    <s v="CohortAvg"/>
    <n v="0.1785053884484363"/>
    <s v="CohortAvg"/>
    <n v="5.620844502272148E-2"/>
    <s v="CohortAvg_NonZero"/>
    <n v="0"/>
    <s v="CohortAvg"/>
    <n v="0"/>
    <s v="Zero"/>
    <n v="0"/>
    <s v="CohortAvg"/>
    <n v="0"/>
    <s v="CohortAvg"/>
    <n v="0"/>
    <n v="-3218.22"/>
    <n v="-2940.89"/>
    <n v="2929.37"/>
    <n v="11068.93"/>
    <n v="0"/>
    <n v="0"/>
    <n v="0"/>
    <n v="182627.72"/>
    <n v="0.204906"/>
    <n v="1.169"/>
    <n v="0.239534"/>
    <s v="CohortTrend+Seasonal(1.169)"/>
    <n v="43745.63"/>
    <n v="39073.31"/>
    <n v="4672.32"/>
    <x v="1"/>
    <n v="11068.93"/>
    <n v="0.78500000000000003"/>
    <n v="0.24"/>
    <n v="8689.11"/>
    <n v="8689.11"/>
    <n v="2656.54"/>
    <n v="30384.2"/>
    <n v="185857.46"/>
    <n v="0.16348099999999999"/>
    <n v="13361.43"/>
    <n v="13361.43"/>
    <n v="22414.57"/>
    <n v="35776.01"/>
    <n v="146851.71"/>
    <s v="Forecast"/>
  </r>
  <r>
    <x v="8"/>
    <x v="1"/>
    <s v="202407"/>
    <n v="23"/>
    <n v="282565.59000000003"/>
    <n v="-4.206022444503444E-2"/>
    <s v="CohortAvg"/>
    <n v="-1.5310561462518741E-2"/>
    <s v="CohortAvg"/>
    <n v="0.16949163355623381"/>
    <s v="CohortAvg"/>
    <n v="8.2761551975630079E-2"/>
    <s v="CohortAvg_NonZero"/>
    <n v="0"/>
    <s v="CohortAvg"/>
    <n v="0"/>
    <s v="Zero"/>
    <n v="0"/>
    <s v="CohortAvg"/>
    <n v="0"/>
    <s v="CohortAvg"/>
    <n v="0"/>
    <n v="-11884.77"/>
    <n v="-4326.24"/>
    <n v="3991.04"/>
    <n v="23385.57"/>
    <n v="0"/>
    <n v="0"/>
    <n v="0"/>
    <n v="246960.05"/>
    <n v="0.19515299999999999"/>
    <n v="1.169"/>
    <n v="0.228133"/>
    <s v="CohortTrend+Seasonal(1.169)"/>
    <n v="56339.72"/>
    <n v="53924.22"/>
    <n v="2415.5"/>
    <x v="1"/>
    <n v="23385.57"/>
    <n v="0.78500000000000003"/>
    <n v="0.24"/>
    <n v="18357.669999999998"/>
    <n v="18357.669999999998"/>
    <n v="5612.54"/>
    <n v="35566.550000000003"/>
    <n v="259180.02"/>
    <n v="0.13722699999999999"/>
    <n v="20773.169999999998"/>
    <n v="20773.169999999998"/>
    <n v="47355.77"/>
    <n v="68128.94"/>
    <n v="178831.11"/>
    <s v="Forecast"/>
  </r>
  <r>
    <x v="8"/>
    <x v="1"/>
    <s v="202408"/>
    <n v="22"/>
    <n v="302404.37"/>
    <n v="-5.9612010646655382E-2"/>
    <s v="CohortAvg"/>
    <n v="-1.651893392572432E-2"/>
    <s v="CohortAvg"/>
    <n v="0.18300312783430209"/>
    <s v="CohortAvg"/>
    <n v="0.1104761026857973"/>
    <s v="CohortAvg_NonZero"/>
    <n v="2.130145664038947E-9"/>
    <s v="CohortAvg"/>
    <n v="0"/>
    <s v="Zero"/>
    <n v="0"/>
    <s v="CohortAvg"/>
    <n v="0"/>
    <s v="CohortAvg"/>
    <n v="0"/>
    <n v="-18026.93"/>
    <n v="-4995.3999999999996"/>
    <n v="4611.75"/>
    <n v="33408.46"/>
    <n v="0"/>
    <n v="0"/>
    <n v="0"/>
    <n v="250585.33"/>
    <n v="0.198326"/>
    <n v="1.169"/>
    <n v="0.23184299999999999"/>
    <s v="CohortTrend+Seasonal(1.169)"/>
    <n v="58096.49"/>
    <n v="58494.8"/>
    <n v="-398.31"/>
    <x v="1"/>
    <n v="33408.46"/>
    <n v="0.78500000000000003"/>
    <n v="0.24"/>
    <n v="26225.64"/>
    <n v="26225.64"/>
    <n v="8018.03"/>
    <n v="32269.16"/>
    <n v="268995.90999999997"/>
    <n v="0.119962"/>
    <n v="25827.33"/>
    <n v="25827.33"/>
    <n v="67652.12"/>
    <n v="93479.45"/>
    <n v="157105.87"/>
    <s v="Forecast"/>
  </r>
  <r>
    <x v="8"/>
    <x v="1"/>
    <s v="202409"/>
    <n v="21"/>
    <n v="434606.94"/>
    <n v="-3.9567955135001887E-2"/>
    <s v="CohortAvg"/>
    <n v="-1.510131900772267E-2"/>
    <s v="CohortAvg"/>
    <n v="0.1825981486383883"/>
    <s v="CohortAvg"/>
    <n v="3.1688633169805587E-2"/>
    <s v="CohortAvg_NonZero"/>
    <n v="0"/>
    <s v="CohortAvg"/>
    <n v="0"/>
    <s v="Zero"/>
    <n v="0"/>
    <s v="CohortAvg"/>
    <n v="0"/>
    <s v="CohortAvg"/>
    <n v="0"/>
    <n v="-17196.509999999998"/>
    <n v="-6563.14"/>
    <n v="6613.2"/>
    <n v="13772.1"/>
    <n v="0"/>
    <n v="0"/>
    <n v="0"/>
    <n v="403688.4"/>
    <n v="0.208597"/>
    <n v="1.169"/>
    <n v="0.24384900000000001"/>
    <s v="CohortTrend+Seasonal(1.169)"/>
    <n v="98439.17"/>
    <n v="86945"/>
    <n v="11494.16"/>
    <x v="1"/>
    <n v="13772.1"/>
    <n v="0.78500000000000003"/>
    <n v="0.24"/>
    <n v="10811.1"/>
    <n v="10811.1"/>
    <n v="3305.3"/>
    <n v="76133.899999999994"/>
    <n v="420834.84"/>
    <n v="0.18091199999999999"/>
    <n v="22305.26"/>
    <n v="22305.26"/>
    <n v="27888.5"/>
    <n v="50193.760000000002"/>
    <n v="353494.63"/>
    <s v="Forecast"/>
  </r>
  <r>
    <x v="8"/>
    <x v="1"/>
    <s v="202410"/>
    <n v="20"/>
    <n v="365444.26"/>
    <n v="-1.3540122311454921E-2"/>
    <s v="CohortAvg"/>
    <n v="-1.8117780343746111E-2"/>
    <s v="CohortAvg"/>
    <n v="0.18791561921414279"/>
    <s v="CohortAvg"/>
    <n v="3.5378707903637389E-2"/>
    <s v="CohortAvg_NonZero"/>
    <n v="9.3457428676006862E-7"/>
    <s v="CohortAvg"/>
    <n v="0"/>
    <s v="Zero"/>
    <n v="0"/>
    <s v="CohortAvg"/>
    <n v="0"/>
    <s v="CohortAvg"/>
    <n v="0"/>
    <n v="-4948.16"/>
    <n v="-6621.04"/>
    <n v="5722.72"/>
    <n v="12928.95"/>
    <n v="0.34"/>
    <n v="0"/>
    <n v="0"/>
    <n v="346668.5"/>
    <n v="0.20139399999999999"/>
    <n v="1.169"/>
    <n v="0.235429"/>
    <s v="CohortTrend+Seasonal(1.169)"/>
    <n v="81615.86"/>
    <n v="68822.63"/>
    <n v="12793.23"/>
    <x v="1"/>
    <n v="12928.95"/>
    <n v="0.78500000000000003"/>
    <n v="0.24"/>
    <n v="10149.219999999999"/>
    <n v="10149.219999999999"/>
    <n v="3102.95"/>
    <n v="58673.41"/>
    <n v="352515.32"/>
    <n v="0.16644200000000001"/>
    <n v="22942.46"/>
    <n v="22942.799999999999"/>
    <n v="26181.119999999999"/>
    <n v="49123.91"/>
    <n v="297544.59000000003"/>
    <s v="Forecast"/>
  </r>
  <r>
    <x v="8"/>
    <x v="1"/>
    <s v="202411"/>
    <n v="19"/>
    <n v="405310.68"/>
    <n v="-4.3015266853957047E-2"/>
    <s v="CohortAvg"/>
    <n v="-1.4807960640211559E-2"/>
    <s v="CohortAvg"/>
    <n v="0.17361062563268681"/>
    <s v="CohortAvg"/>
    <n v="3.3326891056246387E-2"/>
    <s v="CohortAvg_NonZero"/>
    <n v="0"/>
    <s v="CohortAvg"/>
    <n v="0"/>
    <s v="Zero"/>
    <n v="0"/>
    <s v="CohortAvg"/>
    <n v="0"/>
    <s v="CohortAvg"/>
    <n v="0"/>
    <n v="-17434.55"/>
    <n v="-6001.82"/>
    <n v="5863.85"/>
    <n v="13507.75"/>
    <n v="0"/>
    <n v="0"/>
    <n v="0"/>
    <n v="374230.42"/>
    <n v="0.18524499999999999"/>
    <n v="1.169"/>
    <n v="0.21655099999999999"/>
    <s v="DonorCohort:202301+Seasonal(1.169)"/>
    <n v="81039.98"/>
    <n v="66094.06"/>
    <n v="14945.92"/>
    <x v="1"/>
    <n v="13507.75"/>
    <n v="0.78500000000000003"/>
    <n v="0.24"/>
    <n v="10603.58"/>
    <n v="10603.58"/>
    <n v="3241.86"/>
    <n v="55490.48"/>
    <n v="391802.94"/>
    <n v="0.141629"/>
    <n v="25549.5"/>
    <n v="25549.5"/>
    <n v="27353.18"/>
    <n v="52902.68"/>
    <n v="321327.74"/>
    <s v="Forecast"/>
  </r>
  <r>
    <x v="8"/>
    <x v="1"/>
    <s v="202412"/>
    <n v="18"/>
    <n v="31681.14"/>
    <n v="-8.595110390964918E-3"/>
    <s v="CohortAvg"/>
    <n v="-1.244315997995331E-2"/>
    <s v="CohortAvg"/>
    <n v="0.1477224646913306"/>
    <s v="CohortAvg"/>
    <n v="0.2"/>
    <s v="CohortAvg_NonZero"/>
    <n v="0"/>
    <s v="CohortAvg"/>
    <n v="0"/>
    <s v="Zero"/>
    <n v="0"/>
    <s v="CohortAvg"/>
    <n v="0"/>
    <s v="CohortAvg"/>
    <n v="0"/>
    <n v="-272.3"/>
    <n v="-394.21"/>
    <n v="390"/>
    <n v="6336.23"/>
    <n v="0"/>
    <n v="0"/>
    <n v="0"/>
    <n v="25068.400000000001"/>
    <n v="0.16040199999999999"/>
    <n v="1.169"/>
    <n v="0.18751000000000001"/>
    <s v="DonorCohort:202301+Seasonal(1.169)"/>
    <n v="4700.58"/>
    <n v="7084.55"/>
    <n v="-2383.98"/>
    <x v="1"/>
    <n v="6336.23"/>
    <n v="0.78500000000000003"/>
    <n v="0.24"/>
    <n v="4973.9399999999996"/>
    <n v="4973.9399999999996"/>
    <n v="1520.69"/>
    <n v="2110.61"/>
    <n v="25344.91"/>
    <n v="8.3276000000000003E-2"/>
    <n v="2589.96"/>
    <n v="2589.96"/>
    <n v="12830.86"/>
    <n v="15420.83"/>
    <n v="9647.57"/>
    <s v="Forecast"/>
  </r>
  <r>
    <x v="8"/>
    <x v="1"/>
    <s v="202501"/>
    <n v="17"/>
    <n v="53369.57"/>
    <n v="-1.524938149563229E-2"/>
    <s v="CohortAvg"/>
    <n v="-1.7513472121917621E-2"/>
    <s v="CohortAvg"/>
    <n v="0.20439839419754491"/>
    <s v="CohortAvg"/>
    <n v="0"/>
    <s v="CohortAvg_NoData_ERROR"/>
    <n v="0"/>
    <s v="CohortAvg"/>
    <n v="0"/>
    <s v="Zero"/>
    <n v="0"/>
    <s v="CohortAvg"/>
    <n v="0"/>
    <s v="CohortAvg"/>
    <n v="0"/>
    <n v="-813.85"/>
    <n v="-934.69"/>
    <n v="909.05"/>
    <n v="0"/>
    <n v="0"/>
    <n v="0"/>
    <n v="0"/>
    <n v="52530.080000000002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53369.57"/>
    <n v="0"/>
    <n v="0"/>
    <n v="0"/>
    <n v="0"/>
    <n v="0"/>
    <n v="52530.080000000002"/>
    <s v="Forecast"/>
  </r>
  <r>
    <x v="8"/>
    <x v="1"/>
    <s v="202502"/>
    <n v="16"/>
    <n v="112980.18"/>
    <n v="-1.3747123444540359E-2"/>
    <s v="CohortAvg"/>
    <n v="-1.8774284156533521E-2"/>
    <s v="CohortAvg"/>
    <n v="0.1942568816682391"/>
    <s v="CohortAvg"/>
    <n v="0"/>
    <s v="CohortAvg_NoData_ERROR"/>
    <n v="0"/>
    <s v="CohortAvg"/>
    <n v="0"/>
    <s v="Zero"/>
    <n v="0"/>
    <s v="CohortAvg"/>
    <n v="0"/>
    <s v="CohortAvg"/>
    <n v="0"/>
    <n v="-1553.15"/>
    <n v="-2121.12"/>
    <n v="1828.93"/>
    <n v="0"/>
    <n v="0"/>
    <n v="0"/>
    <n v="0"/>
    <n v="111134.84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112980.18"/>
    <n v="0"/>
    <n v="0"/>
    <n v="0"/>
    <n v="0"/>
    <n v="0"/>
    <n v="111134.84"/>
    <s v="Forecast"/>
  </r>
  <r>
    <x v="8"/>
    <x v="1"/>
    <s v="202503"/>
    <n v="15"/>
    <n v="78767.350000000006"/>
    <n v="-9.8319214844815248E-3"/>
    <s v="CohortAvg"/>
    <n v="-1.4019536869299271E-2"/>
    <s v="CohortAvg"/>
    <n v="0.20822521251863221"/>
    <s v="CohortAvg"/>
    <n v="0"/>
    <s v="CohortAvg_NoData_ERROR"/>
    <n v="0"/>
    <s v="CohortAvg"/>
    <n v="0"/>
    <s v="Zero"/>
    <n v="0"/>
    <s v="CohortAvg"/>
    <n v="0"/>
    <s v="CohortAvg"/>
    <n v="0"/>
    <n v="-774.43"/>
    <n v="-1104.28"/>
    <n v="1366.78"/>
    <n v="0"/>
    <n v="0"/>
    <n v="0"/>
    <n v="0"/>
    <n v="78255.42"/>
    <n v="0.140157"/>
    <n v="1.169"/>
    <n v="0.16384299999999999"/>
    <s v="DonorCohort:202301+Seasonal(1.169)"/>
    <n v="12821.64"/>
    <n v="9895.76"/>
    <n v="2925.88"/>
    <x v="1"/>
    <n v="0"/>
    <n v="0.78500000000000003"/>
    <n v="0.24"/>
    <n v="0"/>
    <n v="0"/>
    <n v="0"/>
    <n v="9895.76"/>
    <n v="78767.350000000006"/>
    <n v="0.12563299999999999"/>
    <n v="2925.88"/>
    <n v="2925.88"/>
    <n v="0"/>
    <n v="2925.88"/>
    <n v="75329.53"/>
    <s v="Forecast"/>
  </r>
  <r>
    <x v="8"/>
    <x v="1"/>
    <s v="202504"/>
    <n v="14"/>
    <n v="53166.25"/>
    <n v="-2.068325282917205E-2"/>
    <s v="CohortAvg"/>
    <n v="-1.6748355796659019E-2"/>
    <s v="CohortAvg"/>
    <n v="0.20232407554648699"/>
    <s v="CohortAvg"/>
    <n v="0"/>
    <s v="CohortAvg_NoData_ERROR"/>
    <n v="0"/>
    <s v="CohortAvg"/>
    <n v="0"/>
    <s v="Zero"/>
    <n v="0"/>
    <s v="CohortAvg"/>
    <n v="0"/>
    <s v="CohortAvg"/>
    <n v="0"/>
    <n v="-1099.6500000000001"/>
    <n v="-890.45"/>
    <n v="896.4"/>
    <n v="0"/>
    <n v="0"/>
    <n v="0"/>
    <n v="0"/>
    <n v="52072.55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53166.25"/>
    <n v="0"/>
    <n v="0"/>
    <n v="0"/>
    <n v="0"/>
    <n v="0"/>
    <n v="52072.55"/>
    <s v="Forecast"/>
  </r>
  <r>
    <x v="8"/>
    <x v="1"/>
    <s v="202505"/>
    <n v="13"/>
    <n v="15495.92"/>
    <n v="-9.8120356345640317E-3"/>
    <s v="CohortAvg"/>
    <n v="-1.6022615397147871E-2"/>
    <s v="CohortAvg"/>
    <n v="0.19370712365806239"/>
    <s v="CohortAvg"/>
    <n v="0"/>
    <s v="CohortAvg_NoData_ERROR"/>
    <n v="0"/>
    <s v="CohortAvg"/>
    <n v="0"/>
    <s v="Zero"/>
    <n v="0"/>
    <s v="CohortAvg"/>
    <n v="0"/>
    <s v="CohortAvg"/>
    <n v="0"/>
    <n v="-152.05000000000001"/>
    <n v="-248.29"/>
    <n v="250.14"/>
    <n v="0"/>
    <n v="0"/>
    <n v="0"/>
    <n v="0"/>
    <n v="15345.73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15495.92"/>
    <n v="0"/>
    <n v="0"/>
    <n v="0"/>
    <n v="0"/>
    <n v="0"/>
    <n v="15345.73"/>
    <s v="Forecast"/>
  </r>
  <r>
    <x v="8"/>
    <x v="1"/>
    <s v="202506"/>
    <n v="12"/>
    <n v="27695.37"/>
    <n v="-1.353169598364515E-2"/>
    <s v="CohortAvg"/>
    <n v="-1.599761929641319E-2"/>
    <s v="CohortAvg"/>
    <n v="0.1858626670595829"/>
    <s v="CohortAvg"/>
    <n v="0"/>
    <s v="CohortAvg_NoData_ERROR"/>
    <n v="0"/>
    <s v="CohortAvg"/>
    <n v="0"/>
    <s v="Zero"/>
    <n v="0"/>
    <s v="CohortAvg"/>
    <n v="0"/>
    <s v="CohortAvg"/>
    <n v="0"/>
    <n v="-374.77"/>
    <n v="-443.06"/>
    <n v="428.96"/>
    <n v="0"/>
    <n v="0"/>
    <n v="0"/>
    <n v="0"/>
    <n v="27306.51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27695.37"/>
    <n v="0"/>
    <n v="0"/>
    <n v="0"/>
    <n v="0"/>
    <n v="0"/>
    <n v="27306.51"/>
    <s v="Forecast"/>
  </r>
  <r>
    <x v="8"/>
    <x v="1"/>
    <s v="202507"/>
    <n v="11"/>
    <n v="107932.89"/>
    <n v="-1.0597214007583389E-2"/>
    <s v="CohortAvg"/>
    <n v="-1.7104004832270571E-2"/>
    <s v="CohortAvg"/>
    <n v="0.18947531814406449"/>
    <s v="CohortAvg"/>
    <n v="0"/>
    <s v="CohortAvg_NoData_ERROR"/>
    <n v="0"/>
    <s v="CohortAvg"/>
    <n v="0"/>
    <s v="Zero"/>
    <n v="0"/>
    <s v="CohortAvg"/>
    <n v="0"/>
    <s v="CohortAvg"/>
    <n v="0"/>
    <n v="-1143.79"/>
    <n v="-1846.08"/>
    <n v="1704.22"/>
    <n v="0"/>
    <n v="0"/>
    <n v="0"/>
    <n v="0"/>
    <n v="106647.23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107932.89"/>
    <n v="0"/>
    <n v="0"/>
    <n v="0"/>
    <n v="0"/>
    <n v="0"/>
    <n v="106647.23"/>
    <s v="Forecast"/>
  </r>
  <r>
    <x v="8"/>
    <x v="1"/>
    <s v="202508"/>
    <n v="10"/>
    <n v="44532.61"/>
    <n v="-1.3409445564932281E-2"/>
    <s v="CohortAvg"/>
    <n v="-1.347775034933554E-2"/>
    <s v="CohortAvg"/>
    <n v="0.16591318878629011"/>
    <s v="CohortAvg"/>
    <n v="0"/>
    <s v="CohortAvg_NoData_ERROR"/>
    <n v="0"/>
    <s v="CohortAvg"/>
    <n v="0"/>
    <s v="Zero"/>
    <n v="0"/>
    <s v="CohortAvg"/>
    <n v="0"/>
    <s v="CohortAvg"/>
    <n v="0"/>
    <n v="-597.16"/>
    <n v="-600.20000000000005"/>
    <n v="615.71"/>
    <n v="0"/>
    <n v="0"/>
    <n v="0"/>
    <n v="0"/>
    <n v="43950.97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44532.61"/>
    <n v="0"/>
    <n v="0"/>
    <n v="0"/>
    <n v="0"/>
    <n v="0"/>
    <n v="43950.97"/>
    <s v="Forecast"/>
  </r>
  <r>
    <x v="8"/>
    <x v="1"/>
    <s v="202509"/>
    <n v="9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8"/>
    <x v="2"/>
    <s v="202101"/>
    <n v="65"/>
    <n v="655552.5"/>
    <n v="-0.18934632174258381"/>
    <s v="CohortAvg"/>
    <n v="-1.406927934161846E-2"/>
    <s v="CohortAvg"/>
    <n v="0.15344764680836889"/>
    <s v="CohortAvg"/>
    <n v="1.7791551249637091E-2"/>
    <s v="CohortAvg_NonZero"/>
    <n v="0"/>
    <s v="CohortAvg"/>
    <n v="0"/>
    <s v="Zero"/>
    <n v="0"/>
    <s v="CohortAvg"/>
    <n v="0"/>
    <s v="CohortAvg"/>
    <n v="0"/>
    <n v="-124126.46"/>
    <n v="-9223.15"/>
    <n v="8382.75"/>
    <n v="11663.3"/>
    <n v="0"/>
    <n v="0"/>
    <n v="0"/>
    <n v="518922.35"/>
    <n v="0.260878"/>
    <n v="0.94869999999999999"/>
    <n v="0.24748999999999999"/>
    <s v="CohortAvg+Seasonal(0.949)"/>
    <n v="128427.89"/>
    <n v="152104"/>
    <n v="-23676.11"/>
    <x v="1"/>
    <n v="11663.3"/>
    <n v="0.78500000000000003"/>
    <n v="0.24"/>
    <n v="9155.69"/>
    <n v="9155.69"/>
    <n v="2799.19"/>
    <n v="142948.31"/>
    <n v="643889.21"/>
    <n v="0.22200800000000001"/>
    <n v="-14520.42"/>
    <n v="-14520.42"/>
    <n v="23618.17"/>
    <n v="9097.76"/>
    <n v="509824.59"/>
    <s v="Forecast"/>
  </r>
  <r>
    <x v="8"/>
    <x v="2"/>
    <s v="202201"/>
    <n v="45"/>
    <n v="100900.14"/>
    <n v="-6.5524814814601595E-2"/>
    <s v="CohortAvg"/>
    <n v="-1.3430748110018121E-2"/>
    <s v="CohortAvg"/>
    <n v="0.14956226534810371"/>
    <s v="CohortAvg"/>
    <n v="3.3664691336021513E-2"/>
    <s v="CohortAvg_NonZero"/>
    <n v="3.7882860095824151E-7"/>
    <s v="CohortAvg"/>
    <n v="0"/>
    <s v="Zero"/>
    <n v="-2.8008174584291021E-5"/>
    <s v="CohortAvg"/>
    <n v="-1.2645188859252291E-7"/>
    <s v="CohortAvg"/>
    <n v="0"/>
    <n v="-6611.46"/>
    <n v="-1355.16"/>
    <n v="1257.57"/>
    <n v="3396.77"/>
    <n v="0.04"/>
    <n v="-2.83"/>
    <n v="-0.01"/>
    <n v="90794.27"/>
    <n v="0.186753"/>
    <n v="0.94869999999999999"/>
    <n v="0.17716899999999999"/>
    <s v="CohortAvg+Seasonal(0.949)"/>
    <n v="16085.93"/>
    <n v="16941.330000000002"/>
    <n v="-855.4"/>
    <x v="1"/>
    <n v="3396.77"/>
    <n v="0.78500000000000003"/>
    <n v="0.24"/>
    <n v="2666.47"/>
    <n v="2666.47"/>
    <n v="815.23"/>
    <n v="14274.86"/>
    <n v="97503.37"/>
    <n v="0.14640400000000001"/>
    <n v="1811.06"/>
    <n v="1811.1"/>
    <n v="6878.46"/>
    <n v="8689.57"/>
    <n v="82104.710000000006"/>
    <s v="Forecast"/>
  </r>
  <r>
    <x v="8"/>
    <x v="2"/>
    <s v="202301"/>
    <n v="36"/>
    <n v="8116609.1600000001"/>
    <n v="-3.6962907577868298E-2"/>
    <s v="CohortAvg"/>
    <n v="-1.5343983647652489E-2"/>
    <s v="CohortAvg"/>
    <n v="0.17418817063385289"/>
    <s v="CohortAvg"/>
    <n v="1.842319599523063E-2"/>
    <s v="CohortAvg_NonZero"/>
    <n v="1.9600640593415331E-7"/>
    <s v="CohortAvg"/>
    <n v="0"/>
    <s v="Zero"/>
    <n v="-5.7152971966147688E-4"/>
    <s v="CohortAvg"/>
    <n v="-1.3854942078455999E-6"/>
    <s v="CohortAvg"/>
    <n v="0"/>
    <n v="-300013.46999999997"/>
    <n v="-124541.12"/>
    <n v="117818.11"/>
    <n v="149533.88"/>
    <n v="1.59"/>
    <n v="-4638.88"/>
    <n v="-11.25"/>
    <n v="7660337.21"/>
    <n v="0.21004400000000001"/>
    <n v="0.94869999999999999"/>
    <n v="0.199265"/>
    <s v="CohortTrend+Seasonal(0.949)"/>
    <n v="1526433.31"/>
    <n v="1468583.99"/>
    <n v="57849.32"/>
    <x v="1"/>
    <n v="149533.88"/>
    <n v="0.78500000000000003"/>
    <n v="0.24"/>
    <n v="117384.1"/>
    <n v="117384.1"/>
    <n v="35888.129999999997"/>
    <n v="1351199.89"/>
    <n v="7967075.2800000003"/>
    <n v="0.169598"/>
    <n v="175233.41"/>
    <n v="175235.01"/>
    <n v="302806.11"/>
    <n v="478041.12"/>
    <n v="7182296.0899999999"/>
    <s v="Forecast"/>
  </r>
  <r>
    <x v="8"/>
    <x v="2"/>
    <s v="202404"/>
    <n v="26"/>
    <n v="2042830.81"/>
    <n v="-4.2240172295667712E-2"/>
    <s v="CohortAvg"/>
    <n v="-1.6038539772416819E-2"/>
    <s v="CohortAvg"/>
    <n v="0.17605820762310881"/>
    <s v="CohortAvg"/>
    <n v="2.1609223889343929E-2"/>
    <s v="CohortAvg_NonZero"/>
    <n v="7.7350512591577734E-7"/>
    <s v="CohortAvg"/>
    <n v="0"/>
    <s v="Zero"/>
    <n v="-2.700149741307307E-3"/>
    <s v="CohortAvg"/>
    <n v="-1.432061769305276E-5"/>
    <s v="CohortAvg"/>
    <n v="0"/>
    <n v="-86289.53"/>
    <n v="-32764.02"/>
    <n v="29971.43"/>
    <n v="44143.99"/>
    <n v="1.58"/>
    <n v="-5515.95"/>
    <n v="-29.25"/>
    <n v="1909603.12"/>
    <n v="0.1565"/>
    <n v="0.94869999999999999"/>
    <n v="0.14846799999999999"/>
    <s v="CohortTrend+Seasonal(0.949)"/>
    <n v="283514.56"/>
    <n v="275137.17"/>
    <n v="8377.39"/>
    <x v="1"/>
    <n v="44143.99"/>
    <n v="0.78500000000000003"/>
    <n v="0.24"/>
    <n v="34653.03"/>
    <n v="34653.03"/>
    <n v="10594.56"/>
    <n v="240484.14"/>
    <n v="1998686.82"/>
    <n v="0.120321"/>
    <n v="43030.42"/>
    <n v="43032"/>
    <n v="89391.58"/>
    <n v="132423.57"/>
    <n v="1777179.54"/>
    <s v="Forecast"/>
  </r>
  <r>
    <x v="8"/>
    <x v="2"/>
    <s v="202405"/>
    <n v="25"/>
    <n v="2123306.9700000002"/>
    <n v="-1.976172285849731E-2"/>
    <s v="CohortAvg"/>
    <n v="-1.5129086403865699E-2"/>
    <s v="CohortAvg"/>
    <n v="0.17367120256386109"/>
    <s v="CohortAvg"/>
    <n v="3.0945004062718051E-2"/>
    <s v="CohortAvg_NonZero"/>
    <n v="9.3640052137342181E-7"/>
    <s v="CohortAvg"/>
    <n v="0"/>
    <s v="Zero"/>
    <n v="-5.6913215730326231E-3"/>
    <s v="CohortAvg"/>
    <n v="-3.5338352836712497E-5"/>
    <s v="CohortAvg"/>
    <n v="0"/>
    <n v="-41960.2"/>
    <n v="-32123.69"/>
    <n v="30729.77"/>
    <n v="65705.740000000005"/>
    <n v="1.99"/>
    <n v="-12084.42"/>
    <n v="-75.03"/>
    <n v="2014245.12"/>
    <n v="0.132797"/>
    <n v="0.94869999999999999"/>
    <n v="0.12598100000000001"/>
    <s v="CohortTrend+Seasonal(0.949)"/>
    <n v="253757.38"/>
    <n v="242642.53"/>
    <n v="11114.85"/>
    <x v="1"/>
    <n v="65705.740000000005"/>
    <n v="0.78500000000000003"/>
    <n v="0.24"/>
    <n v="51579.01"/>
    <n v="51579.01"/>
    <n v="15769.38"/>
    <n v="191063.52"/>
    <n v="2057601.23"/>
    <n v="9.2856999999999995E-2"/>
    <n v="62693.86"/>
    <n v="62695.85"/>
    <n v="133054.13"/>
    <n v="195749.98"/>
    <n v="1818495.14"/>
    <s v="Forecast"/>
  </r>
  <r>
    <x v="8"/>
    <x v="2"/>
    <s v="202406"/>
    <n v="24"/>
    <n v="1804259.51"/>
    <n v="-2.7884169620395669E-2"/>
    <s v="CohortAvg"/>
    <n v="-1.510561525735523E-2"/>
    <s v="CohortAvg"/>
    <n v="0.1722815866948936"/>
    <s v="CohortAvg"/>
    <n v="6.0329624165931829E-2"/>
    <s v="CohortAvg_NonZero"/>
    <n v="8.1038144133561703E-7"/>
    <s v="CohortAvg"/>
    <n v="0"/>
    <s v="Zero"/>
    <n v="-3.7623838802106988E-3"/>
    <s v="CohortAvg"/>
    <n v="-5.5128942410741233E-5"/>
    <s v="CohortAvg"/>
    <n v="0"/>
    <n v="-50310.28"/>
    <n v="-27254.45"/>
    <n v="25903.39"/>
    <n v="108850.3"/>
    <n v="1.46"/>
    <n v="-6788.32"/>
    <n v="-99.47"/>
    <n v="1643746.41"/>
    <n v="0.13830899999999999"/>
    <n v="0.94869999999999999"/>
    <n v="0.13121099999999999"/>
    <s v="CohortTrend+Seasonal(0.949)"/>
    <n v="215677.65"/>
    <n v="215303.04000000001"/>
    <n v="374.61"/>
    <x v="1"/>
    <n v="108850.3"/>
    <n v="0.78500000000000003"/>
    <n v="0.24"/>
    <n v="85447.48"/>
    <n v="85447.48"/>
    <n v="26124.07"/>
    <n v="129855.56"/>
    <n v="1695409.21"/>
    <n v="7.6591999999999993E-2"/>
    <n v="85822.09"/>
    <n v="85823.55"/>
    <n v="220421.85"/>
    <n v="306245.40999999997"/>
    <n v="1337501.01"/>
    <s v="Forecast"/>
  </r>
  <r>
    <x v="8"/>
    <x v="2"/>
    <s v="202407"/>
    <n v="23"/>
    <n v="3262888.68"/>
    <n v="-2.7311074002745919E-2"/>
    <s v="CohortAvg"/>
    <n v="-1.5632972394629401E-2"/>
    <s v="CohortAvg"/>
    <n v="0.17615441280387259"/>
    <s v="CohortAvg"/>
    <n v="3.0964771393037029E-2"/>
    <s v="CohortAvg_NonZero"/>
    <n v="6.7090700303611958E-6"/>
    <s v="CohortAvg"/>
    <n v="0"/>
    <s v="Zero"/>
    <n v="-4.9913168990862386E-3"/>
    <s v="CohortAvg"/>
    <n v="-4.2557682693625351E-5"/>
    <s v="CohortAvg"/>
    <n v="0"/>
    <n v="-89112.99"/>
    <n v="-51008.65"/>
    <n v="47897.69"/>
    <n v="101034.6"/>
    <n v="21.89"/>
    <n v="-16286.11"/>
    <n v="-138.86000000000001"/>
    <n v="3069608.23"/>
    <n v="0.11641"/>
    <n v="0.94869999999999999"/>
    <n v="0.11043600000000001"/>
    <s v="CohortTrend+Seasonal(0.949)"/>
    <n v="338994.36"/>
    <n v="326258.90000000002"/>
    <n v="12735.46"/>
    <x v="1"/>
    <n v="101034.6"/>
    <n v="0.78500000000000003"/>
    <n v="0.24"/>
    <n v="79312.160000000003"/>
    <n v="79312.160000000003"/>
    <n v="24248.3"/>
    <n v="246946.73"/>
    <n v="3161854.07"/>
    <n v="7.8102000000000005E-2"/>
    <n v="92047.63"/>
    <n v="92069.52"/>
    <n v="204595.07"/>
    <n v="296664.59000000003"/>
    <n v="2772943.64"/>
    <s v="Forecast"/>
  </r>
  <r>
    <x v="8"/>
    <x v="2"/>
    <s v="202408"/>
    <n v="22"/>
    <n v="2314675.89"/>
    <n v="-2.4290196154890011E-2"/>
    <s v="CohortAvg"/>
    <n v="-1.6465941019743881E-2"/>
    <s v="CohortAvg"/>
    <n v="0.18828250849034511"/>
    <s v="CohortAvg"/>
    <n v="2.1035621675330671E-2"/>
    <s v="CohortAvg_NonZero"/>
    <n v="3.2944151320606729E-7"/>
    <s v="CohortAvg"/>
    <n v="0"/>
    <s v="Zero"/>
    <n v="-2.846608727241406E-3"/>
    <s v="CohortAvg"/>
    <n v="-2.9981073522810561E-5"/>
    <s v="CohortAvg"/>
    <n v="0"/>
    <n v="-56223.93"/>
    <n v="-38113.32"/>
    <n v="36317.75"/>
    <n v="48690.65"/>
    <n v="0.76"/>
    <n v="-6588.98"/>
    <n v="-69.400000000000006"/>
    <n v="2207964.98"/>
    <n v="0.11276700000000001"/>
    <n v="0.94869999999999999"/>
    <n v="0.10698000000000001"/>
    <s v="CohortTrend+Seasonal(0.949)"/>
    <n v="236208.04"/>
    <n v="222317.7"/>
    <n v="13890.34"/>
    <x v="1"/>
    <n v="48690.65"/>
    <n v="0.78500000000000003"/>
    <n v="0.24"/>
    <n v="38222.160000000003"/>
    <n v="38222.160000000003"/>
    <n v="11685.76"/>
    <n v="184095.54"/>
    <n v="2265985.2400000002"/>
    <n v="8.1242999999999996E-2"/>
    <n v="52112.49"/>
    <n v="52113.26"/>
    <n v="98598.56"/>
    <n v="150711.82"/>
    <n v="2057253.17"/>
    <s v="Forecast"/>
  </r>
  <r>
    <x v="8"/>
    <x v="2"/>
    <s v="202409"/>
    <n v="21"/>
    <n v="2183309.52"/>
    <n v="-3.2510080195632569E-2"/>
    <s v="CohortAvg"/>
    <n v="-1.672083996880349E-2"/>
    <s v="CohortAvg"/>
    <n v="0.18557348863554871"/>
    <s v="CohortAvg"/>
    <n v="3.394435923239101E-2"/>
    <s v="CohortAvg_NonZero"/>
    <n v="7.8937278255158583E-6"/>
    <s v="CohortAvg"/>
    <n v="0"/>
    <s v="Zero"/>
    <n v="-1.2047661797344841E-2"/>
    <s v="CohortAvg"/>
    <n v="-9.8249261130850857E-5"/>
    <s v="CohortAvg"/>
    <n v="0"/>
    <n v="-70979.570000000007"/>
    <n v="-36506.769999999997"/>
    <n v="33763.699999999997"/>
    <n v="74111.039999999994"/>
    <n v="17.23"/>
    <n v="-26303.77"/>
    <n v="-214.51"/>
    <n v="2035458.6"/>
    <n v="9.8894999999999997E-2"/>
    <n v="0.94869999999999999"/>
    <n v="9.3820000000000001E-2"/>
    <s v="CohortTrend+Seasonal(0.949)"/>
    <n v="190966.12"/>
    <n v="183906.87"/>
    <n v="7059.26"/>
    <x v="1"/>
    <n v="74111.039999999994"/>
    <n v="0.78500000000000003"/>
    <n v="0.24"/>
    <n v="58177.17"/>
    <n v="58177.17"/>
    <n v="17786.650000000001"/>
    <n v="125729.7"/>
    <n v="2109198.48"/>
    <n v="5.9610000000000003E-2"/>
    <n v="65236.43"/>
    <n v="65253.66"/>
    <n v="150074.85999999999"/>
    <n v="215328.52"/>
    <n v="1820130.08"/>
    <s v="Forecast"/>
  </r>
  <r>
    <x v="8"/>
    <x v="2"/>
    <s v="202410"/>
    <n v="20"/>
    <n v="2072155.09"/>
    <n v="-3.9963839330450078E-2"/>
    <s v="CohortAvg"/>
    <n v="-1.6676014929156161E-2"/>
    <s v="CohortAvg"/>
    <n v="0.18241693692212499"/>
    <s v="CohortAvg"/>
    <n v="2.8167941600395069E-2"/>
    <s v="CohortAvg_NonZero"/>
    <n v="1.50885594684116E-6"/>
    <s v="CohortAvg"/>
    <n v="0"/>
    <s v="Zero"/>
    <n v="-7.7795890124047083E-3"/>
    <s v="CohortAvg"/>
    <n v="-1.1372047016266411E-4"/>
    <s v="CohortAvg"/>
    <n v="0"/>
    <n v="-82811.27"/>
    <n v="-34555.29"/>
    <n v="31499.68"/>
    <n v="58368.34"/>
    <n v="3.13"/>
    <n v="-16120.51"/>
    <n v="-235.65"/>
    <n v="1927916.74"/>
    <n v="9.3007000000000006E-2"/>
    <n v="0.94869999999999999"/>
    <n v="8.8234000000000007E-2"/>
    <s v="CohortTrend+Seasonal(0.949)"/>
    <n v="170108.08"/>
    <n v="177258.48"/>
    <n v="-7150.4"/>
    <x v="1"/>
    <n v="58368.34"/>
    <n v="0.78500000000000003"/>
    <n v="0.24"/>
    <n v="45819.15"/>
    <n v="45819.15"/>
    <n v="14008.4"/>
    <n v="131439.32999999999"/>
    <n v="2013786.75"/>
    <n v="6.5269999999999995E-2"/>
    <n v="38668.75"/>
    <n v="38671.879999999997"/>
    <n v="118195.9"/>
    <n v="156867.78"/>
    <n v="1771048.96"/>
    <s v="Forecast"/>
  </r>
  <r>
    <x v="8"/>
    <x v="2"/>
    <s v="202411"/>
    <n v="19"/>
    <n v="2341646.4900000002"/>
    <n v="-3.6771064026844012E-2"/>
    <s v="CohortAvg"/>
    <n v="-1.7504344499903381E-2"/>
    <s v="CohortAvg"/>
    <n v="0.1905160249883121"/>
    <s v="CohortAvg"/>
    <n v="2.12370847022595E-2"/>
    <s v="CohortAvg_NonZero"/>
    <n v="2.4498909575209271E-6"/>
    <s v="CohortAvg"/>
    <n v="0"/>
    <s v="Zero"/>
    <n v="-1.1249790188567629E-2"/>
    <s v="CohortAvg"/>
    <n v="-9.9365961125224528E-5"/>
    <s v="CohortAvg"/>
    <n v="0"/>
    <n v="-86104.83"/>
    <n v="-40988.99"/>
    <n v="37176.769999999997"/>
    <n v="49729.74"/>
    <n v="5.74"/>
    <n v="-26343.03"/>
    <n v="-232.68"/>
    <n v="2201993.9500000002"/>
    <n v="9.6042000000000002E-2"/>
    <n v="0.94869999999999999"/>
    <n v="9.1113E-2"/>
    <s v="DonorCohort:202101+Seasonal(0.949)"/>
    <n v="200630.49"/>
    <n v="173102.87"/>
    <n v="27527.62"/>
    <x v="1"/>
    <n v="49729.74"/>
    <n v="0.78500000000000003"/>
    <n v="0.24"/>
    <n v="39037.85"/>
    <n v="39037.85"/>
    <n v="11935.14"/>
    <n v="134065.01999999999"/>
    <n v="2291916.75"/>
    <n v="5.8494999999999998E-2"/>
    <n v="66565.47"/>
    <n v="66571.210000000006"/>
    <n v="100702.73"/>
    <n v="167273.94"/>
    <n v="2034720.01"/>
    <s v="Forecast"/>
  </r>
  <r>
    <x v="8"/>
    <x v="2"/>
    <s v="202412"/>
    <n v="18"/>
    <n v="2120065.54"/>
    <n v="-2.0616736634903349E-2"/>
    <s v="CohortAvg"/>
    <n v="-1.664785230489145E-2"/>
    <s v="CohortAvg"/>
    <n v="0.19000174282075399"/>
    <s v="CohortAvg"/>
    <n v="2.7689509180030911E-2"/>
    <s v="CohortAvg_NonZero"/>
    <n v="9.5124662239372233E-7"/>
    <s v="CohortAvg"/>
    <n v="0"/>
    <s v="Zero"/>
    <n v="-1.100030487873823E-2"/>
    <s v="CohortAvg"/>
    <n v="-7.950790529331302E-5"/>
    <s v="CohortAvg"/>
    <n v="0"/>
    <n v="-43708.83"/>
    <n v="-35294.54"/>
    <n v="33568.01"/>
    <n v="58703.57"/>
    <n v="2.02"/>
    <n v="-23321.37"/>
    <n v="-168.56"/>
    <n v="2015924.59"/>
    <n v="8.2997000000000001E-2"/>
    <n v="0.94869999999999999"/>
    <n v="7.8737000000000001E-2"/>
    <s v="DonorCohort:202101+Seasonal(0.949)"/>
    <n v="158727.91"/>
    <n v="146263.41"/>
    <n v="12464.49"/>
    <x v="1"/>
    <n v="58703.57"/>
    <n v="0.78500000000000003"/>
    <n v="0.24"/>
    <n v="46082.31"/>
    <n v="46082.31"/>
    <n v="14088.86"/>
    <n v="100181.11"/>
    <n v="2061361.97"/>
    <n v="4.8599000000000003E-2"/>
    <n v="58546.8"/>
    <n v="58548.81"/>
    <n v="118874.74"/>
    <n v="177423.55"/>
    <n v="1838501.04"/>
    <s v="Forecast"/>
  </r>
  <r>
    <x v="8"/>
    <x v="2"/>
    <s v="202501"/>
    <n v="17"/>
    <n v="3755527.79"/>
    <n v="-3.0233618063495869E-2"/>
    <s v="CohortAvg"/>
    <n v="-1.748987456414414E-2"/>
    <s v="CohortAvg"/>
    <n v="0.19139699584515121"/>
    <s v="CohortAvg"/>
    <n v="1.5132463823047461E-2"/>
    <s v="CohortAvg_NonZero"/>
    <n v="4.0629972437079117E-5"/>
    <s v="CohortAvg"/>
    <n v="0"/>
    <s v="Zero"/>
    <n v="-1.857370114196635E-2"/>
    <s v="CohortAvg"/>
    <n v="-1.52919253283818E-4"/>
    <s v="CohortAvg"/>
    <n v="0"/>
    <n v="-113543.19"/>
    <n v="-65683.710000000006"/>
    <n v="59899.73"/>
    <n v="56830.39"/>
    <n v="152.59"/>
    <n v="-69754.05"/>
    <n v="-574.29"/>
    <n v="3579217.64"/>
    <n v="7.7456999999999998E-2"/>
    <n v="0.94869999999999999"/>
    <n v="7.3482000000000006E-2"/>
    <s v="DonorCohort:202101+Seasonal(0.949)"/>
    <n v="263008.98"/>
    <n v="254055.63"/>
    <n v="8953.35"/>
    <x v="1"/>
    <n v="56830.39"/>
    <n v="0.78500000000000003"/>
    <n v="0.24"/>
    <n v="44611.85"/>
    <n v="44611.85"/>
    <n v="13639.29"/>
    <n v="209443.78"/>
    <n v="3698697.4"/>
    <n v="5.6626000000000003E-2"/>
    <n v="53565.21"/>
    <n v="53717.8"/>
    <n v="115081.54"/>
    <n v="168799.33"/>
    <n v="3410418.31"/>
    <s v="Forecast"/>
  </r>
  <r>
    <x v="8"/>
    <x v="2"/>
    <s v="202502"/>
    <n v="16"/>
    <n v="3839498.29"/>
    <n v="-3.3933167216010113E-2"/>
    <s v="CohortAvg"/>
    <n v="-1.7626115607124342E-2"/>
    <s v="CohortAvg"/>
    <n v="0.1978423779304207"/>
    <s v="CohortAvg"/>
    <n v="7.9645373695133598E-3"/>
    <s v="CohortAvg_NonZero"/>
    <n v="0"/>
    <s v="CohortAvg"/>
    <n v="0"/>
    <s v="Zero"/>
    <n v="-3.285806081601788E-2"/>
    <s v="CohortAvg"/>
    <n v="-3.0039261360495262E-4"/>
    <s v="CohortAvg"/>
    <n v="0"/>
    <n v="-130286.34"/>
    <n v="-67675.44"/>
    <n v="63301.29"/>
    <n v="30579.83"/>
    <n v="0"/>
    <n v="-126158.47"/>
    <n v="-1153.3599999999999"/>
    <n v="3674257.97"/>
    <n v="7.5951000000000005E-2"/>
    <n v="0.94869999999999999"/>
    <n v="7.2053000000000006E-2"/>
    <s v="DonorCohort:202101+Seasonal(0.949)"/>
    <n v="264742.43"/>
    <n v="233070.8"/>
    <n v="31671.63"/>
    <x v="1"/>
    <n v="30579.83"/>
    <n v="0.78500000000000003"/>
    <n v="0.24"/>
    <n v="24005.16"/>
    <n v="24005.16"/>
    <n v="7339.16"/>
    <n v="209065.63"/>
    <n v="3808918.46"/>
    <n v="5.4887999999999999E-2"/>
    <n v="55676.800000000003"/>
    <n v="55676.800000000003"/>
    <n v="61924.15"/>
    <n v="117600.95"/>
    <n v="3556657.02"/>
    <s v="Forecast"/>
  </r>
  <r>
    <x v="8"/>
    <x v="2"/>
    <s v="202503"/>
    <n v="15"/>
    <n v="5039375.9800000004"/>
    <n v="-2.2743612694403469E-2"/>
    <s v="CohortAvg"/>
    <n v="-1.6967817082273792E-2"/>
    <s v="CohortAvg"/>
    <n v="0.20112195639858951"/>
    <s v="CohortAvg"/>
    <n v="7.1848262480383477E-3"/>
    <s v="CohortAvg_NonZero"/>
    <n v="5.4210907548969989E-8"/>
    <s v="CohortAvg"/>
    <n v="0"/>
    <s v="Zero"/>
    <n v="0"/>
    <s v="CohortAvg"/>
    <n v="0"/>
    <s v="CohortAvg"/>
    <n v="0"/>
    <n v="-114613.62"/>
    <n v="-85507.21"/>
    <n v="84460.76"/>
    <n v="36207.040000000001"/>
    <n v="0.27"/>
    <n v="0"/>
    <n v="0"/>
    <n v="4887508.5999999996"/>
    <n v="6.8154000000000006E-2"/>
    <n v="0.94869999999999999"/>
    <n v="6.4656000000000005E-2"/>
    <s v="DonorCohort:202101+Seasonal(0.949)"/>
    <n v="316007.2"/>
    <n v="251454.1"/>
    <n v="64553.1"/>
    <x v="1"/>
    <n v="36207.040000000001"/>
    <n v="0.78500000000000003"/>
    <n v="0.24"/>
    <n v="28422.53"/>
    <n v="28422.53"/>
    <n v="8689.69"/>
    <n v="223031.57"/>
    <n v="5003168.9400000004"/>
    <n v="4.4578E-2"/>
    <n v="92975.63"/>
    <n v="92975.9"/>
    <n v="73319.259999999995"/>
    <n v="166295.16"/>
    <n v="4721213.4400000004"/>
    <s v="Forecast"/>
  </r>
  <r>
    <x v="8"/>
    <x v="2"/>
    <s v="202504"/>
    <n v="14"/>
    <n v="6344287.7000000002"/>
    <n v="-2.4555184054966719E-2"/>
    <s v="CohortAvg"/>
    <n v="-1.687858591742749E-2"/>
    <s v="CohortAvg"/>
    <n v="0.19639452272395391"/>
    <s v="CohortAvg"/>
    <n v="3.260907177009143E-3"/>
    <s v="CohortAvg_NonZero"/>
    <n v="0"/>
    <s v="CohortAvg"/>
    <n v="0"/>
    <s v="Zero"/>
    <n v="0"/>
    <s v="CohortAvg"/>
    <n v="0"/>
    <s v="CohortAvg"/>
    <n v="0"/>
    <n v="-155785.15"/>
    <n v="-107082.61"/>
    <n v="103831.95"/>
    <n v="20688.13"/>
    <n v="0"/>
    <n v="0"/>
    <n v="0"/>
    <n v="6164563.7599999998"/>
    <n v="5.6022000000000002E-2"/>
    <n v="0.94869999999999999"/>
    <n v="5.3147E-2"/>
    <s v="DonorCohort:202101+Seasonal(0.949)"/>
    <n v="327627.52000000002"/>
    <n v="288036.99"/>
    <n v="39590.53"/>
    <x v="1"/>
    <n v="20688.13"/>
    <n v="0.78500000000000003"/>
    <n v="0.24"/>
    <n v="16240.18"/>
    <n v="16240.18"/>
    <n v="4965.1499999999996"/>
    <n v="271796.8"/>
    <n v="6323599.5700000003"/>
    <n v="4.2980999999999998E-2"/>
    <n v="55830.71"/>
    <n v="55830.71"/>
    <n v="41893.47"/>
    <n v="97724.18"/>
    <n v="6066839.5700000003"/>
    <s v="Forecast"/>
  </r>
  <r>
    <x v="8"/>
    <x v="2"/>
    <s v="202505"/>
    <n v="13"/>
    <n v="6182844.96"/>
    <n v="-2.631055674622677E-2"/>
    <s v="CohortAvg"/>
    <n v="-1.5895789706884218E-2"/>
    <s v="CohortAvg"/>
    <n v="0.18595901516447791"/>
    <s v="CohortAvg"/>
    <n v="0"/>
    <s v="CohortAvg_NoData_ERROR"/>
    <n v="0"/>
    <s v="CohortAvg"/>
    <n v="0"/>
    <s v="Zero"/>
    <n v="0"/>
    <s v="CohortAvg"/>
    <n v="0"/>
    <s v="CohortAvg"/>
    <n v="0"/>
    <n v="-162674.09"/>
    <n v="-98281.2"/>
    <n v="95812.98"/>
    <n v="0"/>
    <n v="0"/>
    <n v="0"/>
    <n v="0"/>
    <n v="6017702.6399999997"/>
    <n v="5.0972999999999997E-2"/>
    <n v="0.94869999999999999"/>
    <n v="4.8356999999999997E-2"/>
    <s v="DonorCohort:202101+Seasonal(0.949)"/>
    <n v="290999.46000000002"/>
    <n v="253351.92"/>
    <n v="37647.54"/>
    <x v="1"/>
    <n v="0"/>
    <n v="0.78500000000000003"/>
    <n v="0.24"/>
    <n v="0"/>
    <n v="0"/>
    <n v="0"/>
    <n v="253351.92"/>
    <n v="6182844.96"/>
    <n v="4.0977E-2"/>
    <n v="37647.54"/>
    <n v="37647.54"/>
    <n v="0"/>
    <n v="37647.54"/>
    <n v="5980055.0999999996"/>
    <s v="Forecast"/>
  </r>
  <r>
    <x v="8"/>
    <x v="2"/>
    <s v="202506"/>
    <n v="12"/>
    <n v="6372841.1299999999"/>
    <n v="-1.8998476581728971E-2"/>
    <s v="CohortAvg"/>
    <n v="-1.538657364376418E-2"/>
    <s v="CohortAvg"/>
    <n v="0.18704686255601499"/>
    <s v="CohortAvg"/>
    <n v="0"/>
    <s v="CohortAvg_NoData_ERROR"/>
    <n v="0"/>
    <s v="CohortAvg"/>
    <n v="0"/>
    <s v="Zero"/>
    <n v="0"/>
    <s v="CohortAvg"/>
    <n v="0"/>
    <s v="CohortAvg"/>
    <n v="0"/>
    <n v="-121074.27"/>
    <n v="-98056.19"/>
    <n v="99334.99"/>
    <n v="0"/>
    <n v="0"/>
    <n v="0"/>
    <n v="0"/>
    <n v="6253045.6600000001"/>
    <n v="4.6005999999999998E-2"/>
    <n v="0.94869999999999999"/>
    <n v="4.3645000000000003E-2"/>
    <s v="DonorCohort:202101+Seasonal(0.949)"/>
    <n v="272912.55"/>
    <n v="225050.38"/>
    <n v="47862.16"/>
    <x v="1"/>
    <n v="0"/>
    <n v="0.78500000000000003"/>
    <n v="0.24"/>
    <n v="0"/>
    <n v="0"/>
    <n v="0"/>
    <n v="225050.38"/>
    <n v="6372841.1299999999"/>
    <n v="3.5313999999999998E-2"/>
    <n v="47862.16"/>
    <n v="47862.16"/>
    <n v="0"/>
    <n v="47862.16"/>
    <n v="6205183.5"/>
    <s v="Forecast"/>
  </r>
  <r>
    <x v="8"/>
    <x v="2"/>
    <s v="202507"/>
    <n v="11"/>
    <n v="8029930.6699999999"/>
    <n v="-1.5102705872094771E-2"/>
    <s v="CohortAvg"/>
    <n v="-1.5872852837149579E-2"/>
    <s v="CohortAvg"/>
    <n v="0.17489142860442011"/>
    <s v="CohortAvg"/>
    <n v="0"/>
    <s v="CohortAvg_NoData_ERROR"/>
    <n v="0"/>
    <s v="CohortAvg"/>
    <n v="0"/>
    <s v="Zero"/>
    <n v="0"/>
    <s v="CohortAvg"/>
    <n v="0"/>
    <s v="CohortAvg"/>
    <n v="0"/>
    <n v="-121273.68"/>
    <n v="-127457.91"/>
    <n v="117030.5"/>
    <n v="0"/>
    <n v="0"/>
    <n v="0"/>
    <n v="0"/>
    <n v="7898229.5899999999"/>
    <n v="3.9648000000000003E-2"/>
    <n v="0.94869999999999999"/>
    <n v="3.7613000000000001E-2"/>
    <s v="DonorCohort:202101+Seasonal(0.949)"/>
    <n v="297079.36"/>
    <n v="235320.9"/>
    <n v="61758.46"/>
    <x v="1"/>
    <n v="0"/>
    <n v="0.78500000000000003"/>
    <n v="0.24"/>
    <n v="0"/>
    <n v="0"/>
    <n v="0"/>
    <n v="235320.9"/>
    <n v="8029930.6699999999"/>
    <n v="2.9305000000000001E-2"/>
    <n v="61758.46"/>
    <n v="61758.46"/>
    <n v="0"/>
    <n v="61758.46"/>
    <n v="7836471.1299999999"/>
    <s v="Forecast"/>
  </r>
  <r>
    <x v="8"/>
    <x v="2"/>
    <s v="202508"/>
    <n v="10"/>
    <n v="7122342.9400000004"/>
    <n v="-1.7692421776478059E-2"/>
    <s v="CohortAvg"/>
    <n v="-1.0822807400059959E-2"/>
    <s v="CohortAvg"/>
    <n v="0.17057156644540661"/>
    <s v="CohortAvg"/>
    <n v="0"/>
    <s v="CohortAvg_NoData_ERROR"/>
    <n v="3.1560436629087279E-5"/>
    <s v="CohortAvg"/>
    <n v="0"/>
    <s v="Zero"/>
    <n v="0"/>
    <s v="CohortAvg"/>
    <n v="0"/>
    <s v="CohortAvg"/>
    <n v="0"/>
    <n v="-126011.5"/>
    <n v="-77083.75"/>
    <n v="101239.1"/>
    <n v="0"/>
    <n v="224.78"/>
    <n v="0"/>
    <n v="0"/>
    <n v="7020262.0099999998"/>
    <n v="3.2902000000000001E-2"/>
    <n v="0.94869999999999999"/>
    <n v="3.1213999999999999E-2"/>
    <s v="DonorCohort:202101+Seasonal(0.949)"/>
    <n v="219128.11"/>
    <n v="134342.78"/>
    <n v="84785.33"/>
    <x v="1"/>
    <n v="0"/>
    <n v="0.78500000000000003"/>
    <n v="0.24"/>
    <n v="0"/>
    <n v="0"/>
    <n v="0"/>
    <n v="134342.78"/>
    <n v="7122342.9400000004"/>
    <n v="1.8862E-2"/>
    <n v="84785.33"/>
    <n v="85010.11"/>
    <n v="0"/>
    <n v="85010.11"/>
    <n v="6935251.9000000004"/>
    <s v="Forecast"/>
  </r>
  <r>
    <x v="8"/>
    <x v="2"/>
    <s v="202509"/>
    <n v="9"/>
    <n v="4470122.38"/>
    <n v="-0.22658258033441989"/>
    <s v="CohortAvg"/>
    <n v="-2.780060821844425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012851.86"/>
    <n v="-124272.12"/>
    <n v="186255.1"/>
    <n v="0"/>
    <n v="0"/>
    <n v="0"/>
    <n v="0"/>
    <n v="3519253.5"/>
    <n v="2.1177000000000001E-2"/>
    <n v="0.94869999999999999"/>
    <n v="2.009E-2"/>
    <s v="DonorCohort:202101+Seasonal(0.949)"/>
    <n v="70703.039999999994"/>
    <n v="61634.239999999998"/>
    <n v="9068.7900000000009"/>
    <x v="1"/>
    <n v="0"/>
    <n v="0.78500000000000003"/>
    <n v="0.24"/>
    <n v="0"/>
    <n v="0"/>
    <n v="0"/>
    <n v="61634.239999999998"/>
    <n v="4470122.38"/>
    <n v="1.3788E-2"/>
    <n v="9068.7900000000009"/>
    <n v="9068.7900000000009"/>
    <n v="0"/>
    <n v="9068.7900000000009"/>
    <n v="3510184.71"/>
    <s v="Forecast"/>
  </r>
  <r>
    <x v="8"/>
    <x v="3"/>
    <s v="201912"/>
    <n v="78"/>
    <n v="53540.31"/>
    <n v="-7.0704507739628893E-3"/>
    <s v="CohortAvg"/>
    <n v="-6.4754919767724293E-4"/>
    <s v="CohortAvg"/>
    <n v="0"/>
    <s v="CohortAvg"/>
    <n v="2.9860843509822901E-2"/>
    <s v="CohortAvg_NonZero"/>
    <n v="1.0587176825547929E-6"/>
    <s v="CohortAvg"/>
    <n v="0"/>
    <s v="Zero"/>
    <n v="0"/>
    <s v="CohortAvg"/>
    <n v="0"/>
    <s v="CohortAvg"/>
    <n v="0"/>
    <n v="-378.55"/>
    <n v="-34.67"/>
    <n v="0"/>
    <n v="1598.76"/>
    <n v="0.06"/>
    <n v="0"/>
    <n v="0"/>
    <n v="51528.27"/>
    <n v="0.98826999999999998"/>
    <n v="0.95760000000000001"/>
    <n v="0.94633"/>
    <s v="CohortAvg+Seasonal(0.958)"/>
    <n v="48762.75"/>
    <n v="49208.13"/>
    <n v="-445.38"/>
    <x v="1"/>
    <n v="1598.76"/>
    <n v="0.78500000000000003"/>
    <n v="0.24"/>
    <n v="1255.03"/>
    <n v="1255.03"/>
    <n v="383.7"/>
    <n v="47953.1"/>
    <n v="51941.55"/>
    <n v="0.92321299999999995"/>
    <n v="809.65"/>
    <n v="809.7"/>
    <n v="3237.49"/>
    <n v="4047.19"/>
    <n v="47481.08"/>
    <s v="Forecast"/>
  </r>
  <r>
    <x v="8"/>
    <x v="3"/>
    <s v="202001"/>
    <n v="77"/>
    <n v="29.58"/>
    <n v="-0.5"/>
    <s v="CohortAvg"/>
    <n v="-2.862789818668275E-5"/>
    <s v="CohortAvg"/>
    <n v="0"/>
    <s v="CohortAvg"/>
    <n v="1.806604943397478E-2"/>
    <s v="CohortAvg_NonZero"/>
    <n v="0"/>
    <s v="CohortAvg"/>
    <n v="0"/>
    <s v="Zero"/>
    <n v="0"/>
    <s v="CohortAvg"/>
    <n v="0"/>
    <s v="CohortAvg"/>
    <n v="0"/>
    <n v="-14.79"/>
    <n v="0"/>
    <n v="0"/>
    <n v="0.53"/>
    <n v="0"/>
    <n v="0"/>
    <n v="0"/>
    <n v="14.26"/>
    <n v="0.82077199999999995"/>
    <n v="0.95760000000000001"/>
    <n v="0.78593999999999997"/>
    <s v="CohortAvg+Seasonal(0.958)"/>
    <n v="11.2"/>
    <n v="22.45"/>
    <n v="-11.25"/>
    <x v="1"/>
    <n v="0.53"/>
    <n v="0.78500000000000003"/>
    <n v="0.24"/>
    <n v="0.42"/>
    <n v="0.42"/>
    <n v="0.13"/>
    <n v="22.03"/>
    <n v="29.05"/>
    <n v="0.75854699999999997"/>
    <n v="-10.83"/>
    <n v="-10.83"/>
    <n v="1.08"/>
    <n v="-9.75"/>
    <n v="24"/>
    <s v="Forecast"/>
  </r>
  <r>
    <x v="8"/>
    <x v="3"/>
    <s v="202101"/>
    <n v="65"/>
    <n v="893504.74"/>
    <n v="-0.1055980507542854"/>
    <s v="CohortAvg"/>
    <n v="-8.314241586248888E-3"/>
    <s v="CohortAvg"/>
    <n v="0.10977006559763849"/>
    <s v="CohortAvg"/>
    <n v="6.2279371225689899E-3"/>
    <s v="CohortAvg_NonZero"/>
    <n v="0"/>
    <s v="CohortAvg"/>
    <n v="0"/>
    <s v="Zero"/>
    <n v="-2.4634045683133822E-4"/>
    <s v="CohortAvg"/>
    <n v="-2.6212015987088218E-6"/>
    <s v="CohortAvg"/>
    <n v="0"/>
    <n v="-94352.36"/>
    <n v="-7428.81"/>
    <n v="8173.34"/>
    <n v="5564.69"/>
    <n v="0"/>
    <n v="-220.11"/>
    <n v="-2.34"/>
    <n v="794332.21"/>
    <n v="0.27643800000000002"/>
    <n v="0.95760000000000001"/>
    <n v="0.26470700000000003"/>
    <s v="CohortAvg+Seasonal(0.958)"/>
    <n v="210265.28"/>
    <n v="229316.48000000001"/>
    <n v="-19051.2"/>
    <x v="1"/>
    <n v="5564.69"/>
    <n v="0.78500000000000003"/>
    <n v="0.24"/>
    <n v="4368.28"/>
    <n v="4368.28"/>
    <n v="1335.53"/>
    <n v="224948.2"/>
    <n v="887940.05"/>
    <n v="0.25333699999999998"/>
    <n v="-14682.92"/>
    <n v="-14682.92"/>
    <n v="11268.5"/>
    <n v="-3414.42"/>
    <n v="797746.64"/>
    <s v="Forecast"/>
  </r>
  <r>
    <x v="8"/>
    <x v="3"/>
    <s v="202201"/>
    <n v="45"/>
    <n v="206968.95999999999"/>
    <n v="-8.8811882212228355E-2"/>
    <s v="CohortAvg"/>
    <n v="-1.0420572097483861E-2"/>
    <s v="CohortAvg"/>
    <n v="0.11313169091400389"/>
    <s v="CohortAvg"/>
    <n v="3.2298042917916443E-2"/>
    <s v="CohortAvg_NonZero"/>
    <n v="8.6947288385850986E-4"/>
    <s v="CohortAvg"/>
    <n v="0"/>
    <s v="Zero"/>
    <n v="-2.6592316835235012E-4"/>
    <s v="CohortAvg"/>
    <n v="-2.2671454427333071E-6"/>
    <s v="CohortAvg"/>
    <n v="0"/>
    <n v="-18381.3"/>
    <n v="-2156.7399999999998"/>
    <n v="1951.23"/>
    <n v="6684.69"/>
    <n v="179.95"/>
    <n v="-55.04"/>
    <n v="-0.47"/>
    <n v="181517.51"/>
    <n v="0.30491099999999999"/>
    <n v="0.95760000000000001"/>
    <n v="0.29197099999999998"/>
    <s v="CohortAvg+Seasonal(0.958)"/>
    <n v="52997.93"/>
    <n v="58722.85"/>
    <n v="-5724.91"/>
    <x v="1"/>
    <n v="6684.69"/>
    <n v="0.78500000000000003"/>
    <n v="0.24"/>
    <n v="5247.48"/>
    <n v="5247.48"/>
    <n v="1604.33"/>
    <n v="53475.37"/>
    <n v="200284.27"/>
    <n v="0.26699699999999998"/>
    <n v="-477.43"/>
    <n v="-297.48"/>
    <n v="13536.5"/>
    <n v="13239.03"/>
    <n v="168278.48"/>
    <s v="Forecast"/>
  </r>
  <r>
    <x v="8"/>
    <x v="3"/>
    <s v="202301"/>
    <n v="36"/>
    <n v="2562935.02"/>
    <n v="-7.0005657177884845E-2"/>
    <s v="CohortAvg"/>
    <n v="-1.6138797173586579E-2"/>
    <s v="CohortAvg"/>
    <n v="0.19098150855241711"/>
    <s v="CohortAvg"/>
    <n v="2.467875861935322E-2"/>
    <s v="CohortAvg_NonZero"/>
    <n v="6.1246533107872454E-6"/>
    <s v="CohortAvg"/>
    <n v="0"/>
    <s v="Zero"/>
    <n v="-2.5030713716158851E-3"/>
    <s v="CohortAvg"/>
    <n v="-1.6405311123175999E-5"/>
    <s v="CohortAvg"/>
    <n v="0"/>
    <n v="-179419.95"/>
    <n v="-41362.69"/>
    <n v="40789.43"/>
    <n v="63250.05"/>
    <n v="15.7"/>
    <n v="-6415.21"/>
    <n v="-42.05"/>
    <n v="2319676.06"/>
    <n v="0.26978400000000002"/>
    <n v="0.95760000000000001"/>
    <n v="0.25833499999999998"/>
    <s v="CohortTrend+Seasonal(0.958)"/>
    <n v="599254.06000000006"/>
    <n v="622813.16"/>
    <n v="-23559.1"/>
    <x v="1"/>
    <n v="63250.05"/>
    <n v="0.78500000000000003"/>
    <n v="0.24"/>
    <n v="49651.29"/>
    <n v="49651.29"/>
    <n v="15180.01"/>
    <n v="573161.87"/>
    <n v="2499684.96"/>
    <n v="0.229294"/>
    <n v="26092.19"/>
    <n v="26107.89"/>
    <n v="128081.36"/>
    <n v="154189.25"/>
    <n v="2165486.81"/>
    <s v="Forecast"/>
  </r>
  <r>
    <x v="8"/>
    <x v="3"/>
    <s v="202404"/>
    <n v="26"/>
    <n v="665577.09"/>
    <n v="-4.9890975846736713E-2"/>
    <s v="CohortAvg"/>
    <n v="-1.753066434629549E-2"/>
    <s v="CohortAvg"/>
    <n v="0.19175072506226851"/>
    <s v="CohortAvg"/>
    <n v="6.1841041881375181E-2"/>
    <s v="CohortAvg_NonZero"/>
    <n v="2.3577896661117589E-6"/>
    <s v="CohortAvg"/>
    <n v="0"/>
    <s v="Zero"/>
    <n v="-1.070074727272032E-2"/>
    <s v="CohortAvg"/>
    <n v="-1.198769776434673E-4"/>
    <s v="CohortAvg"/>
    <n v="0"/>
    <n v="-33206.29"/>
    <n v="-11668.01"/>
    <n v="10635.41"/>
    <n v="41159.980000000003"/>
    <n v="1.57"/>
    <n v="-7122.17"/>
    <n v="-79.790000000000006"/>
    <n v="590176.64"/>
    <n v="0.16991800000000001"/>
    <n v="0.95760000000000001"/>
    <n v="0.16270699999999999"/>
    <s v="CohortTrend+Seasonal(0.958)"/>
    <n v="96025.74"/>
    <n v="102104.49"/>
    <n v="-6078.75"/>
    <x v="1"/>
    <n v="41159.980000000003"/>
    <n v="0.78500000000000003"/>
    <n v="0.24"/>
    <n v="32310.58"/>
    <n v="32310.58"/>
    <n v="9878.4"/>
    <n v="69793.91"/>
    <n v="624417.11"/>
    <n v="0.111774"/>
    <n v="26231.84"/>
    <n v="26233.41"/>
    <n v="83348.960000000006"/>
    <n v="109582.37"/>
    <n v="480594.28"/>
    <s v="Forecast"/>
  </r>
  <r>
    <x v="8"/>
    <x v="3"/>
    <s v="202405"/>
    <n v="25"/>
    <n v="595603.49"/>
    <n v="-5.2037803696830233E-2"/>
    <s v="CohortAvg"/>
    <n v="-1.7935145941538489E-2"/>
    <s v="CohortAvg"/>
    <n v="0.20026737714652201"/>
    <s v="CohortAvg"/>
    <n v="4.4985465450453233E-2"/>
    <s v="CohortAvg_NonZero"/>
    <n v="2.4856606834790149E-6"/>
    <s v="CohortAvg"/>
    <n v="0"/>
    <s v="Zero"/>
    <n v="-1.215119736436647E-2"/>
    <s v="CohortAvg"/>
    <n v="-1.0879054034193579E-4"/>
    <s v="CohortAvg"/>
    <n v="0"/>
    <n v="-30993.9"/>
    <n v="-10682.24"/>
    <n v="9940"/>
    <n v="26793.5"/>
    <n v="1.48"/>
    <n v="-7237.3"/>
    <n v="-64.8"/>
    <n v="537072.37"/>
    <n v="0.140735"/>
    <n v="0.95760000000000001"/>
    <n v="0.13476299999999999"/>
    <s v="CohortTrend+Seasonal(0.958)"/>
    <n v="72377.27"/>
    <n v="76040.600000000006"/>
    <n v="-3663.33"/>
    <x v="1"/>
    <n v="26793.5"/>
    <n v="0.78500000000000003"/>
    <n v="0.24"/>
    <n v="21032.9"/>
    <n v="21032.9"/>
    <n v="6430.44"/>
    <n v="55007.7"/>
    <n v="568809.99"/>
    <n v="9.6707000000000001E-2"/>
    <n v="17369.57"/>
    <n v="17371.05"/>
    <n v="54256.84"/>
    <n v="71627.88"/>
    <n v="465444.48"/>
    <s v="Forecast"/>
  </r>
  <r>
    <x v="8"/>
    <x v="3"/>
    <s v="202406"/>
    <n v="24"/>
    <n v="739310.58"/>
    <n v="-4.8184246231409482E-2"/>
    <s v="CohortAvg"/>
    <n v="-1.8119753669755639E-2"/>
    <s v="CohortAvg"/>
    <n v="0.2029956730871062"/>
    <s v="CohortAvg"/>
    <n v="3.8756055195396349E-2"/>
    <s v="CohortAvg_NonZero"/>
    <n v="1.772171078883016E-6"/>
    <s v="CohortAvg"/>
    <n v="0"/>
    <s v="Zero"/>
    <n v="-1.4119064548973581E-2"/>
    <s v="CohortAvg"/>
    <n v="-1.1068849494998939E-4"/>
    <s v="CohortAvg"/>
    <n v="0"/>
    <n v="-35623.120000000003"/>
    <n v="-13396.13"/>
    <n v="12506.4"/>
    <n v="28652.76"/>
    <n v="1.31"/>
    <n v="-10438.370000000001"/>
    <n v="-81.83"/>
    <n v="674143.66"/>
    <n v="0.111264"/>
    <n v="0.95760000000000001"/>
    <n v="0.106542"/>
    <s v="CohortTrend+Seasonal(0.958)"/>
    <n v="71824.72"/>
    <n v="74702.34"/>
    <n v="-2877.63"/>
    <x v="1"/>
    <n v="28652.76"/>
    <n v="0.78500000000000003"/>
    <n v="0.24"/>
    <n v="22492.42"/>
    <n v="22492.42"/>
    <n v="6876.66"/>
    <n v="52209.93"/>
    <n v="710657.81"/>
    <n v="7.3467000000000005E-2"/>
    <n v="19614.79"/>
    <n v="19616.099999999999"/>
    <n v="58021.84"/>
    <n v="77637.94"/>
    <n v="596505.72"/>
    <s v="Forecast"/>
  </r>
  <r>
    <x v="8"/>
    <x v="3"/>
    <s v="202407"/>
    <n v="23"/>
    <n v="661539.6"/>
    <n v="-6.6874264409501977E-2"/>
    <s v="CohortAvg"/>
    <n v="-1.891165650592154E-2"/>
    <s v="CohortAvg"/>
    <n v="0.20720533234686611"/>
    <s v="CohortAvg"/>
    <n v="2.6741907844213299E-2"/>
    <s v="CohortAvg_NonZero"/>
    <n v="6.4471031308583948E-6"/>
    <s v="CohortAvg"/>
    <n v="0"/>
    <s v="Zero"/>
    <n v="-1.7102276548707569E-2"/>
    <s v="CohortAvg"/>
    <n v="-2.0212784345872151E-4"/>
    <s v="CohortAvg"/>
    <n v="0"/>
    <n v="-44239.97"/>
    <n v="-12510.81"/>
    <n v="11422.88"/>
    <n v="17690.830000000002"/>
    <n v="4.2699999999999996"/>
    <n v="-11313.83"/>
    <n v="-133.72"/>
    <n v="598516.6"/>
    <n v="9.2355000000000007E-2"/>
    <n v="0.95760000000000001"/>
    <n v="8.8436000000000001E-2"/>
    <s v="CohortTrend+Seasonal(0.958)"/>
    <n v="52930.25"/>
    <n v="55680.800000000003"/>
    <n v="-2750.55"/>
    <x v="1"/>
    <n v="17690.830000000002"/>
    <n v="0.78500000000000003"/>
    <n v="0.24"/>
    <n v="13887.3"/>
    <n v="13887.3"/>
    <n v="4245.8"/>
    <n v="41793.5"/>
    <n v="643848.77"/>
    <n v="6.4911999999999997E-2"/>
    <n v="11136.75"/>
    <n v="11141.02"/>
    <n v="35823.93"/>
    <n v="46964.95"/>
    <n v="551551.64"/>
    <s v="Forecast"/>
  </r>
  <r>
    <x v="8"/>
    <x v="3"/>
    <s v="202408"/>
    <n v="22"/>
    <n v="824662.62"/>
    <n v="-4.9550453733690533E-2"/>
    <s v="CohortAvg"/>
    <n v="-1.9246718593768239E-2"/>
    <s v="CohortAvg"/>
    <n v="0.21416258722181961"/>
    <s v="CohortAvg"/>
    <n v="3.1542177672619021E-2"/>
    <s v="CohortAvg_NonZero"/>
    <n v="3.1640570801529039E-6"/>
    <s v="CohortAvg"/>
    <n v="0"/>
    <s v="Zero"/>
    <n v="-1.211856618025519E-2"/>
    <s v="CohortAvg"/>
    <n v="-1.074532270408244E-4"/>
    <s v="CohortAvg"/>
    <n v="0"/>
    <n v="-40862.410000000003"/>
    <n v="-15872.05"/>
    <n v="14717.66"/>
    <n v="26011.66"/>
    <n v="2.61"/>
    <n v="-9993.73"/>
    <n v="-88.61"/>
    <n v="756631.56"/>
    <n v="8.1001000000000004E-2"/>
    <n v="0.95760000000000001"/>
    <n v="7.7563999999999994E-2"/>
    <s v="CohortTrend+Seasonal(0.958)"/>
    <n v="58687.06"/>
    <n v="61134.92"/>
    <n v="-2447.85"/>
    <x v="1"/>
    <n v="26011.66"/>
    <n v="0.78500000000000003"/>
    <n v="0.24"/>
    <n v="20419.150000000001"/>
    <n v="20419.150000000001"/>
    <n v="6242.8"/>
    <n v="40715.769999999997"/>
    <n v="798650.97"/>
    <n v="5.0980999999999999E-2"/>
    <n v="17971.3"/>
    <n v="17973.900000000001"/>
    <n v="52673.599999999999"/>
    <n v="70647.509999999995"/>
    <n v="685984.05"/>
    <s v="Forecast"/>
  </r>
  <r>
    <x v="8"/>
    <x v="3"/>
    <s v="202409"/>
    <n v="21"/>
    <n v="646290.22"/>
    <n v="-7.2406131566672152E-2"/>
    <s v="CohortAvg"/>
    <n v="-2.009696341742798E-2"/>
    <s v="CohortAvg"/>
    <n v="0.2108445883372608"/>
    <s v="CohortAvg"/>
    <n v="3.4805737460927508E-2"/>
    <s v="CohortAvg_NonZero"/>
    <n v="2.2319113658365452E-6"/>
    <s v="CohortAvg"/>
    <n v="0"/>
    <s v="Zero"/>
    <n v="-1.502614880011733E-2"/>
    <s v="CohortAvg"/>
    <n v="-1.2236932116978659E-4"/>
    <s v="CohortAvg"/>
    <n v="0"/>
    <n v="-46795.37"/>
    <n v="-12988.47"/>
    <n v="11355.57"/>
    <n v="22494.61"/>
    <n v="1.44"/>
    <n v="-9711.25"/>
    <n v="-79.09"/>
    <n v="575365.89"/>
    <n v="6.9126000000000007E-2"/>
    <n v="0.95760000000000001"/>
    <n v="6.6192000000000001E-2"/>
    <s v="CohortTrend+Seasonal(0.958)"/>
    <n v="38084.639999999999"/>
    <n v="41097.699999999997"/>
    <n v="-3013.06"/>
    <x v="1"/>
    <n v="22494.61"/>
    <n v="0.78500000000000003"/>
    <n v="0.24"/>
    <n v="17658.27"/>
    <n v="17658.27"/>
    <n v="5398.71"/>
    <n v="23439.43"/>
    <n v="623795.61"/>
    <n v="3.7574999999999997E-2"/>
    <n v="14645.21"/>
    <n v="14646.65"/>
    <n v="45551.58"/>
    <n v="60198.23"/>
    <n v="515167.66"/>
    <s v="Forecast"/>
  </r>
  <r>
    <x v="8"/>
    <x v="3"/>
    <s v="202410"/>
    <n v="20"/>
    <n v="705183.26"/>
    <n v="-4.8513463215946517E-2"/>
    <s v="CohortAvg"/>
    <n v="-1.9927482118267531E-2"/>
    <s v="CohortAvg"/>
    <n v="0.21361870406752231"/>
    <s v="CohortAvg"/>
    <n v="3.6584368920151003E-2"/>
    <s v="CohortAvg_NonZero"/>
    <n v="1.9166847839415569E-6"/>
    <s v="CohortAvg"/>
    <n v="0"/>
    <s v="Zero"/>
    <n v="-2.0799365251325211E-2"/>
    <s v="CohortAvg"/>
    <n v="-1.7651095192865041E-4"/>
    <s v="CohortAvg"/>
    <n v="0"/>
    <n v="-34210.879999999997"/>
    <n v="-14052.53"/>
    <n v="12553.36"/>
    <n v="25798.68"/>
    <n v="1.35"/>
    <n v="-14667.36"/>
    <n v="-124.47"/>
    <n v="643673.18000000005"/>
    <n v="6.4406000000000005E-2"/>
    <n v="0.95760000000000001"/>
    <n v="6.1672999999999999E-2"/>
    <s v="CohortTrend+Seasonal(0.958)"/>
    <n v="39696.959999999999"/>
    <n v="47128.480000000003"/>
    <n v="-7431.51"/>
    <x v="1"/>
    <n v="25798.68"/>
    <n v="0.78500000000000003"/>
    <n v="0.24"/>
    <n v="20251.97"/>
    <n v="20251.97"/>
    <n v="6191.68"/>
    <n v="26876.51"/>
    <n v="679384.58"/>
    <n v="3.9559999999999998E-2"/>
    <n v="12820.45"/>
    <n v="12821.81"/>
    <n v="52242.34"/>
    <n v="65064.14"/>
    <n v="578609.04"/>
    <s v="Forecast"/>
  </r>
  <r>
    <x v="8"/>
    <x v="3"/>
    <s v="202411"/>
    <n v="19"/>
    <n v="791453.49"/>
    <n v="-5.2097967842414723E-2"/>
    <s v="CohortAvg"/>
    <n v="-2.0074716542446761E-2"/>
    <s v="CohortAvg"/>
    <n v="0.2234007350405397"/>
    <s v="CohortAvg"/>
    <n v="2.829956653624971E-2"/>
    <s v="CohortAvg_NonZero"/>
    <n v="7.1870287881006076E-7"/>
    <s v="CohortAvg"/>
    <n v="0"/>
    <s v="Zero"/>
    <n v="-2.5612486281868151E-2"/>
    <s v="CohortAvg"/>
    <n v="-2.4138587295191469E-4"/>
    <s v="CohortAvg"/>
    <n v="0"/>
    <n v="-41233.120000000003"/>
    <n v="-15888.2"/>
    <n v="14734.27"/>
    <n v="22397.79"/>
    <n v="0.56999999999999995"/>
    <n v="-20271.09"/>
    <n v="-191.05"/>
    <n v="726668.08"/>
    <n v="7.1835999999999997E-2"/>
    <n v="0.95760000000000001"/>
    <n v="6.8787000000000001E-2"/>
    <s v="DonorCohort:202101+Seasonal(0.958)"/>
    <n v="49985.62"/>
    <n v="45411.9"/>
    <n v="4573.72"/>
    <x v="1"/>
    <n v="22397.79"/>
    <n v="0.78500000000000003"/>
    <n v="0.24"/>
    <n v="17582.27"/>
    <n v="17582.27"/>
    <n v="5375.47"/>
    <n v="27829.64"/>
    <n v="769055.7"/>
    <n v="3.6186999999999997E-2"/>
    <n v="22155.98"/>
    <n v="22156.55"/>
    <n v="45355.53"/>
    <n v="67512.08"/>
    <n v="659156"/>
    <s v="Forecast"/>
  </r>
  <r>
    <x v="8"/>
    <x v="3"/>
    <s v="202412"/>
    <n v="18"/>
    <n v="843012"/>
    <n v="-5.0486255583883061E-2"/>
    <s v="CohortAvg"/>
    <n v="-2.0576965158764931E-2"/>
    <s v="CohortAvg"/>
    <n v="0.22290055147795201"/>
    <s v="CohortAvg"/>
    <n v="3.1982492116153109E-2"/>
    <s v="CohortAvg_NonZero"/>
    <n v="2.317162589868267E-6"/>
    <s v="CohortAvg"/>
    <n v="0"/>
    <s v="Zero"/>
    <n v="-4.4507479918351862E-2"/>
    <s v="CohortAvg"/>
    <n v="-4.6616449500114378E-4"/>
    <s v="CohortAvg"/>
    <n v="0"/>
    <n v="-42560.52"/>
    <n v="-17346.63"/>
    <n v="15658.99"/>
    <n v="26961.62"/>
    <n v="1.95"/>
    <n v="-37520.339999999997"/>
    <n v="-392.98"/>
    <n v="771800.26"/>
    <n v="6.1674E-2"/>
    <n v="0.95760000000000001"/>
    <n v="5.9056999999999998E-2"/>
    <s v="DonorCohort:202101+Seasonal(0.958)"/>
    <n v="45580.26"/>
    <n v="46069.35"/>
    <n v="-489.09"/>
    <x v="1"/>
    <n v="26961.62"/>
    <n v="0.78500000000000003"/>
    <n v="0.24"/>
    <n v="21164.880000000001"/>
    <n v="21164.880000000001"/>
    <n v="6470.79"/>
    <n v="24904.48"/>
    <n v="816050.37"/>
    <n v="3.0518E-2"/>
    <n v="20675.78"/>
    <n v="20677.73"/>
    <n v="54597.29"/>
    <n v="75275.02"/>
    <n v="696525.23"/>
    <s v="Forecast"/>
  </r>
  <r>
    <x v="8"/>
    <x v="3"/>
    <s v="202501"/>
    <n v="17"/>
    <n v="1389367.76"/>
    <n v="-5.2227845544658508E-2"/>
    <s v="CohortAvg"/>
    <n v="-2.078385013054735E-2"/>
    <s v="CohortAvg"/>
    <n v="0.2256406649109316"/>
    <s v="CohortAvg"/>
    <n v="1.3784013631974011E-2"/>
    <s v="CohortAvg_NonZero"/>
    <n v="1.5973688392452641E-5"/>
    <s v="CohortAvg"/>
    <n v="0"/>
    <s v="Zero"/>
    <n v="-4.3492527191610619E-2"/>
    <s v="CohortAvg"/>
    <n v="-4.671323863322181E-4"/>
    <s v="CohortAvg"/>
    <n v="0"/>
    <n v="-72563.679999999993"/>
    <n v="-28876.41"/>
    <n v="26124.82"/>
    <n v="19151.060000000001"/>
    <n v="22.19"/>
    <n v="-60427.12"/>
    <n v="-649.02"/>
    <n v="1294879.23"/>
    <n v="5.8741000000000002E-2"/>
    <n v="0.95760000000000001"/>
    <n v="5.6247999999999999E-2"/>
    <s v="DonorCohort:202101+Seasonal(0.958)"/>
    <n v="72834.17"/>
    <n v="70946.19"/>
    <n v="1887.98"/>
    <x v="1"/>
    <n v="19151.060000000001"/>
    <n v="0.78500000000000003"/>
    <n v="0.24"/>
    <n v="15033.59"/>
    <n v="15033.59"/>
    <n v="4596.26"/>
    <n v="55912.61"/>
    <n v="1370216.7"/>
    <n v="4.0806000000000002E-2"/>
    <n v="16921.560000000001"/>
    <n v="16943.759999999998"/>
    <n v="38780.9"/>
    <n v="55724.66"/>
    <n v="1239154.57"/>
    <s v="Forecast"/>
  </r>
  <r>
    <x v="8"/>
    <x v="3"/>
    <s v="202502"/>
    <n v="16"/>
    <n v="1502580.37"/>
    <n v="-5.3105485176968947E-2"/>
    <s v="CohortAvg"/>
    <n v="-1.9261497473394569E-2"/>
    <s v="CohortAvg"/>
    <n v="0.22821233222386789"/>
    <s v="CohortAvg"/>
    <n v="1.878509968067104E-2"/>
    <s v="CohortAvg_NonZero"/>
    <n v="3.6881830124059278E-4"/>
    <s v="CohortAvg"/>
    <n v="0"/>
    <s v="Zero"/>
    <n v="-8.7071776700340761E-2"/>
    <s v="CohortAvg"/>
    <n v="-1.1322104635054201E-3"/>
    <s v="CohortAvg"/>
    <n v="0"/>
    <n v="-79795.259999999995"/>
    <n v="-28941.95"/>
    <n v="28575.61"/>
    <n v="28226.12"/>
    <n v="554.17999999999995"/>
    <n v="-130832.34"/>
    <n v="-1701.24"/>
    <n v="1393638.48"/>
    <n v="5.4886999999999998E-2"/>
    <n v="0.95760000000000001"/>
    <n v="5.2558000000000001E-2"/>
    <s v="DonorCohort:202101+Seasonal(0.958)"/>
    <n v="73246.960000000006"/>
    <n v="71406.899999999994"/>
    <n v="1840.05"/>
    <x v="1"/>
    <n v="28226.12"/>
    <n v="0.78500000000000003"/>
    <n v="0.24"/>
    <n v="22157.51"/>
    <n v="22157.51"/>
    <n v="6774.27"/>
    <n v="49249.4"/>
    <n v="1474354.25"/>
    <n v="3.3404000000000003E-2"/>
    <n v="23997.56"/>
    <n v="24551.74"/>
    <n v="57157.9"/>
    <n v="81709.63"/>
    <n v="1311928.8400000001"/>
    <s v="Forecast"/>
  </r>
  <r>
    <x v="8"/>
    <x v="3"/>
    <s v="202503"/>
    <n v="15"/>
    <n v="1775367.8"/>
    <n v="-4.573201320342013E-2"/>
    <s v="CohortAvg"/>
    <n v="-2.1935352739903741E-2"/>
    <s v="CohortAvg"/>
    <n v="0.25468868434085851"/>
    <s v="CohortAvg"/>
    <n v="4.6176837495393924E-3"/>
    <s v="CohortAvg_NonZero"/>
    <n v="2.4157272901714152E-7"/>
    <s v="CohortAvg"/>
    <n v="0"/>
    <s v="Zero"/>
    <n v="0"/>
    <s v="CohortAvg"/>
    <n v="0"/>
    <s v="CohortAvg"/>
    <n v="0"/>
    <n v="-81191.14"/>
    <n v="-38943.32"/>
    <n v="37680.51"/>
    <n v="8198.09"/>
    <n v="0.43"/>
    <n v="0"/>
    <n v="0"/>
    <n v="1684715.33"/>
    <n v="5.1081000000000001E-2"/>
    <n v="0.95760000000000001"/>
    <n v="4.8913999999999999E-2"/>
    <s v="DonorCohort:202101+Seasonal(0.958)"/>
    <n v="82405.570000000007"/>
    <n v="71118.98"/>
    <n v="11286.59"/>
    <x v="1"/>
    <n v="8198.09"/>
    <n v="0.78500000000000003"/>
    <n v="0.24"/>
    <n v="6435.5"/>
    <n v="6435.5"/>
    <n v="1967.54"/>
    <n v="64683.48"/>
    <n v="1767169.72"/>
    <n v="3.6602999999999997E-2"/>
    <n v="17722.09"/>
    <n v="17722.52"/>
    <n v="16601.13"/>
    <n v="34323.65"/>
    <n v="1650391.69"/>
    <s v="Forecast"/>
  </r>
  <r>
    <x v="8"/>
    <x v="3"/>
    <s v="202504"/>
    <n v="14"/>
    <n v="1500085.8"/>
    <n v="-5.5532671625879292E-2"/>
    <s v="CohortAvg"/>
    <n v="-2.1979622155021739E-2"/>
    <s v="CohortAvg"/>
    <n v="0.25087918022518518"/>
    <s v="CohortAvg"/>
    <n v="2.1791689037598898E-3"/>
    <s v="CohortAvg_NonZero"/>
    <n v="1.968014865167782E-7"/>
    <s v="CohortAvg"/>
    <n v="0"/>
    <s v="Zero"/>
    <n v="0"/>
    <s v="CohortAvg"/>
    <n v="0"/>
    <s v="CohortAvg"/>
    <n v="0"/>
    <n v="-83303.77"/>
    <n v="-32971.32"/>
    <n v="31361.69"/>
    <n v="3268.94"/>
    <n v="0.3"/>
    <n v="0"/>
    <n v="0"/>
    <n v="1411903.17"/>
    <n v="4.3057999999999999E-2"/>
    <n v="0.95760000000000001"/>
    <n v="4.1230999999999997E-2"/>
    <s v="DonorCohort:202101+Seasonal(0.958)"/>
    <n v="58214.3"/>
    <n v="53069.78"/>
    <n v="5144.51"/>
    <x v="1"/>
    <n v="3268.94"/>
    <n v="0.78500000000000003"/>
    <n v="0.24"/>
    <n v="2566.12"/>
    <n v="2566.12"/>
    <n v="784.55"/>
    <n v="50503.66"/>
    <n v="1496816.86"/>
    <n v="3.3741E-2"/>
    <n v="7710.63"/>
    <n v="7710.93"/>
    <n v="6619.6"/>
    <n v="14330.53"/>
    <n v="1397572.64"/>
    <s v="Forecast"/>
  </r>
  <r>
    <x v="8"/>
    <x v="3"/>
    <s v="202505"/>
    <n v="13"/>
    <n v="1811057.14"/>
    <n v="-4.7347435857865237E-2"/>
    <s v="CohortAvg"/>
    <n v="-2.0624337574899301E-2"/>
    <s v="CohortAvg"/>
    <n v="0.2333989073606931"/>
    <s v="CohortAvg"/>
    <n v="0"/>
    <s v="CohortAvg_NoData_ERROR"/>
    <n v="0"/>
    <s v="CohortAvg"/>
    <n v="0"/>
    <s v="Zero"/>
    <n v="0"/>
    <s v="CohortAvg"/>
    <n v="0"/>
    <s v="CohortAvg"/>
    <n v="0"/>
    <n v="-85748.91"/>
    <n v="-37351.85"/>
    <n v="35224.9"/>
    <n v="0"/>
    <n v="0"/>
    <n v="0"/>
    <n v="0"/>
    <n v="1723181.27"/>
    <n v="3.8026999999999998E-2"/>
    <n v="0.95760000000000001"/>
    <n v="3.6413000000000001E-2"/>
    <s v="DonorCohort:202101+Seasonal(0.958)"/>
    <n v="62746.53"/>
    <n v="57008.99"/>
    <n v="5737.54"/>
    <x v="1"/>
    <n v="0"/>
    <n v="0.78500000000000003"/>
    <n v="0.24"/>
    <n v="0"/>
    <n v="0"/>
    <n v="0"/>
    <n v="57008.99"/>
    <n v="1811057.14"/>
    <n v="3.1477999999999999E-2"/>
    <n v="5737.54"/>
    <n v="5737.54"/>
    <n v="0"/>
    <n v="5737.54"/>
    <n v="1717443.73"/>
    <s v="Forecast"/>
  </r>
  <r>
    <x v="8"/>
    <x v="3"/>
    <s v="202506"/>
    <n v="12"/>
    <n v="2055911.56"/>
    <n v="-5.0784298309874298E-2"/>
    <s v="CohortAvg"/>
    <n v="-2.1395895036715639E-2"/>
    <s v="CohortAvg"/>
    <n v="0.24218955428133709"/>
    <s v="CohortAvg"/>
    <n v="0"/>
    <s v="CohortAvg_NoData_ERROR"/>
    <n v="0"/>
    <s v="CohortAvg"/>
    <n v="0"/>
    <s v="Zero"/>
    <n v="0"/>
    <s v="CohortAvg"/>
    <n v="0"/>
    <s v="CohortAvg"/>
    <n v="0"/>
    <n v="-104408.03"/>
    <n v="-43988.07"/>
    <n v="41493.360000000001"/>
    <n v="0"/>
    <n v="0"/>
    <n v="0"/>
    <n v="0"/>
    <n v="1949008.83"/>
    <n v="3.3834999999999997E-2"/>
    <n v="0.95760000000000001"/>
    <n v="3.2399999999999998E-2"/>
    <s v="DonorCohort:202101+Seasonal(0.958)"/>
    <n v="63146.98"/>
    <n v="54394.35"/>
    <n v="8752.6299999999992"/>
    <x v="1"/>
    <n v="0"/>
    <n v="0.78500000000000003"/>
    <n v="0.24"/>
    <n v="0"/>
    <n v="0"/>
    <n v="0"/>
    <n v="54394.35"/>
    <n v="2055911.56"/>
    <n v="2.6457999999999999E-2"/>
    <n v="8752.6299999999992"/>
    <n v="8752.6299999999992"/>
    <n v="0"/>
    <n v="8752.6299999999992"/>
    <n v="1940256.19"/>
    <s v="Forecast"/>
  </r>
  <r>
    <x v="8"/>
    <x v="3"/>
    <s v="202507"/>
    <n v="11"/>
    <n v="2593512.75"/>
    <n v="-3.6748750256479119E-2"/>
    <s v="CohortAvg"/>
    <n v="-2.2067975962276311E-2"/>
    <s v="CohortAvg"/>
    <n v="0.23878077289171579"/>
    <s v="CohortAvg"/>
    <n v="0"/>
    <s v="CohortAvg_NoData_ERROR"/>
    <n v="0"/>
    <s v="CohortAvg"/>
    <n v="0"/>
    <s v="Zero"/>
    <n v="0"/>
    <s v="CohortAvg"/>
    <n v="0"/>
    <s v="CohortAvg"/>
    <n v="0"/>
    <n v="-95308.35"/>
    <n v="-57233.58"/>
    <n v="51606.75"/>
    <n v="0"/>
    <n v="0"/>
    <n v="0"/>
    <n v="0"/>
    <n v="2492577.56"/>
    <n v="2.8438999999999999E-2"/>
    <n v="0.95760000000000001"/>
    <n v="2.7231999999999999E-2"/>
    <s v="DonorCohort:202101+Seasonal(0.958)"/>
    <n v="67877.460000000006"/>
    <n v="51558.97"/>
    <n v="16318.49"/>
    <x v="1"/>
    <n v="0"/>
    <n v="0.78500000000000003"/>
    <n v="0.24"/>
    <n v="0"/>
    <n v="0"/>
    <n v="0"/>
    <n v="51558.97"/>
    <n v="2593512.75"/>
    <n v="1.9879999999999998E-2"/>
    <n v="16318.49"/>
    <n v="16318.49"/>
    <n v="0"/>
    <n v="16318.49"/>
    <n v="2476259.08"/>
    <s v="Forecast"/>
  </r>
  <r>
    <x v="8"/>
    <x v="3"/>
    <s v="202508"/>
    <n v="10"/>
    <n v="2855972.63"/>
    <n v="-3.5527321175402762E-2"/>
    <s v="CohortAvg"/>
    <n v="-1.629295407799132E-2"/>
    <s v="CohortAvg"/>
    <n v="0.2221875506824238"/>
    <s v="CohortAvg"/>
    <n v="0"/>
    <s v="CohortAvg_NoData_ERROR"/>
    <n v="0"/>
    <s v="CohortAvg"/>
    <n v="0"/>
    <s v="Zero"/>
    <n v="0"/>
    <s v="CohortAvg"/>
    <n v="0"/>
    <s v="CohortAvg"/>
    <n v="0"/>
    <n v="-101465.06"/>
    <n v="-46532.23"/>
    <n v="52880.13"/>
    <n v="0"/>
    <n v="0"/>
    <n v="0"/>
    <n v="0"/>
    <n v="2760855.47"/>
    <n v="2.1368999999999999E-2"/>
    <n v="0.95760000000000001"/>
    <n v="2.0462000000000001E-2"/>
    <s v="DonorCohort:202101+Seasonal(0.958)"/>
    <n v="56492.02"/>
    <n v="49438.080000000002"/>
    <n v="7053.94"/>
    <x v="1"/>
    <n v="0"/>
    <n v="0.78500000000000003"/>
    <n v="0.24"/>
    <n v="0"/>
    <n v="0"/>
    <n v="0"/>
    <n v="49438.080000000002"/>
    <n v="2855972.63"/>
    <n v="1.7309999999999999E-2"/>
    <n v="7053.94"/>
    <n v="7053.94"/>
    <n v="0"/>
    <n v="7053.94"/>
    <n v="2753801.53"/>
    <s v="Forecast"/>
  </r>
  <r>
    <x v="8"/>
    <x v="3"/>
    <s v="202509"/>
    <n v="9"/>
    <n v="1719816.57"/>
    <n v="-0.21879011932673151"/>
    <s v="CohortAvg"/>
    <n v="-3.200897944981542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376278.87"/>
    <n v="-55049.57"/>
    <n v="71659.02"/>
    <n v="0"/>
    <n v="0"/>
    <n v="0"/>
    <n v="0"/>
    <n v="1360147.15"/>
    <n v="1.8606999999999999E-2"/>
    <n v="0.95760000000000001"/>
    <n v="1.7817E-2"/>
    <s v="DonorCohort:202101+Seasonal(0.958)"/>
    <n v="24233.77"/>
    <n v="25992.83"/>
    <n v="-1759.06"/>
    <x v="1"/>
    <n v="0"/>
    <n v="0.78500000000000003"/>
    <n v="0.24"/>
    <n v="0"/>
    <n v="0"/>
    <n v="0"/>
    <n v="25992.83"/>
    <n v="1719816.57"/>
    <n v="1.5114000000000001E-2"/>
    <n v="-1759.06"/>
    <n v="-1759.06"/>
    <n v="0"/>
    <n v="-1759.06"/>
    <n v="1361906.21"/>
    <s v="Forecast"/>
  </r>
  <r>
    <x v="8"/>
    <x v="4"/>
    <s v="202101"/>
    <n v="63"/>
    <n v="1036368.26"/>
    <n v="-0.13587066200980771"/>
    <s v="CohortAvg"/>
    <n v="-1.123735478818459E-2"/>
    <s v="CohortAvg"/>
    <n v="0.1280087360000268"/>
    <s v="CohortAvg"/>
    <n v="4.5281477658595519E-2"/>
    <s v="CohortAvg_NonZero"/>
    <n v="0"/>
    <s v="CohortAvg"/>
    <n v="0"/>
    <s v="Zero"/>
    <n v="0"/>
    <s v="CohortAvg"/>
    <n v="0"/>
    <s v="CohortAvg"/>
    <n v="0"/>
    <n v="-140812.04"/>
    <n v="-11646.04"/>
    <n v="11055.35"/>
    <n v="46928.29"/>
    <n v="0"/>
    <n v="0"/>
    <n v="0"/>
    <n v="848037.24"/>
    <n v="0.170344"/>
    <n v="1.0209999999999999"/>
    <n v="0.17391699999999999"/>
    <s v="CohortAvg+Seasonal(1.021)"/>
    <n v="147487.78"/>
    <n v="161319.35"/>
    <n v="-13831.57"/>
    <x v="1"/>
    <n v="46928.29"/>
    <n v="0.78500000000000003"/>
    <n v="0.24"/>
    <n v="36838.699999999997"/>
    <n v="36838.699999999997"/>
    <n v="11262.79"/>
    <n v="124480.65"/>
    <n v="989439.97"/>
    <n v="0.125809"/>
    <n v="23007.13"/>
    <n v="23007.13"/>
    <n v="95029.78"/>
    <n v="118036.91"/>
    <n v="730000.33"/>
    <s v="Forecast"/>
  </r>
  <r>
    <x v="8"/>
    <x v="4"/>
    <s v="202201"/>
    <n v="45"/>
    <n v="50348.52"/>
    <n v="-9.7127505616785834E-2"/>
    <s v="CohortAvg"/>
    <n v="-9.5559208308555223E-3"/>
    <s v="CohortAvg"/>
    <n v="0.1000231788630957"/>
    <s v="CohortAvg"/>
    <n v="3.6522030451897947E-2"/>
    <s v="CohortAvg_NonZero"/>
    <n v="6.2686240023226577E-9"/>
    <s v="CohortAvg"/>
    <n v="0"/>
    <s v="Zero"/>
    <n v="0"/>
    <s v="CohortAvg"/>
    <n v="0"/>
    <s v="CohortAvg"/>
    <n v="0"/>
    <n v="-4890.2299999999996"/>
    <n v="-481.13"/>
    <n v="419.67"/>
    <n v="1838.83"/>
    <n v="0"/>
    <n v="0"/>
    <n v="0"/>
    <n v="43558"/>
    <n v="3.9292000000000001E-2"/>
    <n v="1.0209999999999999"/>
    <n v="4.0115999999999999E-2"/>
    <s v="CohortAvg+Seasonal(1.021)"/>
    <n v="1747.39"/>
    <n v="1834.96"/>
    <n v="-87.58"/>
    <x v="1"/>
    <n v="1838.83"/>
    <n v="0.78500000000000003"/>
    <n v="0.24"/>
    <n v="1443.48"/>
    <n v="1443.48"/>
    <n v="441.32"/>
    <n v="391.48"/>
    <n v="48509.69"/>
    <n v="8.0700000000000008E-3"/>
    <n v="1355.9"/>
    <n v="1355.9"/>
    <n v="3723.63"/>
    <n v="5079.53"/>
    <n v="38478.47"/>
    <s v="Forecast"/>
  </r>
  <r>
    <x v="8"/>
    <x v="4"/>
    <s v="202405"/>
    <n v="25"/>
    <n v="4215.76"/>
    <n v="-1.6700984001512709E-2"/>
    <s v="CohortAvg"/>
    <n v="-1.0454746398526889E-2"/>
    <s v="CohortAvg"/>
    <n v="0.1215773993660058"/>
    <s v="CohortAvg"/>
    <n v="0"/>
    <s v="CohortAvg_NoData_ERROR"/>
    <n v="0"/>
    <s v="CohortAvg"/>
    <n v="0"/>
    <s v="Zero"/>
    <n v="0"/>
    <s v="CohortAvg"/>
    <n v="0"/>
    <s v="CohortAvg"/>
    <n v="0"/>
    <n v="-70.41"/>
    <n v="-44.07"/>
    <n v="42.71"/>
    <n v="0"/>
    <n v="0"/>
    <n v="0"/>
    <n v="0"/>
    <n v="4143.99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4215.76"/>
    <n v="0"/>
    <n v="0"/>
    <n v="0"/>
    <n v="0"/>
    <n v="0"/>
    <n v="4143.99"/>
    <s v="Forecast"/>
  </r>
  <r>
    <x v="8"/>
    <x v="4"/>
    <s v="202407"/>
    <n v="23"/>
    <n v="2012.16"/>
    <n v="-5.3242206826925223E-2"/>
    <s v="CohortAvg"/>
    <n v="-1.0491405830798351E-2"/>
    <s v="CohortAvg"/>
    <n v="0.12047818867777429"/>
    <s v="CohortAvg"/>
    <n v="0"/>
    <s v="CohortAvg_NoData_ERROR"/>
    <n v="0"/>
    <s v="CohortAvg"/>
    <n v="0"/>
    <s v="Zero"/>
    <n v="0"/>
    <s v="CohortAvg"/>
    <n v="0"/>
    <s v="CohortAvg"/>
    <n v="0"/>
    <n v="-107.13"/>
    <n v="-21.11"/>
    <n v="20.2"/>
    <n v="0"/>
    <n v="0"/>
    <n v="0"/>
    <n v="0"/>
    <n v="1904.12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2012.16"/>
    <n v="0"/>
    <n v="0"/>
    <n v="0"/>
    <n v="0"/>
    <n v="0"/>
    <n v="1904.12"/>
    <s v="Forecast"/>
  </r>
  <r>
    <x v="8"/>
    <x v="4"/>
    <s v="202409"/>
    <n v="21"/>
    <n v="7191.76"/>
    <n v="-4.3216603264338897E-2"/>
    <s v="CohortAvg"/>
    <n v="-1.046109229951977E-2"/>
    <s v="CohortAvg"/>
    <n v="0.1208296828644789"/>
    <s v="CohortAvg"/>
    <n v="0"/>
    <s v="CohortAvg_NoData_ERROR"/>
    <n v="0"/>
    <s v="CohortAvg"/>
    <n v="0"/>
    <s v="Zero"/>
    <n v="0"/>
    <s v="CohortAvg"/>
    <n v="0"/>
    <s v="CohortAvg"/>
    <n v="0"/>
    <n v="-310.8"/>
    <n v="-75.23"/>
    <n v="72.41"/>
    <n v="0"/>
    <n v="0"/>
    <n v="0"/>
    <n v="0"/>
    <n v="6878.14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7191.76"/>
    <n v="0"/>
    <n v="0"/>
    <n v="0"/>
    <n v="0"/>
    <n v="0"/>
    <n v="6878.14"/>
    <s v="Forecast"/>
  </r>
  <r>
    <x v="8"/>
    <x v="4"/>
    <s v="202504"/>
    <n v="14"/>
    <n v="4197.7"/>
    <n v="-1.2971115358686971E-2"/>
    <s v="CohortAvg"/>
    <n v="-1.0430147363331491E-2"/>
    <s v="CohortAvg"/>
    <n v="0.12529211838037349"/>
    <s v="CohortAvg"/>
    <n v="0"/>
    <s v="CohortAvg_NoData_ERROR"/>
    <n v="0"/>
    <s v="CohortAvg"/>
    <n v="0"/>
    <s v="Zero"/>
    <n v="0"/>
    <s v="CohortAvg"/>
    <n v="0"/>
    <s v="CohortAvg"/>
    <n v="0"/>
    <n v="-54.45"/>
    <n v="-43.78"/>
    <n v="43.83"/>
    <n v="0"/>
    <n v="0"/>
    <n v="0"/>
    <n v="0"/>
    <n v="4143.3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4197.7"/>
    <n v="0"/>
    <n v="0"/>
    <n v="0"/>
    <n v="0"/>
    <n v="0"/>
    <n v="4143.3"/>
    <s v="Forecast"/>
  </r>
  <r>
    <x v="8"/>
    <x v="4"/>
    <s v="202507"/>
    <n v="11"/>
    <n v="9348.4599999999991"/>
    <n v="-1.0800574295735371E-2"/>
    <s v="CohortAvg"/>
    <n v="-1.067626982475464E-2"/>
    <s v="CohortAvg"/>
    <n v="0.1270391693422972"/>
    <s v="CohortAvg"/>
    <n v="0"/>
    <s v="CohortAvg_NoData_ERROR"/>
    <n v="0"/>
    <s v="CohortAvg"/>
    <n v="0"/>
    <s v="Zero"/>
    <n v="0"/>
    <s v="CohortAvg"/>
    <n v="0"/>
    <s v="CohortAvg"/>
    <n v="0"/>
    <n v="-100.97"/>
    <n v="-99.81"/>
    <n v="98.97"/>
    <n v="0"/>
    <n v="0"/>
    <n v="0"/>
    <n v="0"/>
    <n v="9246.65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9348.4599999999991"/>
    <n v="0"/>
    <n v="0"/>
    <n v="0"/>
    <n v="0"/>
    <n v="0"/>
    <n v="9246.65"/>
    <s v="Forecast"/>
  </r>
  <r>
    <x v="8"/>
    <x v="4"/>
    <s v="202508"/>
    <n v="10"/>
    <n v="30037.19"/>
    <n v="-6.7861142926775508E-3"/>
    <s v="CohortAvg"/>
    <n v="-3.4927179266593788E-3"/>
    <s v="CohortAvg"/>
    <n v="0.1217629705868984"/>
    <s v="CohortAvg"/>
    <n v="0"/>
    <s v="CohortAvg_NoData_ERROR"/>
    <n v="0"/>
    <s v="CohortAvg"/>
    <n v="0"/>
    <s v="Zero"/>
    <n v="0"/>
    <s v="CohortAvg"/>
    <n v="0"/>
    <s v="CohortAvg"/>
    <n v="0"/>
    <n v="-203.84"/>
    <n v="-104.91"/>
    <n v="304.77999999999997"/>
    <n v="0"/>
    <n v="0"/>
    <n v="0"/>
    <n v="0"/>
    <n v="30033.22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30037.19"/>
    <n v="0"/>
    <n v="0"/>
    <n v="0"/>
    <n v="0"/>
    <n v="0"/>
    <n v="30033.22"/>
    <s v="Forecast"/>
  </r>
  <r>
    <x v="8"/>
    <x v="4"/>
    <s v="202509"/>
    <n v="9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9"/>
    <x v="0"/>
    <s v="201912"/>
    <n v="79"/>
    <n v="332423.19"/>
    <n v="2.3667626685585001E-4"/>
    <s v="CohortAvg"/>
    <n v="1.5281036516765619E-3"/>
    <s v="CohortAvg"/>
    <n v="0"/>
    <s v="CohortAvg"/>
    <n v="2.9240353359874509E-2"/>
    <s v="CohortAvg_NonZero"/>
    <n v="9.3352906669158869E-5"/>
    <s v="CohortAvg"/>
    <n v="0"/>
    <s v="Zero"/>
    <n v="0"/>
    <s v="CohortAvg"/>
    <n v="0"/>
    <s v="CohortAvg"/>
    <n v="0"/>
    <n v="78.680000000000007"/>
    <n v="507.98"/>
    <n v="0"/>
    <n v="0"/>
    <n v="31.03"/>
    <n v="0"/>
    <n v="0"/>
    <n v="331805.51"/>
    <n v="0.99657300000000004"/>
    <n v="0.89859999999999995"/>
    <n v="0.89547299999999996"/>
    <s v="CohortAvg+Seasonal(0.899)"/>
    <n v="297122.88"/>
    <n v="305783.78000000003"/>
    <n v="-8660.9"/>
    <x v="0"/>
    <n v="0"/>
    <n v="0.78500000000000003"/>
    <n v="0.24"/>
    <n v="0"/>
    <n v="0"/>
    <n v="0"/>
    <n v="305783.78000000003"/>
    <n v="332423.19"/>
    <n v="0.91986299999999999"/>
    <n v="-8660.9"/>
    <n v="-8629.8700000000008"/>
    <n v="0"/>
    <n v="-8629.8700000000008"/>
    <n v="340435.38"/>
    <s v="Forecast"/>
  </r>
  <r>
    <x v="9"/>
    <x v="0"/>
    <s v="202001"/>
    <n v="78"/>
    <n v="67736.22"/>
    <n v="3.8138593633827753E-2"/>
    <s v="CohortAvg"/>
    <n v="1.639076514046315E-3"/>
    <s v="CohortAvg"/>
    <n v="0"/>
    <s v="CohortAvg"/>
    <n v="1.29486791977611E-2"/>
    <s v="CohortAvg_NonZero"/>
    <n v="0"/>
    <s v="CohortAvg"/>
    <n v="0"/>
    <s v="Zero"/>
    <n v="0"/>
    <s v="CohortAvg"/>
    <n v="0"/>
    <s v="CohortAvg"/>
    <n v="0"/>
    <n v="2583.36"/>
    <n v="111.02"/>
    <n v="0"/>
    <n v="0"/>
    <n v="0"/>
    <n v="0"/>
    <n v="0"/>
    <n v="65041.83"/>
    <n v="0.99836499999999995"/>
    <n v="0.89859999999999995"/>
    <n v="0.89708299999999996"/>
    <s v="CohortAvg+Seasonal(0.899)"/>
    <n v="58347.94"/>
    <n v="62425.1"/>
    <n v="-4077.16"/>
    <x v="0"/>
    <n v="0"/>
    <n v="0.78500000000000003"/>
    <n v="0.24"/>
    <n v="0"/>
    <n v="0"/>
    <n v="0"/>
    <n v="62425.1"/>
    <n v="67736.22"/>
    <n v="0.92159100000000005"/>
    <n v="-4077.16"/>
    <n v="-4077.16"/>
    <n v="0"/>
    <n v="-4077.16"/>
    <n v="69118.990000000005"/>
    <s v="Forecast"/>
  </r>
  <r>
    <x v="9"/>
    <x v="0"/>
    <s v="202101"/>
    <n v="66"/>
    <n v="748508.94"/>
    <n v="-4.2656894350370329E-3"/>
    <s v="CohortAvg"/>
    <n v="-1.9475274249622771E-3"/>
    <s v="CohortAvg"/>
    <n v="0"/>
    <s v="CohortAvg"/>
    <n v="1.5558973476387289E-2"/>
    <s v="CohortAvg_NonZero"/>
    <n v="7.8597581539692737E-5"/>
    <s v="CohortAvg"/>
    <n v="0"/>
    <s v="Zero"/>
    <n v="0"/>
    <s v="CohortAvg"/>
    <n v="0"/>
    <s v="CohortAvg"/>
    <n v="0"/>
    <n v="-3192.91"/>
    <n v="-1457.74"/>
    <n v="0"/>
    <n v="0"/>
    <n v="58.83"/>
    <n v="0"/>
    <n v="0"/>
    <n v="743799.46"/>
    <n v="0.94581300000000001"/>
    <n v="0.89859999999999995"/>
    <n v="0.84986300000000004"/>
    <s v="CohortAvg+Seasonal(0.899)"/>
    <n v="632127.56999999995"/>
    <n v="653607.27"/>
    <n v="-21479.7"/>
    <x v="0"/>
    <n v="0"/>
    <n v="0.78500000000000003"/>
    <n v="0.24"/>
    <n v="0"/>
    <n v="0"/>
    <n v="0"/>
    <n v="653607.27"/>
    <n v="748508.94"/>
    <n v="0.87321199999999999"/>
    <n v="-21479.7"/>
    <n v="-21420.87"/>
    <n v="0"/>
    <n v="-21420.87"/>
    <n v="765220.33"/>
    <s v="Forecast"/>
  </r>
  <r>
    <x v="9"/>
    <x v="0"/>
    <s v="202201"/>
    <n v="46"/>
    <n v="355913.35"/>
    <n v="-0.1150602019757693"/>
    <s v="CohortAvg"/>
    <n v="-6.3243481851495784E-3"/>
    <s v="CohortAvg"/>
    <n v="2.9257613654408751E-2"/>
    <s v="CohortAvg"/>
    <n v="4.1797959909393542E-2"/>
    <s v="CohortAvg_NonZero"/>
    <n v="4.3734948816521362E-3"/>
    <s v="CohortAvg"/>
    <n v="0"/>
    <s v="Zero"/>
    <n v="-1.1740317008954151E-4"/>
    <s v="CohortAvg"/>
    <n v="-2.5870084424997269E-6"/>
    <s v="CohortAvg"/>
    <n v="0"/>
    <n v="-40951.46"/>
    <n v="-2250.92"/>
    <n v="867.76"/>
    <n v="0"/>
    <n v="1556.59"/>
    <n v="-41.79"/>
    <n v="-0.92"/>
    <n v="312022.15000000002"/>
    <n v="0.58361399999999997"/>
    <n v="0.89859999999999995"/>
    <n v="0.52440799999999999"/>
    <s v="CohortAvg+Seasonal(0.899)"/>
    <n v="163626.95000000001"/>
    <n v="192542.39"/>
    <n v="-28915.439999999999"/>
    <x v="0"/>
    <n v="0"/>
    <n v="0.78500000000000003"/>
    <n v="0.24"/>
    <n v="0"/>
    <n v="0"/>
    <n v="0"/>
    <n v="192542.39"/>
    <n v="355913.35"/>
    <n v="0.54098100000000005"/>
    <n v="-28915.439999999999"/>
    <n v="-27358.86"/>
    <n v="0"/>
    <n v="-27358.86"/>
    <n v="339381.01"/>
    <s v="Forecast"/>
  </r>
  <r>
    <x v="9"/>
    <x v="0"/>
    <s v="202301"/>
    <n v="37"/>
    <n v="3017648.27"/>
    <n v="-6.9708275717048407E-2"/>
    <s v="CohortAvg"/>
    <n v="-1.694065914526097E-2"/>
    <s v="CohortAvg"/>
    <n v="0.2060046979708294"/>
    <s v="CohortAvg"/>
    <n v="6.4749203364527566E-2"/>
    <s v="CohortAvg_NonZero"/>
    <n v="1.215550796916445E-4"/>
    <s v="CohortAvg"/>
    <n v="0"/>
    <s v="Zero"/>
    <n v="-5.2012092536302956E-3"/>
    <s v="CohortAvg"/>
    <n v="-7.3686561765734827E-5"/>
    <s v="CohortAvg"/>
    <n v="0"/>
    <n v="-210355.06"/>
    <n v="-51120.95"/>
    <n v="51804.14"/>
    <n v="0"/>
    <n v="366.81"/>
    <n v="-15695.42"/>
    <n v="-222.36"/>
    <n v="2807609.59"/>
    <n v="0.60153299999999998"/>
    <n v="0.89859999999999995"/>
    <n v="0.54050900000000002"/>
    <s v="CohortTrend+Seasonal(0.899)"/>
    <n v="1517537.81"/>
    <n v="1627072.03"/>
    <n v="-109534.22"/>
    <x v="0"/>
    <n v="0"/>
    <n v="0.78500000000000003"/>
    <n v="0.24"/>
    <n v="0"/>
    <n v="0"/>
    <n v="0"/>
    <n v="1627072.03"/>
    <n v="3017648.27"/>
    <n v="0.53918500000000003"/>
    <n v="-109534.22"/>
    <n v="-109167.41"/>
    <n v="0"/>
    <n v="-109167.41"/>
    <n v="2916777"/>
    <s v="Forecast"/>
  </r>
  <r>
    <x v="9"/>
    <x v="0"/>
    <s v="202404"/>
    <n v="27"/>
    <n v="513517.64"/>
    <n v="-7.2073533071990187E-2"/>
    <s v="CohortAvg"/>
    <n v="-2.4106777766468079E-2"/>
    <s v="CohortAvg"/>
    <n v="0.25408583154640341"/>
    <s v="CohortAvg"/>
    <n v="0.1081059228137236"/>
    <s v="CohortAvg_NonZero"/>
    <n v="9.7643307847363446E-5"/>
    <s v="CohortAvg"/>
    <n v="0"/>
    <s v="Zero"/>
    <n v="-7.8241894443994812E-3"/>
    <s v="CohortAvg"/>
    <n v="-1.150816124868515E-4"/>
    <s v="CohortAvg"/>
    <n v="0"/>
    <n v="-37011.03"/>
    <n v="-12379.26"/>
    <n v="10873.13"/>
    <n v="0"/>
    <n v="50.14"/>
    <n v="-4017.86"/>
    <n v="-59.1"/>
    <n v="474950.34"/>
    <n v="0.38096999999999998"/>
    <n v="0.89859999999999995"/>
    <n v="0.34232200000000002"/>
    <s v="CohortTrend+Seasonal(0.899)"/>
    <n v="162585.88"/>
    <n v="175866.25"/>
    <n v="-13280.37"/>
    <x v="0"/>
    <n v="0"/>
    <n v="0.78500000000000003"/>
    <n v="0.24"/>
    <n v="0"/>
    <n v="0"/>
    <n v="0"/>
    <n v="175866.25"/>
    <n v="513517.64"/>
    <n v="0.342474"/>
    <n v="-13280.37"/>
    <n v="-13230.23"/>
    <n v="0"/>
    <n v="-13230.23"/>
    <n v="488180.57"/>
    <s v="Forecast"/>
  </r>
  <r>
    <x v="9"/>
    <x v="0"/>
    <s v="202405"/>
    <n v="26"/>
    <n v="697516.83"/>
    <n v="-6.0752058480091457E-2"/>
    <s v="CohortAvg"/>
    <n v="-2.4321302747114928E-2"/>
    <s v="CohortAvg"/>
    <n v="0.26257107914415417"/>
    <s v="CohortAvg"/>
    <n v="0.1047041701719596"/>
    <s v="CohortAvg_NonZero"/>
    <n v="1.5154601085899259E-4"/>
    <s v="CohortAvg"/>
    <n v="0"/>
    <s v="Zero"/>
    <n v="-1.171511537116394E-2"/>
    <s v="CohortAvg"/>
    <n v="-2.0777496907549729E-4"/>
    <s v="CohortAvg"/>
    <n v="0"/>
    <n v="-42375.58"/>
    <n v="-16964.52"/>
    <n v="15262.31"/>
    <n v="0"/>
    <n v="105.71"/>
    <n v="-8171.49"/>
    <n v="-144.93"/>
    <n v="653333.34"/>
    <n v="0.33918999999999999"/>
    <n v="0.89859999999999995"/>
    <n v="0.30478"/>
    <s v="CohortTrend+Seasonal(0.899)"/>
    <n v="199123.16"/>
    <n v="213611.11"/>
    <n v="-14487.94"/>
    <x v="0"/>
    <n v="0"/>
    <n v="0.78500000000000003"/>
    <n v="0.24"/>
    <n v="0"/>
    <n v="0"/>
    <n v="0"/>
    <n v="213611.11"/>
    <n v="697516.83"/>
    <n v="0.30624499999999999"/>
    <n v="-14487.94"/>
    <n v="-14382.24"/>
    <n v="0"/>
    <n v="-14382.24"/>
    <n v="667715.57999999996"/>
    <s v="Forecast"/>
  </r>
  <r>
    <x v="9"/>
    <x v="0"/>
    <s v="202406"/>
    <n v="25"/>
    <n v="1095958.6000000001"/>
    <n v="-5.6045252368366681E-2"/>
    <s v="CohortAvg"/>
    <n v="-2.5501193053985561E-2"/>
    <s v="CohortAvg"/>
    <n v="0.28127024600004519"/>
    <s v="CohortAvg"/>
    <n v="6.5897876031528788E-2"/>
    <s v="CohortAvg_NonZero"/>
    <n v="1.8178147055535129E-5"/>
    <s v="CohortAvg"/>
    <n v="0"/>
    <s v="Zero"/>
    <n v="-9.9627037879644678E-3"/>
    <s v="CohortAvg"/>
    <n v="-2.136953145494843E-4"/>
    <s v="CohortAvg"/>
    <n v="0"/>
    <n v="-61423.28"/>
    <n v="-27948.25"/>
    <n v="25688.38"/>
    <n v="0"/>
    <n v="19.920000000000002"/>
    <n v="-10918.71"/>
    <n v="-234.2"/>
    <n v="1032255.53"/>
    <n v="0.299211"/>
    <n v="0.89859999999999995"/>
    <n v="0.26885700000000001"/>
    <s v="CohortTrend+Seasonal(0.899)"/>
    <n v="277529.32"/>
    <n v="295281.21999999997"/>
    <n v="-17751.900000000001"/>
    <x v="0"/>
    <n v="0"/>
    <n v="0.78500000000000003"/>
    <n v="0.24"/>
    <n v="0"/>
    <n v="0"/>
    <n v="0"/>
    <n v="295281.21999999997"/>
    <n v="1095958.6000000001"/>
    <n v="0.26942700000000003"/>
    <n v="-17751.900000000001"/>
    <n v="-17731.98"/>
    <n v="0"/>
    <n v="-17731.98"/>
    <n v="1049987.5"/>
    <s v="Forecast"/>
  </r>
  <r>
    <x v="9"/>
    <x v="0"/>
    <s v="202407"/>
    <n v="24"/>
    <n v="1151689.49"/>
    <n v="-5.3261446670004847E-2"/>
    <s v="CohortAvg"/>
    <n v="-2.6785916804089371E-2"/>
    <s v="CohortAvg"/>
    <n v="0.28984089715324829"/>
    <s v="CohortAvg"/>
    <n v="7.3449948469346257E-2"/>
    <s v="CohortAvg_NonZero"/>
    <n v="2.406169849070691E-5"/>
    <s v="CohortAvg"/>
    <n v="0"/>
    <s v="Zero"/>
    <n v="-1.2538907006222949E-2"/>
    <s v="CohortAvg"/>
    <n v="-7.8841165433171068E-5"/>
    <s v="CohortAvg"/>
    <n v="0"/>
    <n v="-61340.65"/>
    <n v="-30849.06"/>
    <n v="27817.23"/>
    <n v="0"/>
    <n v="27.71"/>
    <n v="-14440.93"/>
    <n v="-90.8"/>
    <n v="1087289.29"/>
    <n v="0.259492"/>
    <n v="0.89859999999999995"/>
    <n v="0.23316700000000001"/>
    <s v="CohortTrend+Seasonal(0.899)"/>
    <n v="253520.35"/>
    <n v="270386.32"/>
    <n v="-16865.97"/>
    <x v="0"/>
    <n v="0"/>
    <n v="0.78500000000000003"/>
    <n v="0.24"/>
    <n v="0"/>
    <n v="0"/>
    <n v="0"/>
    <n v="270386.32"/>
    <n v="1151689.49"/>
    <n v="0.23477400000000001"/>
    <n v="-16865.97"/>
    <n v="-16838.259999999998"/>
    <n v="0"/>
    <n v="-16838.259999999998"/>
    <n v="1104127.55"/>
    <s v="Forecast"/>
  </r>
  <r>
    <x v="9"/>
    <x v="0"/>
    <s v="202408"/>
    <n v="23"/>
    <n v="1039388.66"/>
    <n v="-6.4884541092258857E-2"/>
    <s v="CohortAvg"/>
    <n v="-2.6189931617679019E-2"/>
    <s v="CohortAvg"/>
    <n v="0.28045203223012771"/>
    <s v="CohortAvg"/>
    <n v="9.5515459754312748E-2"/>
    <s v="CohortAvg_NonZero"/>
    <n v="1.242243144290095E-4"/>
    <s v="CohortAvg"/>
    <n v="0"/>
    <s v="Zero"/>
    <n v="-1.419525724541063E-2"/>
    <s v="CohortAvg"/>
    <n v="-3.1783458187751169E-4"/>
    <s v="CohortAvg"/>
    <n v="0"/>
    <n v="-67440.259999999995"/>
    <n v="-27221.52"/>
    <n v="24291.56"/>
    <n v="0"/>
    <n v="129.12"/>
    <n v="-14754.39"/>
    <n v="-330.35"/>
    <n v="968889.32"/>
    <n v="0.241365"/>
    <n v="0.89859999999999995"/>
    <n v="0.21687899999999999"/>
    <s v="CohortTrend+Seasonal(0.899)"/>
    <n v="210131.76"/>
    <n v="227296.56"/>
    <n v="-17164.8"/>
    <x v="0"/>
    <n v="0"/>
    <n v="0.78500000000000003"/>
    <n v="0.24"/>
    <n v="0"/>
    <n v="0"/>
    <n v="0"/>
    <n v="227296.56"/>
    <n v="1039388.66"/>
    <n v="0.21868299999999999"/>
    <n v="-17164.8"/>
    <n v="-17035.68"/>
    <n v="0"/>
    <n v="-17035.68"/>
    <n v="985925"/>
    <s v="Forecast"/>
  </r>
  <r>
    <x v="9"/>
    <x v="0"/>
    <s v="202409"/>
    <n v="22"/>
    <n v="952300.3"/>
    <n v="-7.0206329417825911E-2"/>
    <s v="CohortAvg"/>
    <n v="-2.9287927408376099E-2"/>
    <s v="CohortAvg"/>
    <n v="0.29746670774419842"/>
    <s v="CohortAvg"/>
    <n v="0.10003102928863621"/>
    <s v="CohortAvg_NonZero"/>
    <n v="3.3134481369660003E-4"/>
    <s v="CohortAvg"/>
    <n v="0"/>
    <s v="Zero"/>
    <n v="-1.6670091542958329E-2"/>
    <s v="CohortAvg"/>
    <n v="9.1345851300166862E-4"/>
    <s v="CohortAvg"/>
    <n v="0"/>
    <n v="-66857.509999999995"/>
    <n v="-27890.9"/>
    <n v="23606.47"/>
    <n v="0"/>
    <n v="315.54000000000002"/>
    <n v="-15874.93"/>
    <n v="869.89"/>
    <n v="880842.82"/>
    <n v="0.22498399999999999"/>
    <n v="0.89859999999999995"/>
    <n v="0.20216000000000001"/>
    <s v="CohortTrend+Seasonal(0.899)"/>
    <n v="178071.16"/>
    <n v="193998.94"/>
    <n v="-15927.78"/>
    <x v="0"/>
    <n v="0"/>
    <n v="0.78500000000000003"/>
    <n v="0.24"/>
    <n v="0"/>
    <n v="0"/>
    <n v="0"/>
    <n v="193998.94"/>
    <n v="952300.3"/>
    <n v="0.20371600000000001"/>
    <n v="-15927.78"/>
    <n v="-15612.24"/>
    <n v="0"/>
    <n v="-15612.24"/>
    <n v="896455.06"/>
    <s v="Forecast"/>
  </r>
  <r>
    <x v="9"/>
    <x v="0"/>
    <s v="202410"/>
    <n v="21"/>
    <n v="1365398.23"/>
    <n v="-6.4784718125183591E-2"/>
    <s v="CohortAvg"/>
    <n v="-2.981056376211793E-2"/>
    <s v="CohortAvg"/>
    <n v="0.29764662549793491"/>
    <s v="CohortAvg"/>
    <n v="8.9544009540455591E-2"/>
    <s v="CohortAvg_NonZero"/>
    <n v="8.4311543996708045E-5"/>
    <s v="CohortAvg"/>
    <n v="0"/>
    <s v="Zero"/>
    <n v="-2.009575803216546E-2"/>
    <s v="CohortAvg"/>
    <n v="-3.0061524928605768E-4"/>
    <s v="CohortAvg"/>
    <n v="0"/>
    <n v="-88456.94"/>
    <n v="-40703.29"/>
    <n v="33867.18"/>
    <n v="0"/>
    <n v="115.12"/>
    <n v="-27438.71"/>
    <n v="-410.46"/>
    <n v="1269990.06"/>
    <n v="0.214226"/>
    <n v="0.89859999999999995"/>
    <n v="0.192493"/>
    <s v="CohortTrend+Seasonal(0.899)"/>
    <n v="244464.67"/>
    <n v="265228.88"/>
    <n v="-20764.21"/>
    <x v="0"/>
    <n v="0"/>
    <n v="0.78500000000000003"/>
    <n v="0.24"/>
    <n v="0"/>
    <n v="0"/>
    <n v="0"/>
    <n v="265228.88"/>
    <n v="1365398.23"/>
    <n v="0.19425000000000001"/>
    <n v="-20764.21"/>
    <n v="-20649.09"/>
    <n v="0"/>
    <n v="-20649.09"/>
    <n v="1290639.1499999999"/>
    <s v="Forecast"/>
  </r>
  <r>
    <x v="9"/>
    <x v="0"/>
    <s v="202411"/>
    <n v="20"/>
    <n v="1457187.89"/>
    <n v="-6.9250372217457057E-2"/>
    <s v="CohortAvg"/>
    <n v="-3.0790089624023031E-2"/>
    <s v="CohortAvg"/>
    <n v="0.31824260326305132"/>
    <s v="CohortAvg"/>
    <n v="8.0396746478054851E-2"/>
    <s v="CohortAvg_NonZero"/>
    <n v="1.6034394417317291E-5"/>
    <s v="CohortAvg"/>
    <n v="0"/>
    <s v="Zero"/>
    <n v="-1.9716597164641182E-2"/>
    <s v="CohortAvg"/>
    <n v="-3.9536985435559188E-4"/>
    <s v="CohortAvg"/>
    <n v="0"/>
    <n v="-100910.8"/>
    <n v="-44866.95"/>
    <n v="38644.94"/>
    <n v="0"/>
    <n v="23.37"/>
    <n v="-28730.79"/>
    <n v="-576.13"/>
    <n v="1350031.72"/>
    <n v="0.20624799999999999"/>
    <n v="0.89859999999999995"/>
    <n v="0.18532499999999999"/>
    <s v="CohortTrend+Seasonal(0.899)"/>
    <n v="250194.66"/>
    <n v="256582.71"/>
    <n v="-6388.05"/>
    <x v="0"/>
    <n v="0"/>
    <n v="0.78500000000000003"/>
    <n v="0.24"/>
    <n v="0"/>
    <n v="0"/>
    <n v="0"/>
    <n v="256582.71"/>
    <n v="1457187.89"/>
    <n v="0.17608099999999999"/>
    <n v="-6388.05"/>
    <n v="-6364.68"/>
    <n v="0"/>
    <n v="-6364.68"/>
    <n v="1356396.4"/>
    <s v="Forecast"/>
  </r>
  <r>
    <x v="9"/>
    <x v="0"/>
    <s v="202412"/>
    <n v="19"/>
    <n v="1650259.83"/>
    <n v="-6.5794141473371662E-2"/>
    <s v="CohortAvg"/>
    <n v="-3.2018612745618798E-2"/>
    <s v="CohortAvg"/>
    <n v="0.32822362686277762"/>
    <s v="CohortAvg"/>
    <n v="7.6351810573396309E-2"/>
    <s v="CohortAvg_NonZero"/>
    <n v="3.6132010038671607E-5"/>
    <s v="CohortAvg"/>
    <n v="0"/>
    <s v="Zero"/>
    <n v="-3.3744823788454982E-2"/>
    <s v="CohortAvg"/>
    <n v="-4.6324180813409158E-4"/>
    <s v="CohortAvg"/>
    <n v="0"/>
    <n v="-108577.43"/>
    <n v="-52839.03"/>
    <n v="45137.86"/>
    <n v="0"/>
    <n v="59.63"/>
    <n v="-55687.73"/>
    <n v="-764.47"/>
    <n v="1533921.6"/>
    <n v="0.190751"/>
    <n v="0.89859999999999995"/>
    <n v="0.1714"/>
    <s v="DonorCohort:202101+Seasonal(0.899)"/>
    <n v="262913.8"/>
    <n v="269273.2"/>
    <n v="-6359.41"/>
    <x v="0"/>
    <n v="0"/>
    <n v="0.78500000000000003"/>
    <n v="0.24"/>
    <n v="0"/>
    <n v="0"/>
    <n v="0"/>
    <n v="269273.2"/>
    <n v="1650259.83"/>
    <n v="0.16317000000000001"/>
    <n v="-6359.41"/>
    <n v="-6299.78"/>
    <n v="0"/>
    <n v="-6299.78"/>
    <n v="1540221.38"/>
    <s v="Forecast"/>
  </r>
  <r>
    <x v="9"/>
    <x v="0"/>
    <s v="202501"/>
    <n v="18"/>
    <n v="1974702.86"/>
    <n v="-6.3318476479624644E-2"/>
    <s v="CohortAvg"/>
    <n v="-3.1445524928658611E-2"/>
    <s v="CohortAvg"/>
    <n v="0.33716068155406659"/>
    <s v="CohortAvg"/>
    <n v="6.646393405400193E-2"/>
    <s v="CohortAvg_NonZero"/>
    <n v="8.1699181175079135E-5"/>
    <s v="CohortAvg"/>
    <n v="0"/>
    <s v="Zero"/>
    <n v="-4.6381039639070538E-2"/>
    <s v="CohortAvg"/>
    <n v="-9.1166966344287403E-4"/>
    <s v="CohortAvg"/>
    <n v="0"/>
    <n v="-125035.18"/>
    <n v="-62095.57"/>
    <n v="55482.68"/>
    <n v="0"/>
    <n v="161.33000000000001"/>
    <n v="-91588.77"/>
    <n v="-1800.28"/>
    <n v="1842893.46"/>
    <n v="0.17676500000000001"/>
    <n v="0.89859999999999995"/>
    <n v="0.158832"/>
    <s v="DonorCohort:202101+Seasonal(0.899)"/>
    <n v="292711.25"/>
    <n v="326770.65000000002"/>
    <n v="-34059.4"/>
    <x v="0"/>
    <n v="0"/>
    <n v="0.78500000000000003"/>
    <n v="0.24"/>
    <n v="0"/>
    <n v="0"/>
    <n v="0"/>
    <n v="326770.65000000002"/>
    <n v="1974702.86"/>
    <n v="0.16547799999999999"/>
    <n v="-34059.4"/>
    <n v="-33898.07"/>
    <n v="0"/>
    <n v="-33898.07"/>
    <n v="1876791.53"/>
    <s v="Forecast"/>
  </r>
  <r>
    <x v="9"/>
    <x v="0"/>
    <s v="202502"/>
    <n v="17"/>
    <n v="2948143.08"/>
    <n v="-6.4356135449621224E-2"/>
    <s v="CohortAvg"/>
    <n v="-3.1894943311155437E-2"/>
    <s v="CohortAvg"/>
    <n v="0.35441080933118291"/>
    <s v="CohortAvg"/>
    <n v="3.8974121687213523E-2"/>
    <s v="CohortAvg_NonZero"/>
    <n v="1.1421455604417501E-4"/>
    <s v="CohortAvg"/>
    <n v="0"/>
    <s v="Zero"/>
    <n v="-9.6595386289082305E-2"/>
    <s v="CohortAvg"/>
    <n v="-2.0886105089530809E-3"/>
    <s v="CohortAvg"/>
    <n v="0"/>
    <n v="-189731.1"/>
    <n v="-94030.86"/>
    <n v="87071.15"/>
    <n v="0"/>
    <n v="336.72"/>
    <n v="-284777.02"/>
    <n v="-6157.52"/>
    <n v="2751115.55"/>
    <n v="0.17926500000000001"/>
    <n v="0.89859999999999995"/>
    <n v="0.161079"/>
    <s v="DonorCohort:202101+Seasonal(0.899)"/>
    <n v="443147.7"/>
    <n v="519755.6"/>
    <n v="-76607.899999999994"/>
    <x v="0"/>
    <n v="0"/>
    <n v="0.78500000000000003"/>
    <n v="0.24"/>
    <n v="0"/>
    <n v="0"/>
    <n v="0"/>
    <n v="519755.6"/>
    <n v="2948143.08"/>
    <n v="0.17629900000000001"/>
    <n v="-76607.899999999994"/>
    <n v="-76271.179999999993"/>
    <n v="0"/>
    <n v="-76271.179999999993"/>
    <n v="2827386.73"/>
    <s v="Forecast"/>
  </r>
  <r>
    <x v="9"/>
    <x v="0"/>
    <s v="202503"/>
    <n v="16"/>
    <n v="4254558.55"/>
    <n v="-5.4804020335104578E-2"/>
    <s v="CohortAvg"/>
    <n v="-3.4940351763540323E-2"/>
    <s v="CohortAvg"/>
    <n v="0.42559642277027843"/>
    <s v="CohortAvg"/>
    <n v="2.337347755521255E-2"/>
    <s v="CohortAvg_NonZero"/>
    <n v="7.2255446746794269E-6"/>
    <s v="CohortAvg"/>
    <n v="0"/>
    <s v="Zero"/>
    <n v="0"/>
    <s v="CohortAvg"/>
    <n v="0"/>
    <s v="CohortAvg"/>
    <n v="0"/>
    <n v="-233166.91"/>
    <n v="-148655.76999999999"/>
    <n v="150893.74"/>
    <n v="0"/>
    <n v="30.74"/>
    <n v="0"/>
    <n v="0"/>
    <n v="4023598.87"/>
    <n v="0.19098799999999999"/>
    <n v="0.89859999999999995"/>
    <n v="0.17161299999999999"/>
    <s v="DonorCohort:202101+Seasonal(0.899)"/>
    <n v="690499.99"/>
    <n v="739790.51"/>
    <n v="-49290.52"/>
    <x v="0"/>
    <n v="0"/>
    <n v="0.78500000000000003"/>
    <n v="0.24"/>
    <n v="0"/>
    <n v="0"/>
    <n v="0"/>
    <n v="739790.51"/>
    <n v="4254558.55"/>
    <n v="0.17388200000000001"/>
    <n v="-49290.52"/>
    <n v="-49259.78"/>
    <n v="0"/>
    <n v="-49259.78"/>
    <n v="4072858.64"/>
    <s v="Forecast"/>
  </r>
  <r>
    <x v="9"/>
    <x v="0"/>
    <s v="202504"/>
    <n v="15"/>
    <n v="5482476.8399999999"/>
    <n v="-5.3548132246629243E-2"/>
    <s v="CohortAvg"/>
    <n v="-3.7342065347832888E-2"/>
    <s v="CohortAvg"/>
    <n v="0.43785322222759582"/>
    <s v="CohortAvg"/>
    <n v="1.013329171740706E-2"/>
    <s v="CohortAvg_NonZero"/>
    <n v="1.743887659799379E-6"/>
    <s v="CohortAvg"/>
    <n v="0"/>
    <s v="Zero"/>
    <n v="0"/>
    <s v="CohortAvg"/>
    <n v="0"/>
    <s v="CohortAvg"/>
    <n v="0"/>
    <n v="-293576.39"/>
    <n v="-204727.01"/>
    <n v="200043.35"/>
    <n v="0"/>
    <n v="9.56"/>
    <n v="0"/>
    <n v="0"/>
    <n v="5184207.22"/>
    <n v="0.18836900000000001"/>
    <n v="0.89859999999999995"/>
    <n v="0.16925899999999999"/>
    <s v="DonorCohort:202101+Seasonal(0.899)"/>
    <n v="877475.47"/>
    <n v="829955.8"/>
    <n v="47519.66"/>
    <x v="0"/>
    <n v="0"/>
    <n v="0.78500000000000003"/>
    <n v="0.24"/>
    <n v="0"/>
    <n v="0"/>
    <n v="0"/>
    <n v="829955.8"/>
    <n v="5482476.8399999999"/>
    <n v="0.15138299999999999"/>
    <n v="47519.66"/>
    <n v="47529.22"/>
    <n v="0"/>
    <n v="47529.22"/>
    <n v="5136678"/>
    <s v="Forecast"/>
  </r>
  <r>
    <x v="9"/>
    <x v="0"/>
    <s v="202505"/>
    <n v="14"/>
    <n v="7242621.1799999997"/>
    <n v="-4.529586255202777E-2"/>
    <s v="CohortAvg"/>
    <n v="-3.5610025765401128E-2"/>
    <s v="CohortAvg"/>
    <n v="0.42932269810708468"/>
    <s v="CohortAvg"/>
    <n v="0"/>
    <s v="CohortAvg_NoData_ERROR"/>
    <n v="8.9998884821091465E-7"/>
    <s v="CohortAvg"/>
    <n v="0"/>
    <s v="Zero"/>
    <n v="0"/>
    <s v="CohortAvg"/>
    <n v="0"/>
    <s v="CohortAvg"/>
    <n v="0"/>
    <n v="-328060.77"/>
    <n v="-257909.93"/>
    <n v="259118.47"/>
    <n v="0"/>
    <n v="6.52"/>
    <n v="0"/>
    <n v="0"/>
    <n v="6915762.4400000004"/>
    <n v="0.163996"/>
    <n v="0.89859999999999995"/>
    <n v="0.14735899999999999"/>
    <s v="DonorCohort:202101+Seasonal(0.899)"/>
    <n v="1019099.54"/>
    <n v="1231870.6399999999"/>
    <n v="-212771.09"/>
    <x v="0"/>
    <n v="0"/>
    <n v="0.78500000000000003"/>
    <n v="0.24"/>
    <n v="0"/>
    <n v="0"/>
    <n v="0"/>
    <n v="1231870.6399999999"/>
    <n v="7242621.1799999997"/>
    <n v="0.17008599999999999"/>
    <n v="-212771.09"/>
    <n v="-212764.57"/>
    <n v="0"/>
    <n v="-212764.57"/>
    <n v="7128527.0099999998"/>
    <s v="Forecast"/>
  </r>
  <r>
    <x v="9"/>
    <x v="0"/>
    <s v="202506"/>
    <n v="13"/>
    <n v="8238541.9000000004"/>
    <n v="-4.3453269731052881E-2"/>
    <s v="CohortAvg"/>
    <n v="-3.6736643157549979E-2"/>
    <s v="CohortAvg"/>
    <n v="0.44165957195315902"/>
    <s v="CohortAvg"/>
    <n v="0"/>
    <s v="CohortAvg_NoData_ERROR"/>
    <n v="0"/>
    <s v="CohortAvg"/>
    <n v="0"/>
    <s v="Zero"/>
    <n v="0"/>
    <s v="CohortAvg"/>
    <n v="0"/>
    <s v="CohortAvg"/>
    <n v="0"/>
    <n v="-357991.58"/>
    <n v="-302656.37"/>
    <n v="303219.24"/>
    <n v="0"/>
    <n v="0"/>
    <n v="0"/>
    <n v="0"/>
    <n v="7881113.1900000004"/>
    <n v="0.184257"/>
    <n v="0.89859999999999995"/>
    <n v="0.16556499999999999"/>
    <s v="DonorCohort:202101+Seasonal(0.899)"/>
    <n v="1304834.04"/>
    <n v="1359248.95"/>
    <n v="-54414.91"/>
    <x v="0"/>
    <n v="0"/>
    <n v="0.78500000000000003"/>
    <n v="0.24"/>
    <n v="0"/>
    <n v="0"/>
    <n v="0"/>
    <n v="1359248.95"/>
    <n v="8238541.9000000004"/>
    <n v="0.16498699999999999"/>
    <n v="-54414.91"/>
    <n v="-54414.91"/>
    <n v="0"/>
    <n v="-54414.91"/>
    <n v="7935528.0999999996"/>
    <s v="Forecast"/>
  </r>
  <r>
    <x v="9"/>
    <x v="0"/>
    <s v="202507"/>
    <n v="12"/>
    <n v="10529736.029999999"/>
    <n v="-4.1141701410989391E-2"/>
    <s v="CohortAvg"/>
    <n v="-3.8768335944767703E-2"/>
    <s v="CohortAvg"/>
    <n v="0.43420255659200341"/>
    <s v="CohortAvg"/>
    <n v="0"/>
    <s v="CohortAvg_NoData_ERROR"/>
    <n v="1.258830564438191E-5"/>
    <s v="CohortAvg"/>
    <n v="0"/>
    <s v="Zero"/>
    <n v="0"/>
    <s v="CohortAvg"/>
    <n v="0"/>
    <s v="CohortAvg"/>
    <n v="0"/>
    <n v="-433211.26"/>
    <n v="-408220.34"/>
    <n v="381003.19"/>
    <n v="0"/>
    <n v="132.55000000000001"/>
    <n v="0"/>
    <n v="0"/>
    <n v="10069175.08"/>
    <n v="0.178732"/>
    <n v="0.89859999999999995"/>
    <n v="0.16060099999999999"/>
    <s v="DonorCohort:202101+Seasonal(0.899)"/>
    <n v="1617115.07"/>
    <n v="1505663.85"/>
    <n v="111451.22"/>
    <x v="0"/>
    <n v="0"/>
    <n v="0.78500000000000003"/>
    <n v="0.24"/>
    <n v="0"/>
    <n v="0"/>
    <n v="0"/>
    <n v="1505663.85"/>
    <n v="10529736.029999999"/>
    <n v="0.14299200000000001"/>
    <n v="111451.22"/>
    <n v="111583.77"/>
    <n v="0"/>
    <n v="111583.77"/>
    <n v="9957591.3000000007"/>
    <s v="Forecast"/>
  </r>
  <r>
    <x v="9"/>
    <x v="0"/>
    <s v="202508"/>
    <n v="11"/>
    <n v="8729349.9199999999"/>
    <n v="-4.5382040706387849E-2"/>
    <s v="CohortAvg"/>
    <n v="-3.0306599226503E-2"/>
    <s v="CohortAvg"/>
    <n v="0.4265284892139663"/>
    <s v="CohortAvg"/>
    <n v="0"/>
    <s v="CohortAvg_NoData_ERROR"/>
    <n v="1.057525098211808E-5"/>
    <s v="CohortAvg"/>
    <n v="0"/>
    <s v="Zero"/>
    <n v="0"/>
    <s v="CohortAvg"/>
    <n v="0"/>
    <s v="CohortAvg"/>
    <n v="0"/>
    <n v="-396155.71"/>
    <n v="-264556.90999999997"/>
    <n v="310276.37"/>
    <n v="0"/>
    <n v="92.32"/>
    <n v="0"/>
    <n v="0"/>
    <n v="8378821.3600000003"/>
    <n v="0.15490499999999999"/>
    <n v="0.89859999999999995"/>
    <n v="0.13919000000000001"/>
    <s v="DonorCohort:202101+Seasonal(0.899)"/>
    <n v="1166250.52"/>
    <n v="1099808.83"/>
    <n v="66441.69"/>
    <x v="0"/>
    <n v="0"/>
    <n v="0.78500000000000003"/>
    <n v="0.24"/>
    <n v="0"/>
    <n v="0"/>
    <n v="0"/>
    <n v="1099808.83"/>
    <n v="8729349.9199999999"/>
    <n v="0.12598999999999999"/>
    <n v="66441.69"/>
    <n v="66534"/>
    <n v="0"/>
    <n v="66534"/>
    <n v="8312287.3499999996"/>
    <s v="Forecast"/>
  </r>
  <r>
    <x v="9"/>
    <x v="0"/>
    <s v="202509"/>
    <n v="10"/>
    <n v="1858507.22"/>
    <n v="-0.36583476679733362"/>
    <s v="CohortAvg"/>
    <n v="-7.6038093269672716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679906.56"/>
    <n v="-141317.35"/>
    <n v="77437.8"/>
    <n v="0"/>
    <n v="0"/>
    <n v="0"/>
    <n v="0"/>
    <n v="1114721.1200000001"/>
    <n v="0.136487"/>
    <n v="0.89859999999999995"/>
    <n v="0.12264"/>
    <s v="DonorCohort:202101+Seasonal(0.899)"/>
    <n v="136709.88"/>
    <n v="205974.04"/>
    <n v="-69264.160000000003"/>
    <x v="0"/>
    <n v="0"/>
    <n v="0.78500000000000003"/>
    <n v="0.24"/>
    <n v="0"/>
    <n v="0"/>
    <n v="0"/>
    <n v="205974.04"/>
    <n v="1858507.22"/>
    <n v="0.110828"/>
    <n v="-69264.160000000003"/>
    <n v="-69264.160000000003"/>
    <n v="0"/>
    <n v="-69264.160000000003"/>
    <n v="1183985.28"/>
    <s v="Forecast"/>
  </r>
  <r>
    <x v="9"/>
    <x v="1"/>
    <s v="202301"/>
    <n v="32"/>
    <n v="944814.73"/>
    <n v="-9.462234771010181E-3"/>
    <s v="CohortAvg"/>
    <n v="-4.8863393473678948E-3"/>
    <s v="CohortAvg"/>
    <n v="9.1218970162269722E-2"/>
    <s v="CohortAvg"/>
    <n v="2.3738434244052999E-2"/>
    <s v="CohortAvg_NonZero"/>
    <n v="0"/>
    <s v="CohortAvg"/>
    <n v="0"/>
    <s v="Zero"/>
    <n v="0"/>
    <s v="CohortAvg"/>
    <n v="0"/>
    <s v="CohortAvg"/>
    <n v="0"/>
    <n v="-8940.06"/>
    <n v="-4616.6899999999996"/>
    <n v="7182.09"/>
    <n v="0"/>
    <n v="0"/>
    <n v="0"/>
    <n v="0"/>
    <n v="938440.07"/>
    <n v="0.33593400000000001"/>
    <n v="1.0458000000000001"/>
    <n v="0.35133399999999998"/>
    <s v="CohortTrend+Seasonal(1.046)"/>
    <n v="329705.49"/>
    <n v="358374.40000000002"/>
    <n v="-28668.91"/>
    <x v="0"/>
    <n v="0"/>
    <n v="0.78500000000000003"/>
    <n v="0.24"/>
    <n v="0"/>
    <n v="0"/>
    <n v="0"/>
    <n v="358374.40000000002"/>
    <n v="944814.73"/>
    <n v="0.37930700000000001"/>
    <n v="-28668.91"/>
    <n v="-28668.91"/>
    <n v="0"/>
    <n v="-28668.91"/>
    <n v="967108.98"/>
    <s v="Forecast"/>
  </r>
  <r>
    <x v="9"/>
    <x v="1"/>
    <s v="202404"/>
    <n v="27"/>
    <n v="161026.75"/>
    <n v="-6.1899363816047048E-2"/>
    <s v="CohortAvg"/>
    <n v="-1.5199007135337001E-2"/>
    <s v="CohortAvg"/>
    <n v="0.15682342122648771"/>
    <s v="CohortAvg"/>
    <n v="5.0241452737781633E-2"/>
    <s v="CohortAvg_NonZero"/>
    <n v="0"/>
    <s v="CohortAvg"/>
    <n v="0"/>
    <s v="Zero"/>
    <n v="0"/>
    <s v="CohortAvg"/>
    <n v="0"/>
    <s v="CohortAvg"/>
    <n v="0"/>
    <n v="-9967.4500000000007"/>
    <n v="-2447.4499999999998"/>
    <n v="2104.4"/>
    <n v="0"/>
    <n v="0"/>
    <n v="0"/>
    <n v="0"/>
    <n v="150716.25"/>
    <n v="0.19566900000000001"/>
    <n v="1.0458000000000001"/>
    <n v="0.20463799999999999"/>
    <s v="CohortTrend+Seasonal(1.046)"/>
    <n v="30842.3"/>
    <n v="35905.89"/>
    <n v="-5063.59"/>
    <x v="0"/>
    <n v="0"/>
    <n v="0.78500000000000003"/>
    <n v="0.24"/>
    <n v="0"/>
    <n v="0"/>
    <n v="0"/>
    <n v="35905.89"/>
    <n v="161026.75"/>
    <n v="0.22298100000000001"/>
    <n v="-5063.59"/>
    <n v="-5063.59"/>
    <n v="0"/>
    <n v="-5063.59"/>
    <n v="155779.84"/>
    <s v="Forecast"/>
  </r>
  <r>
    <x v="9"/>
    <x v="1"/>
    <s v="202405"/>
    <n v="26"/>
    <n v="315853.98"/>
    <n v="-1.317921089226E-2"/>
    <s v="CohortAvg"/>
    <n v="-1.2757401819998279E-2"/>
    <s v="CohortAvg"/>
    <n v="0.14793742813429711"/>
    <s v="CohortAvg"/>
    <n v="6.8795421679407665E-2"/>
    <s v="CohortAvg_NonZero"/>
    <n v="4.8514473529542073E-7"/>
    <s v="CohortAvg"/>
    <n v="0"/>
    <s v="Zero"/>
    <n v="0"/>
    <s v="CohortAvg"/>
    <n v="0"/>
    <s v="CohortAvg"/>
    <n v="0"/>
    <n v="-4162.71"/>
    <n v="-4029.48"/>
    <n v="3893.89"/>
    <n v="0"/>
    <n v="0.15"/>
    <n v="0"/>
    <n v="0"/>
    <n v="311555.53000000003"/>
    <n v="0.30313099999999998"/>
    <n v="1.0458000000000001"/>
    <n v="0.31702599999999997"/>
    <s v="CohortTrend+Seasonal(1.046)"/>
    <n v="98771.33"/>
    <n v="106373.02"/>
    <n v="-7601.68"/>
    <x v="0"/>
    <n v="0"/>
    <n v="0.78500000000000003"/>
    <n v="0.24"/>
    <n v="0"/>
    <n v="0"/>
    <n v="0"/>
    <n v="106373.02"/>
    <n v="315853.98"/>
    <n v="0.336779"/>
    <n v="-7601.68"/>
    <n v="-7601.53"/>
    <n v="0"/>
    <n v="-7601.53"/>
    <n v="319157.07"/>
    <s v="Forecast"/>
  </r>
  <r>
    <x v="9"/>
    <x v="1"/>
    <s v="202406"/>
    <n v="25"/>
    <n v="182627.72"/>
    <n v="-1.61199346919172E-2"/>
    <s v="CohortAvg"/>
    <n v="-1.4918673065701439E-2"/>
    <s v="CohortAvg"/>
    <n v="0.178425328968144"/>
    <s v="CohortAvg"/>
    <n v="5.620844502272148E-2"/>
    <s v="CohortAvg_NonZero"/>
    <n v="0"/>
    <s v="CohortAvg"/>
    <n v="0"/>
    <s v="Zero"/>
    <n v="0"/>
    <s v="CohortAvg"/>
    <n v="0"/>
    <s v="CohortAvg"/>
    <n v="0"/>
    <n v="-2943.95"/>
    <n v="-2724.56"/>
    <n v="2715.45"/>
    <n v="0"/>
    <n v="0"/>
    <n v="0"/>
    <n v="0"/>
    <n v="179674.66"/>
    <n v="0.214642"/>
    <n v="1.0458000000000001"/>
    <n v="0.22448100000000001"/>
    <s v="CohortTrend+Seasonal(1.046)"/>
    <n v="40333.56"/>
    <n v="43745.63"/>
    <n v="-3412.07"/>
    <x v="0"/>
    <n v="0"/>
    <n v="0.78500000000000003"/>
    <n v="0.24"/>
    <n v="0"/>
    <n v="0"/>
    <n v="0"/>
    <n v="43745.63"/>
    <n v="182627.72"/>
    <n v="0.239534"/>
    <n v="-3412.07"/>
    <n v="-3412.07"/>
    <n v="0"/>
    <n v="-3412.07"/>
    <n v="183086.73"/>
    <s v="Forecast"/>
  </r>
  <r>
    <x v="9"/>
    <x v="1"/>
    <s v="202407"/>
    <n v="24"/>
    <n v="246960.05"/>
    <n v="-4.21508034688979E-2"/>
    <s v="CohortAvg"/>
    <n v="-1.531579257037767E-2"/>
    <s v="CohortAvg"/>
    <n v="0.16936038328158609"/>
    <s v="CohortAvg"/>
    <n v="8.2761551975630079E-2"/>
    <s v="CohortAvg_NonZero"/>
    <n v="0"/>
    <s v="CohortAvg"/>
    <n v="0"/>
    <s v="Zero"/>
    <n v="0"/>
    <s v="CohortAvg"/>
    <n v="0"/>
    <s v="CohortAvg"/>
    <n v="0"/>
    <n v="-10409.56"/>
    <n v="-3782.39"/>
    <n v="3485.44"/>
    <n v="0"/>
    <n v="0"/>
    <n v="0"/>
    <n v="0"/>
    <n v="236253.54"/>
    <n v="0.20258899999999999"/>
    <n v="1.0458000000000001"/>
    <n v="0.21187600000000001"/>
    <s v="CohortTrend+Seasonal(1.046)"/>
    <n v="50056.46"/>
    <n v="56339.72"/>
    <n v="-6283.26"/>
    <x v="0"/>
    <n v="0"/>
    <n v="0.78500000000000003"/>
    <n v="0.24"/>
    <n v="0"/>
    <n v="0"/>
    <n v="0"/>
    <n v="56339.72"/>
    <n v="246960.05"/>
    <n v="0.228133"/>
    <n v="-6283.26"/>
    <n v="-6283.26"/>
    <n v="0"/>
    <n v="-6283.26"/>
    <n v="242536.8"/>
    <s v="Forecast"/>
  </r>
  <r>
    <x v="9"/>
    <x v="1"/>
    <s v="202408"/>
    <n v="23"/>
    <n v="250585.33"/>
    <n v="-6.0386956731219243E-2"/>
    <s v="CohortAvg"/>
    <n v="-1.6545821283729459E-2"/>
    <s v="CohortAvg"/>
    <n v="0.18299106769720369"/>
    <s v="CohortAvg"/>
    <n v="0.1104761026857973"/>
    <s v="CohortAvg_NonZero"/>
    <n v="1.550745991996439E-9"/>
    <s v="CohortAvg"/>
    <n v="0"/>
    <s v="Zero"/>
    <n v="0"/>
    <s v="CohortAvg"/>
    <n v="0"/>
    <s v="CohortAvg"/>
    <n v="0"/>
    <n v="-15132.09"/>
    <n v="-4146.1400000000003"/>
    <n v="3821.24"/>
    <n v="0"/>
    <n v="0"/>
    <n v="0"/>
    <n v="0"/>
    <n v="235128.34"/>
    <n v="0.20638500000000001"/>
    <n v="1.0458000000000001"/>
    <n v="0.21584600000000001"/>
    <s v="CohortTrend+Seasonal(1.046)"/>
    <n v="50751.43"/>
    <n v="58096.49"/>
    <n v="-7345.06"/>
    <x v="0"/>
    <n v="0"/>
    <n v="0.78500000000000003"/>
    <n v="0.24"/>
    <n v="0"/>
    <n v="0"/>
    <n v="0"/>
    <n v="58096.49"/>
    <n v="250585.33"/>
    <n v="0.23184299999999999"/>
    <n v="-7345.06"/>
    <n v="-7345.06"/>
    <n v="0"/>
    <n v="-7345.06"/>
    <n v="242473.4"/>
    <s v="Forecast"/>
  </r>
  <r>
    <x v="9"/>
    <x v="1"/>
    <s v="202409"/>
    <n v="22"/>
    <n v="403688.4"/>
    <n v="-3.9986068175203081E-2"/>
    <s v="CohortAvg"/>
    <n v="-1.509408092829608E-2"/>
    <s v="CohortAvg"/>
    <n v="0.18251995118724521"/>
    <s v="CohortAvg"/>
    <n v="3.1731621666529673E-2"/>
    <s v="CohortAvg_NonZero"/>
    <n v="0"/>
    <s v="CohortAvg"/>
    <n v="0"/>
    <s v="Zero"/>
    <n v="0"/>
    <s v="CohortAvg"/>
    <n v="0"/>
    <s v="CohortAvg"/>
    <n v="0"/>
    <n v="-16141.91"/>
    <n v="-6093.31"/>
    <n v="6140.1"/>
    <n v="0"/>
    <n v="0"/>
    <n v="0"/>
    <n v="0"/>
    <n v="387593.28"/>
    <n v="0.220412"/>
    <n v="1.0458000000000001"/>
    <n v="0.230516"/>
    <s v="CohortTrend+Seasonal(1.046)"/>
    <n v="89346.51"/>
    <n v="98439.17"/>
    <n v="-9092.66"/>
    <x v="0"/>
    <n v="0"/>
    <n v="0.78500000000000003"/>
    <n v="0.24"/>
    <n v="0"/>
    <n v="0"/>
    <n v="0"/>
    <n v="98439.17"/>
    <n v="403688.4"/>
    <n v="0.24384900000000001"/>
    <n v="-9092.66"/>
    <n v="-9092.66"/>
    <n v="0"/>
    <n v="-9092.66"/>
    <n v="396685.94"/>
    <s v="Forecast"/>
  </r>
  <r>
    <x v="9"/>
    <x v="1"/>
    <s v="202410"/>
    <n v="21"/>
    <n v="346668.5"/>
    <n v="-1.3305749855340179E-2"/>
    <s v="CohortAvg"/>
    <n v="-1.8167354142641961E-2"/>
    <s v="CohortAvg"/>
    <n v="0.18780873305722171"/>
    <s v="CohortAvg"/>
    <n v="3.5380930943032553E-2"/>
    <s v="CohortAvg_NonZero"/>
    <n v="6.8037005819974222E-7"/>
    <s v="CohortAvg"/>
    <n v="0"/>
    <s v="Zero"/>
    <n v="0"/>
    <s v="CohortAvg"/>
    <n v="0"/>
    <s v="CohortAvg"/>
    <n v="0"/>
    <n v="-4612.68"/>
    <n v="-6298.05"/>
    <n v="5425.61"/>
    <n v="0"/>
    <n v="0.24"/>
    <n v="0"/>
    <n v="0"/>
    <n v="341183.14"/>
    <n v="0.213864"/>
    <n v="1.0458000000000001"/>
    <n v="0.22366800000000001"/>
    <s v="CohortTrend+Seasonal(1.046)"/>
    <n v="76311.59"/>
    <n v="81615.86"/>
    <n v="-5304.27"/>
    <x v="0"/>
    <n v="0"/>
    <n v="0.78500000000000003"/>
    <n v="0.24"/>
    <n v="0"/>
    <n v="0"/>
    <n v="0"/>
    <n v="81615.86"/>
    <n v="346668.5"/>
    <n v="0.235429"/>
    <n v="-5304.27"/>
    <n v="-5304.03"/>
    <n v="0"/>
    <n v="-5304.03"/>
    <n v="346487.18"/>
    <s v="Forecast"/>
  </r>
  <r>
    <x v="9"/>
    <x v="1"/>
    <s v="202411"/>
    <n v="20"/>
    <n v="374230.42"/>
    <n v="-4.3472882386883287E-2"/>
    <s v="CohortAvg"/>
    <n v="-1.480558052731786E-2"/>
    <s v="CohortAvg"/>
    <n v="0.1735442372566873"/>
    <s v="CohortAvg"/>
    <n v="3.3012258994092429E-2"/>
    <s v="CohortAvg_NonZero"/>
    <n v="0"/>
    <s v="CohortAvg"/>
    <n v="0"/>
    <s v="Zero"/>
    <n v="0"/>
    <s v="CohortAvg"/>
    <n v="0"/>
    <s v="CohortAvg"/>
    <n v="0"/>
    <n v="-16268.88"/>
    <n v="-5540.7"/>
    <n v="5412.13"/>
    <n v="0"/>
    <n v="0"/>
    <n v="0"/>
    <n v="0"/>
    <n v="357832.97"/>
    <n v="0.19003300000000001"/>
    <n v="1.0458000000000001"/>
    <n v="0.198744"/>
    <s v="CohortTrend+Seasonal(1.046)"/>
    <n v="71117.14"/>
    <n v="81039.98"/>
    <n v="-9922.85"/>
    <x v="0"/>
    <n v="0"/>
    <n v="0.78500000000000003"/>
    <n v="0.24"/>
    <n v="0"/>
    <n v="0"/>
    <n v="0"/>
    <n v="81039.98"/>
    <n v="374230.42"/>
    <n v="0.21655099999999999"/>
    <n v="-9922.85"/>
    <n v="-9922.85"/>
    <n v="0"/>
    <n v="-9922.85"/>
    <n v="367755.82"/>
    <s v="Forecast"/>
  </r>
  <r>
    <x v="9"/>
    <x v="1"/>
    <s v="202412"/>
    <n v="19"/>
    <n v="25068.400000000001"/>
    <n v="-8.5919692044057715E-3"/>
    <s v="CohortAvg"/>
    <n v="-1.2435253105385201E-2"/>
    <s v="CohortAvg"/>
    <n v="0.14703933070767791"/>
    <s v="CohortAvg"/>
    <n v="0.2"/>
    <s v="CohortAvg_NonZero"/>
    <n v="0"/>
    <s v="CohortAvg"/>
    <n v="0"/>
    <s v="Zero"/>
    <n v="0"/>
    <s v="CohortAvg"/>
    <n v="0"/>
    <s v="CohortAvg"/>
    <n v="0"/>
    <n v="-215.39"/>
    <n v="-311.73"/>
    <n v="307.17"/>
    <n v="0"/>
    <n v="0"/>
    <n v="0"/>
    <n v="0"/>
    <n v="24848.45"/>
    <n v="0.18524499999999999"/>
    <n v="1.0458000000000001"/>
    <n v="0.19373699999999999"/>
    <s v="DonorCohort:202301+Seasonal(1.046)"/>
    <n v="4814.0600000000004"/>
    <n v="4700.58"/>
    <n v="113.48"/>
    <x v="0"/>
    <n v="0"/>
    <n v="0.78500000000000003"/>
    <n v="0.24"/>
    <n v="0"/>
    <n v="0"/>
    <n v="0"/>
    <n v="4700.58"/>
    <n v="25068.400000000001"/>
    <n v="0.18751000000000001"/>
    <n v="113.48"/>
    <n v="113.48"/>
    <n v="0"/>
    <n v="113.48"/>
    <n v="24734.97"/>
    <s v="Forecast"/>
  </r>
  <r>
    <x v="9"/>
    <x v="1"/>
    <s v="202501"/>
    <n v="18"/>
    <n v="52530.080000000002"/>
    <n v="-1.5261424941724991E-2"/>
    <s v="CohortAvg"/>
    <n v="-1.751647160474093E-2"/>
    <s v="CohortAvg"/>
    <n v="0.2043910999369879"/>
    <s v="CohortAvg"/>
    <n v="0"/>
    <s v="CohortAvg_NoData_ERROR"/>
    <n v="0"/>
    <s v="CohortAvg"/>
    <n v="0"/>
    <s v="Zero"/>
    <n v="0"/>
    <s v="CohortAvg"/>
    <n v="0"/>
    <s v="CohortAvg"/>
    <n v="0"/>
    <n v="-801.68"/>
    <n v="-920.14"/>
    <n v="894.72"/>
    <n v="0"/>
    <n v="0"/>
    <n v="0"/>
    <n v="0"/>
    <n v="51702.98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52530.080000000002"/>
    <n v="0"/>
    <n v="0"/>
    <n v="0"/>
    <n v="0"/>
    <n v="0"/>
    <n v="51702.98"/>
    <s v="Forecast"/>
  </r>
  <r>
    <x v="9"/>
    <x v="1"/>
    <s v="202502"/>
    <n v="17"/>
    <n v="111134.84"/>
    <n v="-1.377930059160268E-2"/>
    <s v="CohortAvg"/>
    <n v="-1.8823993061006749E-2"/>
    <s v="CohortAvg"/>
    <n v="0.19421485701963459"/>
    <s v="CohortAvg"/>
    <n v="0"/>
    <s v="CohortAvg_NoData_ERROR"/>
    <n v="0"/>
    <s v="CohortAvg"/>
    <n v="0"/>
    <s v="Zero"/>
    <n v="0"/>
    <s v="CohortAvg"/>
    <n v="0"/>
    <s v="CohortAvg"/>
    <n v="0"/>
    <n v="-1531.36"/>
    <n v="-2092"/>
    <n v="1798.67"/>
    <n v="0"/>
    <n v="0"/>
    <n v="0"/>
    <n v="0"/>
    <n v="109310.14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111134.84"/>
    <n v="0"/>
    <n v="0"/>
    <n v="0"/>
    <n v="0"/>
    <n v="0"/>
    <n v="109310.14"/>
    <s v="Forecast"/>
  </r>
  <r>
    <x v="9"/>
    <x v="1"/>
    <s v="202503"/>
    <n v="16"/>
    <n v="78255.42"/>
    <n v="-9.8313745561868695E-3"/>
    <s v="CohortAvg"/>
    <n v="-1.3946073347016519E-2"/>
    <s v="CohortAvg"/>
    <n v="0.20826113662693299"/>
    <s v="CohortAvg"/>
    <n v="0"/>
    <s v="CohortAvg_NoData_ERROR"/>
    <n v="0"/>
    <s v="CohortAvg"/>
    <n v="0"/>
    <s v="Zero"/>
    <n v="0"/>
    <s v="CohortAvg"/>
    <n v="0"/>
    <s v="CohortAvg"/>
    <n v="0"/>
    <n v="-769.36"/>
    <n v="-1091.3599999999999"/>
    <n v="1358.13"/>
    <n v="0"/>
    <n v="0"/>
    <n v="0"/>
    <n v="0"/>
    <n v="77752.83"/>
    <n v="0.18634100000000001"/>
    <n v="1.0458000000000001"/>
    <n v="0.194883"/>
    <s v="DonorCohort:202301+Seasonal(1.046)"/>
    <n v="15152.67"/>
    <n v="12821.64"/>
    <n v="2331.0300000000002"/>
    <x v="0"/>
    <n v="0"/>
    <n v="0.78500000000000003"/>
    <n v="0.24"/>
    <n v="0"/>
    <n v="0"/>
    <n v="0"/>
    <n v="12821.64"/>
    <n v="78255.42"/>
    <n v="0.16384299999999999"/>
    <n v="2331.0300000000002"/>
    <n v="2331.0300000000002"/>
    <n v="0"/>
    <n v="2331.0300000000002"/>
    <n v="75421.8"/>
    <s v="Forecast"/>
  </r>
  <r>
    <x v="9"/>
    <x v="1"/>
    <s v="202504"/>
    <n v="15"/>
    <n v="52072.55"/>
    <n v="-2.069193367979973E-2"/>
    <s v="CohortAvg"/>
    <n v="-1.6748066799059411E-2"/>
    <s v="CohortAvg"/>
    <n v="0.20229418082685641"/>
    <s v="CohortAvg"/>
    <n v="0"/>
    <s v="CohortAvg_NoData_ERROR"/>
    <n v="0"/>
    <s v="CohortAvg"/>
    <n v="0"/>
    <s v="Zero"/>
    <n v="0"/>
    <s v="CohortAvg"/>
    <n v="0"/>
    <s v="CohortAvg"/>
    <n v="0"/>
    <n v="-1077.48"/>
    <n v="-872.11"/>
    <n v="877.83"/>
    <n v="0"/>
    <n v="0"/>
    <n v="0"/>
    <n v="0"/>
    <n v="51000.79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52072.55"/>
    <n v="0"/>
    <n v="0"/>
    <n v="0"/>
    <n v="0"/>
    <n v="0"/>
    <n v="51000.79"/>
    <s v="Forecast"/>
  </r>
  <r>
    <x v="9"/>
    <x v="1"/>
    <s v="202505"/>
    <n v="14"/>
    <n v="15345.73"/>
    <n v="-9.9316510137161269E-3"/>
    <s v="CohortAvg"/>
    <n v="-1.621794196210518E-2"/>
    <s v="CohortAvg"/>
    <n v="0.1960685450698641"/>
    <s v="CohortAvg"/>
    <n v="0"/>
    <s v="CohortAvg_NoData_ERROR"/>
    <n v="0"/>
    <s v="CohortAvg"/>
    <n v="0"/>
    <s v="Zero"/>
    <n v="0"/>
    <s v="CohortAvg"/>
    <n v="0"/>
    <s v="CohortAvg"/>
    <n v="0"/>
    <n v="-152.41"/>
    <n v="-248.88"/>
    <n v="250.73"/>
    <n v="0"/>
    <n v="0"/>
    <n v="0"/>
    <n v="0"/>
    <n v="15195.18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15345.73"/>
    <n v="0"/>
    <n v="0"/>
    <n v="0"/>
    <n v="0"/>
    <n v="0"/>
    <n v="15195.18"/>
    <s v="Forecast"/>
  </r>
  <r>
    <x v="9"/>
    <x v="1"/>
    <s v="202506"/>
    <n v="13"/>
    <n v="27306.51"/>
    <n v="-1.3751506826645389E-2"/>
    <s v="CohortAvg"/>
    <n v="-1.625748695733252E-2"/>
    <s v="CohortAvg"/>
    <n v="0.18888184732922661"/>
    <s v="CohortAvg"/>
    <n v="0"/>
    <s v="CohortAvg_NoData_ERROR"/>
    <n v="0"/>
    <s v="CohortAvg"/>
    <n v="0"/>
    <s v="Zero"/>
    <n v="0"/>
    <s v="CohortAvg"/>
    <n v="0"/>
    <s v="CohortAvg"/>
    <n v="0"/>
    <n v="-375.51"/>
    <n v="-443.94"/>
    <n v="429.81"/>
    <n v="0"/>
    <n v="0"/>
    <n v="0"/>
    <n v="0"/>
    <n v="26916.87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27306.51"/>
    <n v="0"/>
    <n v="0"/>
    <n v="0"/>
    <n v="0"/>
    <n v="0"/>
    <n v="26916.87"/>
    <s v="Forecast"/>
  </r>
  <r>
    <x v="9"/>
    <x v="1"/>
    <s v="202507"/>
    <n v="12"/>
    <n v="106647.23"/>
    <n v="-1.0830489492051671E-2"/>
    <s v="CohortAvg"/>
    <n v="-1.748051369684011E-2"/>
    <s v="CohortAvg"/>
    <n v="0.19364622066648299"/>
    <s v="CohortAvg"/>
    <n v="0"/>
    <s v="CohortAvg_NoData_ERROR"/>
    <n v="0"/>
    <s v="CohortAvg"/>
    <n v="0"/>
    <s v="Zero"/>
    <n v="0"/>
    <s v="CohortAvg"/>
    <n v="0"/>
    <s v="CohortAvg"/>
    <n v="0"/>
    <n v="-1155.04"/>
    <n v="-1864.25"/>
    <n v="1720.99"/>
    <n v="0"/>
    <n v="0"/>
    <n v="0"/>
    <n v="0"/>
    <n v="105348.93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106647.23"/>
    <n v="0"/>
    <n v="0"/>
    <n v="0"/>
    <n v="0"/>
    <n v="0"/>
    <n v="105348.93"/>
    <s v="Forecast"/>
  </r>
  <r>
    <x v="9"/>
    <x v="1"/>
    <s v="202508"/>
    <n v="11"/>
    <n v="43950.97"/>
    <n v="-1.3918600658693381E-2"/>
    <s v="CohortAvg"/>
    <n v="-1.3989498967842981E-2"/>
    <s v="CohortAvg"/>
    <n v="0.17221289333288251"/>
    <s v="CohortAvg"/>
    <n v="0"/>
    <s v="CohortAvg_NoData_ERROR"/>
    <n v="0"/>
    <s v="CohortAvg"/>
    <n v="0"/>
    <s v="Zero"/>
    <n v="0"/>
    <s v="CohortAvg"/>
    <n v="0"/>
    <s v="CohortAvg"/>
    <n v="0"/>
    <n v="-611.74"/>
    <n v="-614.85"/>
    <n v="630.74"/>
    <n v="0"/>
    <n v="0"/>
    <n v="0"/>
    <n v="0"/>
    <n v="43355.13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43950.97"/>
    <n v="0"/>
    <n v="0"/>
    <n v="0"/>
    <n v="0"/>
    <n v="0"/>
    <n v="43355.13"/>
    <s v="Forecast"/>
  </r>
  <r>
    <x v="9"/>
    <x v="1"/>
    <s v="202509"/>
    <n v="10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9"/>
    <x v="2"/>
    <s v="202101"/>
    <n v="66"/>
    <n v="518922.35"/>
    <n v="-0.19036687051279161"/>
    <s v="CohortAvg"/>
    <n v="-1.413280405005499E-2"/>
    <s v="CohortAvg"/>
    <n v="0.15432047061406351"/>
    <s v="CohortAvg"/>
    <n v="1.7931822321709191E-2"/>
    <s v="CohortAvg_NonZero"/>
    <n v="0"/>
    <s v="CohortAvg"/>
    <n v="0"/>
    <s v="Zero"/>
    <n v="0"/>
    <s v="CohortAvg"/>
    <n v="0"/>
    <s v="CohortAvg"/>
    <n v="0"/>
    <n v="-98785.62"/>
    <n v="-7333.83"/>
    <n v="6673.36"/>
    <n v="0"/>
    <n v="0"/>
    <n v="0"/>
    <n v="0"/>
    <n v="419476.26"/>
    <n v="0.26076300000000002"/>
    <n v="0.90939999999999999"/>
    <n v="0.237149"/>
    <s v="CohortAvg+Seasonal(0.909)"/>
    <n v="99478.35"/>
    <n v="128427.89"/>
    <n v="-28949.54"/>
    <x v="0"/>
    <n v="0"/>
    <n v="0.78500000000000003"/>
    <n v="0.24"/>
    <n v="0"/>
    <n v="0"/>
    <n v="0"/>
    <n v="128427.89"/>
    <n v="518922.35"/>
    <n v="0.24748999999999999"/>
    <n v="-28949.54"/>
    <n v="-28949.54"/>
    <n v="0"/>
    <n v="-28949.54"/>
    <n v="448425.8"/>
    <s v="Forecast"/>
  </r>
  <r>
    <x v="9"/>
    <x v="2"/>
    <s v="202201"/>
    <n v="46"/>
    <n v="90794.27"/>
    <n v="-6.5173747201373991E-2"/>
    <s v="CohortAvg"/>
    <n v="-1.3441256120155121E-2"/>
    <s v="CohortAvg"/>
    <n v="0.1496466423756454"/>
    <s v="CohortAvg"/>
    <n v="3.3902257599667113E-2"/>
    <s v="CohortAvg_NonZero"/>
    <n v="3.854781510789953E-7"/>
    <s v="CohortAvg"/>
    <n v="0"/>
    <s v="Zero"/>
    <n v="-2.0389950421217619E-5"/>
    <s v="CohortAvg"/>
    <n v="-9.2056971842677559E-8"/>
    <s v="CohortAvg"/>
    <n v="0"/>
    <n v="-5917.4"/>
    <n v="-1220.3900000000001"/>
    <n v="1132.25"/>
    <n v="0"/>
    <n v="0.03"/>
    <n v="-1.85"/>
    <n v="-0.01"/>
    <n v="84788.7"/>
    <n v="0.184171"/>
    <n v="0.90939999999999999"/>
    <n v="0.167493"/>
    <s v="CohortAvg+Seasonal(0.909)"/>
    <n v="14201.48"/>
    <n v="16085.93"/>
    <n v="-1884.45"/>
    <x v="0"/>
    <n v="0"/>
    <n v="0.78500000000000003"/>
    <n v="0.24"/>
    <n v="0"/>
    <n v="0"/>
    <n v="0"/>
    <n v="16085.93"/>
    <n v="90794.27"/>
    <n v="0.17716899999999999"/>
    <n v="-1884.45"/>
    <n v="-1884.41"/>
    <n v="0"/>
    <n v="-1884.41"/>
    <n v="86673.11"/>
    <s v="Forecast"/>
  </r>
  <r>
    <x v="9"/>
    <x v="2"/>
    <s v="202301"/>
    <n v="37"/>
    <n v="7660337.21"/>
    <n v="-3.6620088026493747E-2"/>
    <s v="CohortAvg"/>
    <n v="-1.533776596019671E-2"/>
    <s v="CohortAvg"/>
    <n v="0.17422958127676649"/>
    <s v="CohortAvg"/>
    <n v="1.8622164973347639E-2"/>
    <s v="CohortAvg_NonZero"/>
    <n v="1.4270152638732641E-7"/>
    <s v="CohortAvg"/>
    <n v="0"/>
    <s v="Zero"/>
    <n v="-4.0095239078211819E-4"/>
    <s v="CohortAvg"/>
    <n v="-1.0182993532842E-6"/>
    <s v="CohortAvg"/>
    <n v="0"/>
    <n v="-280522.21999999997"/>
    <n v="-117492.46"/>
    <n v="111221.45"/>
    <n v="0"/>
    <n v="1.0900000000000001"/>
    <n v="-3071.43"/>
    <n v="-7.8"/>
    <n v="7373542.8799999999"/>
    <n v="0.216946"/>
    <n v="0.90939999999999999"/>
    <n v="0.1973"/>
    <s v="CohortTrend+Seasonal(0.909)"/>
    <n v="1454797.47"/>
    <n v="1526433.31"/>
    <n v="-71635.839999999997"/>
    <x v="0"/>
    <n v="0"/>
    <n v="0.78500000000000003"/>
    <n v="0.24"/>
    <n v="0"/>
    <n v="0"/>
    <n v="0"/>
    <n v="1526433.31"/>
    <n v="7660337.21"/>
    <n v="0.199265"/>
    <n v="-71635.839999999997"/>
    <n v="-71634.740000000005"/>
    <n v="0"/>
    <n v="-71634.740000000005"/>
    <n v="7445177.6200000001"/>
    <s v="Forecast"/>
  </r>
  <r>
    <x v="9"/>
    <x v="2"/>
    <s v="202404"/>
    <n v="27"/>
    <n v="1909603.12"/>
    <n v="-4.2398653809145183E-2"/>
    <s v="CohortAvg"/>
    <n v="-1.6061994159412629E-2"/>
    <s v="CohortAvg"/>
    <n v="0.17601096680453759"/>
    <s v="CohortAvg"/>
    <n v="2.1504060095876319E-2"/>
    <s v="CohortAvg_NonZero"/>
    <n v="5.7108888537922061E-7"/>
    <s v="CohortAvg"/>
    <n v="0"/>
    <s v="Zero"/>
    <n v="-2.612327012079954E-3"/>
    <s v="CohortAvg"/>
    <n v="-1.336484653375586E-5"/>
    <s v="CohortAvg"/>
    <n v="0"/>
    <n v="-80964.600000000006"/>
    <n v="-30672.03"/>
    <n v="28009.26"/>
    <n v="0"/>
    <n v="1.0900000000000001"/>
    <n v="-4988.51"/>
    <n v="-25.52"/>
    <n v="1825974.65"/>
    <n v="0.16178500000000001"/>
    <n v="0.90939999999999999"/>
    <n v="0.14713399999999999"/>
    <s v="CohortTrend+Seasonal(0.909)"/>
    <n v="268662.19"/>
    <n v="283514.56"/>
    <n v="-14852.37"/>
    <x v="0"/>
    <n v="0"/>
    <n v="0.78500000000000003"/>
    <n v="0.24"/>
    <n v="0"/>
    <n v="0"/>
    <n v="0"/>
    <n v="283514.56"/>
    <n v="1909603.12"/>
    <n v="0.14846799999999999"/>
    <n v="-14852.37"/>
    <n v="-14851.28"/>
    <n v="0"/>
    <n v="-14851.28"/>
    <n v="1840825.92"/>
    <s v="Forecast"/>
  </r>
  <r>
    <x v="9"/>
    <x v="2"/>
    <s v="202405"/>
    <n v="26"/>
    <n v="2014245.12"/>
    <n v="-1.9558903731695571E-2"/>
    <s v="CohortAvg"/>
    <n v="-1.512577122074605E-2"/>
    <s v="CohortAvg"/>
    <n v="0.17354548417170901"/>
    <s v="CohortAvg"/>
    <n v="3.116294468222218E-2"/>
    <s v="CohortAvg_NonZero"/>
    <n v="6.8378634539952293E-7"/>
    <s v="CohortAvg"/>
    <n v="0"/>
    <s v="Zero"/>
    <n v="-5.6832115271978137E-3"/>
    <s v="CohortAvg"/>
    <n v="-3.4992428306532839E-5"/>
    <s v="CohortAvg"/>
    <n v="0"/>
    <n v="-39396.43"/>
    <n v="-30467.01"/>
    <n v="29130.26"/>
    <n v="0"/>
    <n v="1.38"/>
    <n v="-11447.38"/>
    <n v="-70.48"/>
    <n v="1973510.56"/>
    <n v="0.137292"/>
    <n v="0.90939999999999999"/>
    <n v="0.124859"/>
    <s v="CohortTrend+Seasonal(0.909)"/>
    <n v="246410.84"/>
    <n v="253757.38"/>
    <n v="-7346.54"/>
    <x v="0"/>
    <n v="0"/>
    <n v="0.78500000000000003"/>
    <n v="0.24"/>
    <n v="0"/>
    <n v="0"/>
    <n v="0"/>
    <n v="253757.38"/>
    <n v="2014245.12"/>
    <n v="0.12598100000000001"/>
    <n v="-7346.54"/>
    <n v="-7345.16"/>
    <n v="0"/>
    <n v="-7345.16"/>
    <n v="1980855.72"/>
    <s v="Forecast"/>
  </r>
  <r>
    <x v="9"/>
    <x v="2"/>
    <s v="202406"/>
    <n v="25"/>
    <n v="1643746.41"/>
    <n v="-2.7809104676931661E-2"/>
    <s v="CohortAvg"/>
    <n v="-1.5116755021869391E-2"/>
    <s v="CohortAvg"/>
    <n v="0.1721575332266897"/>
    <s v="CohortAvg"/>
    <n v="6.1039341519499357E-2"/>
    <s v="CohortAvg_NonZero"/>
    <n v="5.9114455001653639E-7"/>
    <s v="CohortAvg"/>
    <n v="0"/>
    <s v="Zero"/>
    <n v="-3.6855562267268049E-3"/>
    <s v="CohortAvg"/>
    <n v="-5.4992571335117472E-5"/>
    <s v="CohortAvg"/>
    <n v="0"/>
    <n v="-45711.12"/>
    <n v="-24848.11"/>
    <n v="23581.94"/>
    <n v="0"/>
    <n v="0.97"/>
    <n v="-6058.12"/>
    <n v="-90.39"/>
    <n v="1596768.16"/>
    <n v="0.14264199999999999"/>
    <n v="0.90939999999999999"/>
    <n v="0.12972500000000001"/>
    <s v="CohortTrend+Seasonal(0.909)"/>
    <n v="207140.31"/>
    <n v="215677.65"/>
    <n v="-8537.33"/>
    <x v="0"/>
    <n v="0"/>
    <n v="0.78500000000000003"/>
    <n v="0.24"/>
    <n v="0"/>
    <n v="0"/>
    <n v="0"/>
    <n v="215677.65"/>
    <n v="1643746.41"/>
    <n v="0.13121099999999999"/>
    <n v="-8537.33"/>
    <n v="-8536.36"/>
    <n v="0"/>
    <n v="-8536.36"/>
    <n v="1605304.52"/>
    <s v="Forecast"/>
  </r>
  <r>
    <x v="9"/>
    <x v="2"/>
    <s v="202407"/>
    <n v="24"/>
    <n v="3069608.23"/>
    <n v="-2.7296670322678341E-2"/>
    <s v="CohortAvg"/>
    <n v="-1.563961199466098E-2"/>
    <s v="CohortAvg"/>
    <n v="0.17606372643953491"/>
    <s v="CohortAvg"/>
    <n v="3.118325134764012E-2"/>
    <s v="CohortAvg_NonZero"/>
    <n v="6.6712367669968726E-6"/>
    <s v="CohortAvg"/>
    <n v="0"/>
    <s v="Zero"/>
    <n v="-4.964074052076513E-3"/>
    <s v="CohortAvg"/>
    <n v="-4.2108144450876083E-5"/>
    <s v="CohortAvg"/>
    <n v="0"/>
    <n v="-83790.080000000002"/>
    <n v="-48007.48"/>
    <n v="45037.22"/>
    <n v="0"/>
    <n v="20.48"/>
    <n v="-15237.76"/>
    <n v="-129.26"/>
    <n v="2982827.4"/>
    <n v="0.120557"/>
    <n v="0.90939999999999999"/>
    <n v="0.10964"/>
    <s v="CohortTrend+Seasonal(0.909)"/>
    <n v="327035.81"/>
    <n v="338994.36"/>
    <n v="-11958.55"/>
    <x v="0"/>
    <n v="0"/>
    <n v="0.78500000000000003"/>
    <n v="0.24"/>
    <n v="0"/>
    <n v="0"/>
    <n v="0"/>
    <n v="338994.36"/>
    <n v="3069608.23"/>
    <n v="0.11043600000000001"/>
    <n v="-11958.55"/>
    <n v="-11938.07"/>
    <n v="0"/>
    <n v="-11938.07"/>
    <n v="2994765.48"/>
    <s v="Forecast"/>
  </r>
  <r>
    <x v="9"/>
    <x v="2"/>
    <s v="202408"/>
    <n v="23"/>
    <n v="2207964.98"/>
    <n v="-2.4186230390064421E-2"/>
    <s v="CohortAvg"/>
    <n v="-1.6473471243692129E-2"/>
    <s v="CohortAvg"/>
    <n v="0.18819590722886589"/>
    <s v="CohortAvg"/>
    <n v="2.1226511789880002E-2"/>
    <s v="CohortAvg_NonZero"/>
    <n v="2.377078464585992E-7"/>
    <s v="CohortAvg"/>
    <n v="0"/>
    <s v="Zero"/>
    <n v="-2.6346066913480598E-3"/>
    <s v="CohortAvg"/>
    <n v="-2.7933495993707509E-5"/>
    <s v="CohortAvg"/>
    <n v="0"/>
    <n v="-53402.35"/>
    <n v="-36372.85"/>
    <n v="34627.5"/>
    <n v="0"/>
    <n v="0.52"/>
    <n v="-5817.12"/>
    <n v="-61.68"/>
    <n v="2152816.7599999998"/>
    <n v="0.117699"/>
    <n v="0.90939999999999999"/>
    <n v="0.107041"/>
    <s v="CohortTrend+Seasonal(0.909)"/>
    <n v="230439.2"/>
    <n v="236208.04"/>
    <n v="-5768.84"/>
    <x v="0"/>
    <n v="0"/>
    <n v="0.78500000000000003"/>
    <n v="0.24"/>
    <n v="0"/>
    <n v="0"/>
    <n v="0"/>
    <n v="236208.04"/>
    <n v="2207964.98"/>
    <n v="0.10698000000000001"/>
    <n v="-5768.84"/>
    <n v="-5768.31"/>
    <n v="0"/>
    <n v="-5768.31"/>
    <n v="2158585.0699999998"/>
    <s v="Forecast"/>
  </r>
  <r>
    <x v="9"/>
    <x v="2"/>
    <s v="202409"/>
    <n v="22"/>
    <n v="2035458.6"/>
    <n v="-3.2553167491864238E-2"/>
    <s v="CohortAvg"/>
    <n v="-1.6735434994587791E-2"/>
    <s v="CohortAvg"/>
    <n v="0.18544851481518429"/>
    <s v="CohortAvg"/>
    <n v="3.4311116446557897E-2"/>
    <s v="CohortAvg_NonZero"/>
    <n v="7.7309175018058238E-6"/>
    <s v="CohortAvg"/>
    <n v="0"/>
    <s v="Zero"/>
    <n v="-1.1919235248795179E-2"/>
    <s v="CohortAvg"/>
    <n v="-9.6942397725141823E-5"/>
    <s v="CohortAvg"/>
    <n v="0"/>
    <n v="-66260.62"/>
    <n v="-34064.29"/>
    <n v="31456.06"/>
    <n v="0"/>
    <n v="15.74"/>
    <n v="-24261.11"/>
    <n v="-197.32"/>
    <n v="1966574.02"/>
    <n v="0.10321900000000001"/>
    <n v="0.90939999999999999"/>
    <n v="9.3871999999999997E-2"/>
    <s v="CohortTrend+Seasonal(0.909)"/>
    <n v="184605.47"/>
    <n v="190966.12"/>
    <n v="-6360.66"/>
    <x v="0"/>
    <n v="0"/>
    <n v="0.78500000000000003"/>
    <n v="0.24"/>
    <n v="0"/>
    <n v="0"/>
    <n v="0"/>
    <n v="190966.12"/>
    <n v="2035458.6"/>
    <n v="9.3820000000000001E-2"/>
    <n v="-6360.66"/>
    <n v="-6344.92"/>
    <n v="0"/>
    <n v="-6344.92"/>
    <n v="1972918.94"/>
    <s v="Forecast"/>
  </r>
  <r>
    <x v="9"/>
    <x v="2"/>
    <s v="202410"/>
    <n v="21"/>
    <n v="1927916.74"/>
    <n v="-4.0172760022609527E-2"/>
    <s v="CohortAvg"/>
    <n v="-1.6691316884576611E-2"/>
    <s v="CohortAvg"/>
    <n v="0.182289504735067"/>
    <s v="CohortAvg"/>
    <n v="2.8560113738058369E-2"/>
    <s v="CohortAvg_NonZero"/>
    <n v="1.1006303681291441E-6"/>
    <s v="CohortAvg"/>
    <n v="0"/>
    <s v="Zero"/>
    <n v="-7.6175263446921562E-3"/>
    <s v="CohortAvg"/>
    <n v="-1.1287040910340431E-4"/>
    <s v="CohortAvg"/>
    <n v="0"/>
    <n v="-77449.740000000005"/>
    <n v="-32179.47"/>
    <n v="29286.58"/>
    <n v="0"/>
    <n v="2.12"/>
    <n v="-14685.96"/>
    <n v="-217.6"/>
    <n v="1847571.99"/>
    <n v="9.6534999999999996E-2"/>
    <n v="0.90939999999999999"/>
    <n v="8.7792999999999996E-2"/>
    <s v="CohortTrend+Seasonal(0.909)"/>
    <n v="162204.32999999999"/>
    <n v="170108.08"/>
    <n v="-7903.76"/>
    <x v="0"/>
    <n v="0"/>
    <n v="0.78500000000000003"/>
    <n v="0.24"/>
    <n v="0"/>
    <n v="0"/>
    <n v="0"/>
    <n v="170108.08"/>
    <n v="1927916.74"/>
    <n v="8.8234000000000007E-2"/>
    <n v="-7903.76"/>
    <n v="-7901.63"/>
    <n v="0"/>
    <n v="-7901.63"/>
    <n v="1855473.63"/>
    <s v="Forecast"/>
  </r>
  <r>
    <x v="9"/>
    <x v="2"/>
    <s v="202411"/>
    <n v="20"/>
    <n v="2201993.9500000002"/>
    <n v="-3.6865094642177583E-2"/>
    <s v="CohortAvg"/>
    <n v="-1.7523998443965919E-2"/>
    <s v="CohortAvg"/>
    <n v="0.19038387332615339"/>
    <s v="CohortAvg"/>
    <n v="2.1383331700804292E-2"/>
    <s v="CohortAvg_NonZero"/>
    <n v="2.251350637044347E-6"/>
    <s v="CohortAvg"/>
    <n v="0"/>
    <s v="Zero"/>
    <n v="-1.1137686293910969E-2"/>
    <s v="CohortAvg"/>
    <n v="-9.8118605607012155E-5"/>
    <s v="CohortAvg"/>
    <n v="0"/>
    <n v="-81176.72"/>
    <n v="-38587.74"/>
    <n v="34935.339999999997"/>
    <n v="0"/>
    <n v="4.96"/>
    <n v="-24525.119999999999"/>
    <n v="-216.06"/>
    <n v="2117159.89"/>
    <n v="9.1579999999999995E-2"/>
    <n v="0.90939999999999999"/>
    <n v="8.3287E-2"/>
    <s v="CohortTrend+Seasonal(0.909)"/>
    <n v="176330.95"/>
    <n v="200630.49"/>
    <n v="-24299.54"/>
    <x v="0"/>
    <n v="0"/>
    <n v="0.78500000000000003"/>
    <n v="0.24"/>
    <n v="0"/>
    <n v="0"/>
    <n v="0"/>
    <n v="200630.49"/>
    <n v="2201993.9500000002"/>
    <n v="9.1113E-2"/>
    <n v="-24299.54"/>
    <n v="-24294.59"/>
    <n v="0"/>
    <n v="-24294.59"/>
    <n v="2141454.4700000002"/>
    <s v="Forecast"/>
  </r>
  <r>
    <x v="9"/>
    <x v="2"/>
    <s v="202412"/>
    <n v="19"/>
    <n v="2015924.59"/>
    <n v="-2.0429568280711161E-2"/>
    <s v="CohortAvg"/>
    <n v="-1.6651171920754021E-2"/>
    <s v="CohortAvg"/>
    <n v="0.1898439020000863"/>
    <s v="CohortAvg"/>
    <n v="2.7849876364466359E-2"/>
    <s v="CohortAvg_NonZero"/>
    <n v="6.9433117628396989E-7"/>
    <s v="CohortAvg"/>
    <n v="0"/>
    <s v="Zero"/>
    <n v="-1.0772312759204169E-2"/>
    <s v="CohortAvg"/>
    <n v="-7.6492647828572944E-5"/>
    <s v="CohortAvg"/>
    <n v="0"/>
    <n v="-41184.47"/>
    <n v="-33567.51"/>
    <n v="31892.58"/>
    <n v="0"/>
    <n v="1.4"/>
    <n v="-21716.17"/>
    <n v="-154.19999999999999"/>
    <n v="1973063.8"/>
    <n v="9.6042000000000002E-2"/>
    <n v="0.90939999999999999"/>
    <n v="8.7345000000000006E-2"/>
    <s v="DonorCohort:202101+Seasonal(0.909)"/>
    <n v="172336.69"/>
    <n v="158727.91"/>
    <n v="13608.78"/>
    <x v="0"/>
    <n v="0"/>
    <n v="0.78500000000000003"/>
    <n v="0.24"/>
    <n v="0"/>
    <n v="0"/>
    <n v="0"/>
    <n v="158727.91"/>
    <n v="2015924.59"/>
    <n v="7.8737000000000001E-2"/>
    <n v="13608.78"/>
    <n v="13610.18"/>
    <n v="0"/>
    <n v="13610.18"/>
    <n v="1959453.62"/>
    <s v="Forecast"/>
  </r>
  <r>
    <x v="9"/>
    <x v="2"/>
    <s v="202501"/>
    <n v="18"/>
    <n v="3579217.64"/>
    <n v="-3.030334264797575E-2"/>
    <s v="CohortAvg"/>
    <n v="-1.7507357864957471E-2"/>
    <s v="CohortAvg"/>
    <n v="0.19121792649866851"/>
    <s v="CohortAvg"/>
    <n v="1.5266658676635779E-2"/>
    <s v="CohortAvg_NonZero"/>
    <n v="2.8109567814554281E-5"/>
    <s v="CohortAvg"/>
    <n v="0"/>
    <s v="Zero"/>
    <n v="-1.864476087383387E-2"/>
    <s v="CohortAvg"/>
    <n v="-1.5305292046564721E-4"/>
    <s v="CohortAvg"/>
    <n v="0"/>
    <n v="-108462.26"/>
    <n v="-62662.64"/>
    <n v="57034.21"/>
    <n v="0"/>
    <n v="100.61"/>
    <n v="-66733.66"/>
    <n v="-547.80999999999995"/>
    <n v="3465026.34"/>
    <n v="8.2997000000000001E-2"/>
    <n v="0.90939999999999999"/>
    <n v="7.5481000000000006E-2"/>
    <s v="DonorCohort:202101+Seasonal(0.909)"/>
    <n v="261541.93"/>
    <n v="263008.98"/>
    <n v="-1467.05"/>
    <x v="0"/>
    <n v="0"/>
    <n v="0.78500000000000003"/>
    <n v="0.24"/>
    <n v="0"/>
    <n v="0"/>
    <n v="0"/>
    <n v="263008.98"/>
    <n v="3579217.64"/>
    <n v="7.3482000000000006E-2"/>
    <n v="-1467.05"/>
    <n v="-1366.44"/>
    <n v="0"/>
    <n v="-1366.44"/>
    <n v="3466392.78"/>
    <s v="Forecast"/>
  </r>
  <r>
    <x v="9"/>
    <x v="2"/>
    <s v="202502"/>
    <n v="17"/>
    <n v="3674257.97"/>
    <n v="-3.3974859512989959E-2"/>
    <s v="CohortAvg"/>
    <n v="-1.7631205813701891E-2"/>
    <s v="CohortAvg"/>
    <n v="0.19765899933247319"/>
    <s v="CohortAvg"/>
    <n v="7.9645373695133598E-3"/>
    <s v="CohortAvg_NonZero"/>
    <n v="0"/>
    <s v="CohortAvg"/>
    <n v="0"/>
    <s v="Zero"/>
    <n v="-3.3407163437772967E-2"/>
    <s v="CohortAvg"/>
    <n v="-3.0541258032209791E-4"/>
    <s v="CohortAvg"/>
    <n v="0"/>
    <n v="-124832.4"/>
    <n v="-64781.599999999999"/>
    <n v="60520.85"/>
    <n v="0"/>
    <n v="0"/>
    <n v="-122746.54"/>
    <n v="-1122.1600000000001"/>
    <n v="3545164.82"/>
    <n v="7.7456999999999998E-2"/>
    <n v="0.90939999999999999"/>
    <n v="7.0443000000000006E-2"/>
    <s v="DonorCohort:202101+Seasonal(0.909)"/>
    <n v="249732.29"/>
    <n v="264742.43"/>
    <n v="-15010.14"/>
    <x v="0"/>
    <n v="0"/>
    <n v="0.78500000000000003"/>
    <n v="0.24"/>
    <n v="0"/>
    <n v="0"/>
    <n v="0"/>
    <n v="264742.43"/>
    <n v="3674257.97"/>
    <n v="7.2053000000000006E-2"/>
    <n v="-15010.14"/>
    <n v="-15010.14"/>
    <n v="0"/>
    <n v="-15010.14"/>
    <n v="3560174.96"/>
    <s v="Forecast"/>
  </r>
  <r>
    <x v="9"/>
    <x v="2"/>
    <s v="202503"/>
    <n v="16"/>
    <n v="4887508.5999999996"/>
    <n v="-2.2750055993428438E-2"/>
    <s v="CohortAvg"/>
    <n v="-1.6972625948660121E-2"/>
    <s v="CohortAvg"/>
    <n v="0.20114607882570551"/>
    <s v="CohortAvg"/>
    <n v="7.1848262480383477E-3"/>
    <s v="CohortAvg_NonZero"/>
    <n v="4.0717154299781089E-8"/>
    <s v="CohortAvg"/>
    <n v="0"/>
    <s v="Zero"/>
    <n v="0"/>
    <s v="CohortAvg"/>
    <n v="0"/>
    <s v="CohortAvg"/>
    <n v="0"/>
    <n v="-111191.09"/>
    <n v="-82953.86"/>
    <n v="81925.27"/>
    <n v="0"/>
    <n v="0.2"/>
    <n v="0"/>
    <n v="0"/>
    <n v="4775288.72"/>
    <n v="7.5951000000000005E-2"/>
    <n v="0.90939999999999999"/>
    <n v="6.9072999999999996E-2"/>
    <s v="DonorCohort:202101+Seasonal(0.909)"/>
    <n v="329844.56"/>
    <n v="316007.2"/>
    <n v="13837.36"/>
    <x v="0"/>
    <n v="0"/>
    <n v="0.78500000000000003"/>
    <n v="0.24"/>
    <n v="0"/>
    <n v="0"/>
    <n v="0"/>
    <n v="316007.2"/>
    <n v="4887508.5999999996"/>
    <n v="6.4656000000000005E-2"/>
    <n v="13837.36"/>
    <n v="13837.56"/>
    <n v="0"/>
    <n v="13837.56"/>
    <n v="4761451.16"/>
    <s v="Forecast"/>
  </r>
  <r>
    <x v="9"/>
    <x v="2"/>
    <s v="202504"/>
    <n v="15"/>
    <n v="6164563.7599999998"/>
    <n v="-2.4575935892791941E-2"/>
    <s v="CohortAvg"/>
    <n v="-1.688763677718131E-2"/>
    <s v="CohortAvg"/>
    <n v="0.19640272344773019"/>
    <s v="CohortAvg"/>
    <n v="3.260907177009143E-3"/>
    <s v="CohortAvg_NonZero"/>
    <n v="0"/>
    <s v="CohortAvg"/>
    <n v="0"/>
    <s v="Zero"/>
    <n v="0"/>
    <s v="CohortAvg"/>
    <n v="0"/>
    <s v="CohortAvg"/>
    <n v="0"/>
    <n v="-151499.92000000001"/>
    <n v="-104104.91"/>
    <n v="100894.76"/>
    <n v="0"/>
    <n v="0"/>
    <n v="0"/>
    <n v="0"/>
    <n v="6009853.6799999997"/>
    <n v="6.8154000000000006E-2"/>
    <n v="0.90939999999999999"/>
    <n v="6.1982000000000002E-2"/>
    <s v="DonorCohort:202101+Seasonal(0.909)"/>
    <n v="372502.45"/>
    <n v="327627.52000000002"/>
    <n v="44874.93"/>
    <x v="0"/>
    <n v="0"/>
    <n v="0.78500000000000003"/>
    <n v="0.24"/>
    <n v="0"/>
    <n v="0"/>
    <n v="0"/>
    <n v="327627.52000000002"/>
    <n v="6164563.7599999998"/>
    <n v="5.3147E-2"/>
    <n v="44874.93"/>
    <n v="44874.93"/>
    <n v="0"/>
    <n v="44874.93"/>
    <n v="5964978.75"/>
    <s v="Forecast"/>
  </r>
  <r>
    <x v="9"/>
    <x v="2"/>
    <s v="202505"/>
    <n v="14"/>
    <n v="6017702.6399999997"/>
    <n v="-2.6631300304252231E-2"/>
    <s v="CohortAvg"/>
    <n v="-1.6089570180531618E-2"/>
    <s v="CohortAvg"/>
    <n v="0.18822598187088621"/>
    <s v="CohortAvg"/>
    <n v="0"/>
    <s v="CohortAvg_NoData_ERROR"/>
    <n v="0"/>
    <s v="CohortAvg"/>
    <n v="0"/>
    <s v="Zero"/>
    <n v="0"/>
    <s v="CohortAvg"/>
    <n v="0"/>
    <s v="CohortAvg"/>
    <n v="0"/>
    <n v="-160259.25"/>
    <n v="-96822.25"/>
    <n v="94390.67"/>
    <n v="0"/>
    <n v="0"/>
    <n v="0"/>
    <n v="0"/>
    <n v="5855011.8099999996"/>
    <n v="5.6022000000000002E-2"/>
    <n v="0.90939999999999999"/>
    <n v="5.0949000000000001E-2"/>
    <s v="DonorCohort:202101+Seasonal(0.909)"/>
    <n v="298305.73"/>
    <n v="290999.46000000002"/>
    <n v="7306.27"/>
    <x v="0"/>
    <n v="0"/>
    <n v="0.78500000000000003"/>
    <n v="0.24"/>
    <n v="0"/>
    <n v="0"/>
    <n v="0"/>
    <n v="290999.46000000002"/>
    <n v="6017702.6399999997"/>
    <n v="4.8356999999999997E-2"/>
    <n v="7306.27"/>
    <n v="7306.27"/>
    <n v="0"/>
    <n v="7306.27"/>
    <n v="5847705.54"/>
    <s v="Forecast"/>
  </r>
  <r>
    <x v="9"/>
    <x v="2"/>
    <s v="202506"/>
    <n v="13"/>
    <n v="6253045.6600000001"/>
    <n v="-1.9307090606031429E-2"/>
    <s v="CohortAvg"/>
    <n v="-1.5636515389987921E-2"/>
    <s v="CohortAvg"/>
    <n v="0.190085279070004"/>
    <s v="CohortAvg"/>
    <n v="0"/>
    <s v="CohortAvg_NoData_ERROR"/>
    <n v="0"/>
    <s v="CohortAvg"/>
    <n v="0"/>
    <s v="Zero"/>
    <n v="0"/>
    <s v="CohortAvg"/>
    <n v="0"/>
    <s v="CohortAvg"/>
    <n v="0"/>
    <n v="-120728.12"/>
    <n v="-97775.84"/>
    <n v="99050.99"/>
    <n v="0"/>
    <n v="0"/>
    <n v="0"/>
    <n v="0"/>
    <n v="6133592.6900000004"/>
    <n v="5.0972999999999997E-2"/>
    <n v="0.90939999999999999"/>
    <n v="4.6357000000000002E-2"/>
    <s v="DonorCohort:202101+Seasonal(0.909)"/>
    <n v="284336.21000000002"/>
    <n v="272912.55"/>
    <n v="11423.67"/>
    <x v="0"/>
    <n v="0"/>
    <n v="0.78500000000000003"/>
    <n v="0.24"/>
    <n v="0"/>
    <n v="0"/>
    <n v="0"/>
    <n v="272912.55"/>
    <n v="6253045.6600000001"/>
    <n v="4.3645000000000003E-2"/>
    <n v="11423.67"/>
    <n v="11423.67"/>
    <n v="0"/>
    <n v="11423.67"/>
    <n v="6122169.0199999996"/>
    <s v="Forecast"/>
  </r>
  <r>
    <x v="9"/>
    <x v="2"/>
    <s v="202507"/>
    <n v="12"/>
    <n v="7898229.5899999999"/>
    <n v="-1.5435160329141089E-2"/>
    <s v="CohortAvg"/>
    <n v="-1.622226046757301E-2"/>
    <s v="CohortAvg"/>
    <n v="0.17874129732537361"/>
    <s v="CohortAvg"/>
    <n v="0"/>
    <s v="CohortAvg_NoData_ERROR"/>
    <n v="0"/>
    <s v="CohortAvg"/>
    <n v="0"/>
    <s v="Zero"/>
    <n v="0"/>
    <s v="CohortAvg"/>
    <n v="0"/>
    <s v="CohortAvg"/>
    <n v="0"/>
    <n v="-121910.44"/>
    <n v="-128127.14"/>
    <n v="117644.98"/>
    <n v="0"/>
    <n v="0"/>
    <n v="0"/>
    <n v="0"/>
    <n v="7765836.9900000002"/>
    <n v="4.6005999999999998E-2"/>
    <n v="0.90939999999999999"/>
    <n v="4.1840000000000002E-2"/>
    <s v="DonorCohort:202101+Seasonal(0.909)"/>
    <n v="324919.64"/>
    <n v="297079.36"/>
    <n v="27840.28"/>
    <x v="0"/>
    <n v="0"/>
    <n v="0.78500000000000003"/>
    <n v="0.24"/>
    <n v="0"/>
    <n v="0"/>
    <n v="0"/>
    <n v="297079.36"/>
    <n v="7898229.5899999999"/>
    <n v="3.7613000000000001E-2"/>
    <n v="27840.28"/>
    <n v="27840.28"/>
    <n v="0"/>
    <n v="27840.28"/>
    <n v="7737996.7199999997"/>
    <s v="Forecast"/>
  </r>
  <r>
    <x v="9"/>
    <x v="2"/>
    <s v="202508"/>
    <n v="11"/>
    <n v="7020262.0099999998"/>
    <n v="-1.8364200980535639E-2"/>
    <s v="CohortAvg"/>
    <n v="-1.123374814252784E-2"/>
    <s v="CohortAvg"/>
    <n v="0.1770481490517456"/>
    <s v="CohortAvg"/>
    <n v="0"/>
    <s v="CohortAvg_NoData_ERROR"/>
    <n v="3.2758782749604561E-5"/>
    <s v="CohortAvg"/>
    <n v="0"/>
    <s v="Zero"/>
    <n v="0"/>
    <s v="CohortAvg"/>
    <n v="0"/>
    <s v="CohortAvg"/>
    <n v="0"/>
    <n v="-128921.5"/>
    <n v="-78863.86"/>
    <n v="103577.03"/>
    <n v="0"/>
    <n v="229.98"/>
    <n v="0"/>
    <n v="0"/>
    <n v="6915823.71"/>
    <n v="3.9648000000000003E-2"/>
    <n v="0.90939999999999999"/>
    <n v="3.6058E-2"/>
    <s v="DonorCohort:202101+Seasonal(0.909)"/>
    <n v="249368.98"/>
    <n v="219128.11"/>
    <n v="30240.87"/>
    <x v="0"/>
    <n v="0"/>
    <n v="0.78500000000000003"/>
    <n v="0.24"/>
    <n v="0"/>
    <n v="0"/>
    <n v="0"/>
    <n v="219128.11"/>
    <n v="7020262.0099999998"/>
    <n v="3.1213999999999999E-2"/>
    <n v="30240.87"/>
    <n v="30470.85"/>
    <n v="0"/>
    <n v="30470.85"/>
    <n v="6885352.8600000003"/>
    <s v="Forecast"/>
  </r>
  <r>
    <x v="9"/>
    <x v="2"/>
    <s v="202509"/>
    <n v="10"/>
    <n v="3519253.5"/>
    <n v="-0.23665804470095389"/>
    <s v="CohortAvg"/>
    <n v="-2.903681992130106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832859.65"/>
    <n v="-102187.93"/>
    <n v="146635.56"/>
    <n v="0"/>
    <n v="0"/>
    <n v="0"/>
    <n v="0"/>
    <n v="2730841.48"/>
    <n v="3.2902000000000001E-2"/>
    <n v="0.90939999999999999"/>
    <n v="2.9923000000000002E-2"/>
    <s v="DonorCohort:202101+Seasonal(0.909)"/>
    <n v="81714.11"/>
    <n v="70703.039999999994"/>
    <n v="11011.07"/>
    <x v="0"/>
    <n v="0"/>
    <n v="0.78500000000000003"/>
    <n v="0.24"/>
    <n v="0"/>
    <n v="0"/>
    <n v="0"/>
    <n v="70703.039999999994"/>
    <n v="3519253.5"/>
    <n v="2.009E-2"/>
    <n v="11011.07"/>
    <n v="11011.07"/>
    <n v="0"/>
    <n v="11011.07"/>
    <n v="2719830.41"/>
    <s v="Forecast"/>
  </r>
  <r>
    <x v="9"/>
    <x v="3"/>
    <s v="201912"/>
    <n v="79"/>
    <n v="51528.27"/>
    <n v="-7.0101120583602357E-3"/>
    <s v="CohortAvg"/>
    <n v="-6.46192533382707E-4"/>
    <s v="CohortAvg"/>
    <n v="0"/>
    <s v="CohortAvg"/>
    <n v="3.0408926085165589E-2"/>
    <s v="CohortAvg_NonZero"/>
    <n v="7.7388109975011455E-7"/>
    <s v="CohortAvg"/>
    <n v="0"/>
    <s v="Zero"/>
    <n v="0"/>
    <s v="CohortAvg"/>
    <n v="0"/>
    <s v="CohortAvg"/>
    <n v="0"/>
    <n v="-361.22"/>
    <n v="-33.299999999999997"/>
    <n v="0"/>
    <n v="0"/>
    <n v="0.04"/>
    <n v="0"/>
    <n v="0"/>
    <n v="51133.71"/>
    <n v="0.98820300000000005"/>
    <n v="0.90980000000000005"/>
    <n v="0.899034"/>
    <s v="CohortAvg+Seasonal(0.910)"/>
    <n v="45970.96"/>
    <n v="48762.75"/>
    <n v="-2791.79"/>
    <x v="0"/>
    <n v="0"/>
    <n v="0.78500000000000003"/>
    <n v="0.24"/>
    <n v="0"/>
    <n v="0"/>
    <n v="0"/>
    <n v="48762.75"/>
    <n v="51528.27"/>
    <n v="0.94633"/>
    <n v="-2791.79"/>
    <n v="-2791.75"/>
    <n v="0"/>
    <n v="-2791.75"/>
    <n v="53925.46"/>
    <s v="Forecast"/>
  </r>
  <r>
    <x v="9"/>
    <x v="3"/>
    <s v="202001"/>
    <n v="78"/>
    <n v="14.26"/>
    <n v="-0.5"/>
    <s v="CohortAvg"/>
    <n v="-2.0841109188798041E-5"/>
    <s v="CohortAvg"/>
    <n v="0"/>
    <s v="CohortAvg"/>
    <n v="1.803626937996303E-2"/>
    <s v="CohortAvg_NonZero"/>
    <n v="0"/>
    <s v="CohortAvg"/>
    <n v="0"/>
    <s v="Zero"/>
    <n v="0"/>
    <s v="CohortAvg"/>
    <n v="0"/>
    <s v="CohortAvg"/>
    <n v="0"/>
    <n v="-7.13"/>
    <n v="0"/>
    <n v="0"/>
    <n v="0"/>
    <n v="0"/>
    <n v="0"/>
    <n v="0"/>
    <n v="7.13"/>
    <n v="0.82182299999999997"/>
    <n v="0.90980000000000005"/>
    <n v="0.74766699999999997"/>
    <s v="CohortAvg+Seasonal(0.910)"/>
    <n v="5.33"/>
    <n v="11.2"/>
    <n v="-5.87"/>
    <x v="0"/>
    <n v="0"/>
    <n v="0.78500000000000003"/>
    <n v="0.24"/>
    <n v="0"/>
    <n v="0"/>
    <n v="0"/>
    <n v="11.2"/>
    <n v="14.26"/>
    <n v="0.78593999999999997"/>
    <n v="-5.87"/>
    <n v="-5.87"/>
    <n v="0"/>
    <n v="-5.87"/>
    <n v="13"/>
    <s v="Forecast"/>
  </r>
  <r>
    <x v="9"/>
    <x v="3"/>
    <s v="202101"/>
    <n v="66"/>
    <n v="794332.21"/>
    <n v="-0.1054752269065075"/>
    <s v="CohortAvg"/>
    <n v="-8.2585481894776012E-3"/>
    <s v="CohortAvg"/>
    <n v="0.10953426546347381"/>
    <s v="CohortAvg"/>
    <n v="6.1576586608899642E-3"/>
    <s v="CohortAvg_NonZero"/>
    <n v="0"/>
    <s v="CohortAvg"/>
    <n v="0"/>
    <s v="Zero"/>
    <n v="-1.84368782253488E-4"/>
    <s v="CohortAvg"/>
    <n v="-1.957409960631509E-6"/>
    <s v="CohortAvg"/>
    <n v="0"/>
    <n v="-83782.37"/>
    <n v="-6560.03"/>
    <n v="7250.55"/>
    <n v="0"/>
    <n v="0"/>
    <n v="-146.44999999999999"/>
    <n v="-1.55"/>
    <n v="711240.36"/>
    <n v="0.27645399999999998"/>
    <n v="0.90980000000000005"/>
    <n v="0.25150899999999998"/>
    <s v="CohortAvg+Seasonal(0.910)"/>
    <n v="178883.47"/>
    <n v="210265.28"/>
    <n v="-31381.81"/>
    <x v="0"/>
    <n v="0"/>
    <n v="0.78500000000000003"/>
    <n v="0.24"/>
    <n v="0"/>
    <n v="0"/>
    <n v="0"/>
    <n v="210265.28"/>
    <n v="794332.21"/>
    <n v="0.26470700000000003"/>
    <n v="-31381.81"/>
    <n v="-31381.81"/>
    <n v="0"/>
    <n v="-31381.81"/>
    <n v="742622.17"/>
    <s v="Forecast"/>
  </r>
  <r>
    <x v="9"/>
    <x v="3"/>
    <s v="202201"/>
    <n v="46"/>
    <n v="181517.51"/>
    <n v="-8.8818809062345169E-2"/>
    <s v="CohortAvg"/>
    <n v="-1.0407128927784001E-2"/>
    <s v="CohortAvg"/>
    <n v="0.1129919935679604"/>
    <s v="CohortAvg"/>
    <n v="3.2685274755894937E-2"/>
    <s v="CohortAvg_NonZero"/>
    <n v="8.7992997393060554E-4"/>
    <s v="CohortAvg"/>
    <n v="0"/>
    <s v="Zero"/>
    <n v="-1.8818887753582311E-4"/>
    <s v="CohortAvg"/>
    <n v="-1.593166654500789E-6"/>
    <s v="CohortAvg"/>
    <n v="0"/>
    <n v="-16122.17"/>
    <n v="-1889.08"/>
    <n v="1709.17"/>
    <n v="0"/>
    <n v="159.72"/>
    <n v="-34.159999999999997"/>
    <n v="-0.28999999999999998"/>
    <n v="165055.71"/>
    <n v="0.30335099999999998"/>
    <n v="0.90980000000000005"/>
    <n v="0.275978"/>
    <s v="CohortAvg+Seasonal(0.910)"/>
    <n v="45551.79"/>
    <n v="52997.93"/>
    <n v="-7446.14"/>
    <x v="0"/>
    <n v="0"/>
    <n v="0.78500000000000003"/>
    <n v="0.24"/>
    <n v="0"/>
    <n v="0"/>
    <n v="0"/>
    <n v="52997.93"/>
    <n v="181517.51"/>
    <n v="0.29197099999999998"/>
    <n v="-7446.14"/>
    <n v="-7286.42"/>
    <n v="0"/>
    <n v="-7286.42"/>
    <n v="172342.13"/>
    <s v="Forecast"/>
  </r>
  <r>
    <x v="9"/>
    <x v="3"/>
    <s v="202301"/>
    <n v="37"/>
    <n v="2319676.06"/>
    <n v="-6.9961171621009163E-2"/>
    <s v="CohortAvg"/>
    <n v="-1.6139429303739499E-2"/>
    <s v="CohortAvg"/>
    <n v="0.19091241474495371"/>
    <s v="CohortAvg"/>
    <n v="2.485776041270181E-2"/>
    <s v="CohortAvg_NonZero"/>
    <n v="4.6098123646742584E-6"/>
    <s v="CohortAvg"/>
    <n v="0"/>
    <s v="Zero"/>
    <n v="-2.4721636081611472E-3"/>
    <s v="CohortAvg"/>
    <n v="-1.5753441453782421E-5"/>
    <s v="CohortAvg"/>
    <n v="0"/>
    <n v="-162287.25"/>
    <n v="-37438.25"/>
    <n v="36904.58"/>
    <n v="0"/>
    <n v="10.69"/>
    <n v="-5734.62"/>
    <n v="-36.54"/>
    <n v="2156844.44"/>
    <n v="0.278364"/>
    <n v="0.90980000000000005"/>
    <n v="0.25324600000000003"/>
    <s v="CohortTrend+Seasonal(0.910)"/>
    <n v="546213.22"/>
    <n v="599254.06000000006"/>
    <n v="-53040.84"/>
    <x v="0"/>
    <n v="0"/>
    <n v="0.78500000000000003"/>
    <n v="0.24"/>
    <n v="0"/>
    <n v="0"/>
    <n v="0"/>
    <n v="599254.06000000006"/>
    <n v="2319676.06"/>
    <n v="0.25833499999999998"/>
    <n v="-53040.84"/>
    <n v="-53030.15"/>
    <n v="0"/>
    <n v="-53030.15"/>
    <n v="2209874.59"/>
    <s v="Forecast"/>
  </r>
  <r>
    <x v="9"/>
    <x v="3"/>
    <s v="202404"/>
    <n v="27"/>
    <n v="590176.64"/>
    <n v="-4.99334849542723E-2"/>
    <s v="CohortAvg"/>
    <n v="-1.7534231590699358E-2"/>
    <s v="CohortAvg"/>
    <n v="0.1915929866256593"/>
    <s v="CohortAvg"/>
    <n v="6.2299965133824818E-2"/>
    <s v="CohortAvg_NonZero"/>
    <n v="1.9312592559309321E-6"/>
    <s v="CohortAvg"/>
    <n v="0"/>
    <s v="Zero"/>
    <n v="-1.067647357495333E-2"/>
    <s v="CohortAvg"/>
    <n v="-1.198599147909284E-4"/>
    <s v="CohortAvg"/>
    <n v="0"/>
    <n v="-29469.58"/>
    <n v="-10348.290000000001"/>
    <n v="9422.81"/>
    <n v="0"/>
    <n v="1.1399999999999999"/>
    <n v="-6301.01"/>
    <n v="-70.739999999999995"/>
    <n v="559780.43999999994"/>
    <n v="0.17494100000000001"/>
    <n v="0.90980000000000005"/>
    <n v="0.15915499999999999"/>
    <s v="CohortTrend+Seasonal(0.910)"/>
    <n v="89091.98"/>
    <n v="96025.74"/>
    <n v="-6933.76"/>
    <x v="0"/>
    <n v="0"/>
    <n v="0.78500000000000003"/>
    <n v="0.24"/>
    <n v="0"/>
    <n v="0"/>
    <n v="0"/>
    <n v="96025.74"/>
    <n v="590176.64"/>
    <n v="0.16270699999999999"/>
    <n v="-6933.76"/>
    <n v="-6932.62"/>
    <n v="0"/>
    <n v="-6932.62"/>
    <n v="566713.06000000006"/>
    <s v="Forecast"/>
  </r>
  <r>
    <x v="9"/>
    <x v="3"/>
    <s v="202405"/>
    <n v="26"/>
    <n v="537072.37"/>
    <n v="-5.2066811519830232E-2"/>
    <s v="CohortAvg"/>
    <n v="-1.7934484908277259E-2"/>
    <s v="CohortAvg"/>
    <n v="0.200132176271069"/>
    <s v="CohortAvg"/>
    <n v="4.5198788546761022E-2"/>
    <s v="CohortAvg_NonZero"/>
    <n v="1.8114259410352291E-6"/>
    <s v="CohortAvg"/>
    <n v="0"/>
    <s v="Zero"/>
    <n v="-1.211364608482586E-2"/>
    <s v="CohortAvg"/>
    <n v="-1.083884963698041E-4"/>
    <s v="CohortAvg"/>
    <n v="0"/>
    <n v="-27963.65"/>
    <n v="-9632.1200000000008"/>
    <n v="8957.1200000000008"/>
    <n v="0"/>
    <n v="0.97"/>
    <n v="-6505.9"/>
    <n v="-58.21"/>
    <n v="508432.76"/>
    <n v="0.14424000000000001"/>
    <n v="0.90980000000000005"/>
    <n v="0.13122500000000001"/>
    <s v="CohortTrend+Seasonal(0.910)"/>
    <n v="66719.11"/>
    <n v="72377.27"/>
    <n v="-5658.16"/>
    <x v="0"/>
    <n v="0"/>
    <n v="0.78500000000000003"/>
    <n v="0.24"/>
    <n v="0"/>
    <n v="0"/>
    <n v="0"/>
    <n v="72377.27"/>
    <n v="537072.37"/>
    <n v="0.13476299999999999"/>
    <n v="-5658.16"/>
    <n v="-5657.19"/>
    <n v="0"/>
    <n v="-5657.19"/>
    <n v="514089.94"/>
    <s v="Forecast"/>
  </r>
  <r>
    <x v="9"/>
    <x v="3"/>
    <s v="202406"/>
    <n v="25"/>
    <n v="674143.66"/>
    <n v="-4.8136991610677193E-2"/>
    <s v="CohortAvg"/>
    <n v="-1.8116199717453221E-2"/>
    <s v="CohortAvg"/>
    <n v="0.2028200477003923"/>
    <s v="CohortAvg"/>
    <n v="3.8963031167174478E-2"/>
    <s v="CohortAvg_NonZero"/>
    <n v="1.305869118217991E-6"/>
    <s v="CohortAvg"/>
    <n v="0"/>
    <s v="Zero"/>
    <n v="-1.401989751323377E-2"/>
    <s v="CohortAvg"/>
    <n v="-1.088602847619353E-4"/>
    <s v="CohortAvg"/>
    <n v="0"/>
    <n v="-32451.25"/>
    <n v="-12212.92"/>
    <n v="11394.15"/>
    <n v="0"/>
    <n v="0.88"/>
    <n v="-9451.43"/>
    <n v="-73.39"/>
    <n v="640872.77"/>
    <n v="0.11391800000000001"/>
    <n v="0.90980000000000005"/>
    <n v="0.103639"/>
    <s v="CohortTrend+Seasonal(0.910)"/>
    <n v="66419.55"/>
    <n v="71824.72"/>
    <n v="-5405.17"/>
    <x v="0"/>
    <n v="0"/>
    <n v="0.78500000000000003"/>
    <n v="0.24"/>
    <n v="0"/>
    <n v="0"/>
    <n v="0"/>
    <n v="71824.72"/>
    <n v="674143.66"/>
    <n v="0.106542"/>
    <n v="-5405.17"/>
    <n v="-5404.29"/>
    <n v="0"/>
    <n v="-5404.29"/>
    <n v="646277.05000000005"/>
    <s v="Forecast"/>
  </r>
  <r>
    <x v="9"/>
    <x v="3"/>
    <s v="202407"/>
    <n v="24"/>
    <n v="598516.6"/>
    <n v="-6.7130027180746815E-2"/>
    <s v="CohortAvg"/>
    <n v="-1.8922301441205731E-2"/>
    <s v="CohortAvg"/>
    <n v="0.2070461218663894"/>
    <s v="CohortAvg"/>
    <n v="2.6825419822277499E-2"/>
    <s v="CohortAvg_NonZero"/>
    <n v="5.9225607554182478E-6"/>
    <s v="CohortAvg"/>
    <n v="0"/>
    <s v="Zero"/>
    <n v="-1.705136463460015E-2"/>
    <s v="CohortAvg"/>
    <n v="-2.018299611085535E-4"/>
    <s v="CohortAvg"/>
    <n v="0"/>
    <n v="-40178.44"/>
    <n v="-11325.31"/>
    <n v="10326.709999999999"/>
    <n v="0"/>
    <n v="3.54"/>
    <n v="-10205.52"/>
    <n v="-120.8"/>
    <n v="557336.02"/>
    <n v="9.4239000000000003E-2"/>
    <n v="0.90980000000000005"/>
    <n v="8.5736000000000007E-2"/>
    <s v="CohortTrend+Seasonal(0.910)"/>
    <n v="47783.51"/>
    <n v="52930.25"/>
    <n v="-5146.75"/>
    <x v="0"/>
    <n v="0"/>
    <n v="0.78500000000000003"/>
    <n v="0.24"/>
    <n v="0"/>
    <n v="0"/>
    <n v="0"/>
    <n v="52930.25"/>
    <n v="598516.6"/>
    <n v="8.8436000000000001E-2"/>
    <n v="-5146.75"/>
    <n v="-5143.2"/>
    <n v="0"/>
    <n v="-5143.2"/>
    <n v="562479.22"/>
    <s v="Forecast"/>
  </r>
  <r>
    <x v="9"/>
    <x v="3"/>
    <s v="202408"/>
    <n v="23"/>
    <n v="756631.56"/>
    <n v="-4.9633772449399129E-2"/>
    <s v="CohortAvg"/>
    <n v="-1.92559380780985E-2"/>
    <s v="CohortAvg"/>
    <n v="0.21406232830364069"/>
    <s v="CohortAvg"/>
    <n v="3.1726701963077031E-2"/>
    <s v="CohortAvg_NonZero"/>
    <n v="2.366082412837848E-6"/>
    <s v="CohortAvg"/>
    <n v="0"/>
    <s v="Zero"/>
    <n v="-1.191083351061885E-2"/>
    <s v="CohortAvg"/>
    <n v="-1.0466570606214841E-4"/>
    <s v="CohortAvg"/>
    <n v="0"/>
    <n v="-37554.480000000003"/>
    <n v="-14569.65"/>
    <n v="13497.19"/>
    <n v="0"/>
    <n v="1.79"/>
    <n v="-9012.11"/>
    <n v="-79.19"/>
    <n v="718002.83"/>
    <n v="8.2318000000000002E-2"/>
    <n v="0.90980000000000005"/>
    <n v="7.4889999999999998E-2"/>
    <s v="CohortTrend+Seasonal(0.910)"/>
    <n v="53771.23"/>
    <n v="58687.06"/>
    <n v="-4915.83"/>
    <x v="0"/>
    <n v="0"/>
    <n v="0.78500000000000003"/>
    <n v="0.24"/>
    <n v="0"/>
    <n v="0"/>
    <n v="0"/>
    <n v="58687.06"/>
    <n v="756631.56"/>
    <n v="7.7563999999999994E-2"/>
    <n v="-4915.83"/>
    <n v="-4914.04"/>
    <n v="0"/>
    <n v="-4914.04"/>
    <n v="722916.88"/>
    <s v="Forecast"/>
  </r>
  <r>
    <x v="9"/>
    <x v="3"/>
    <s v="202409"/>
    <n v="22"/>
    <n v="575365.89"/>
    <n v="-7.285397985996743E-2"/>
    <s v="CohortAvg"/>
    <n v="-2.0122830775717051E-2"/>
    <s v="CohortAvg"/>
    <n v="0.21072897030931639"/>
    <s v="CohortAvg"/>
    <n v="3.5079268431398657E-2"/>
    <s v="CohortAvg_NonZero"/>
    <n v="1.6188692840576749E-6"/>
    <s v="CohortAvg"/>
    <n v="0"/>
    <s v="Zero"/>
    <n v="-1.476853248627496E-2"/>
    <s v="CohortAvg"/>
    <n v="-1.188809084216861E-4"/>
    <s v="CohortAvg"/>
    <n v="0"/>
    <n v="-41917.69"/>
    <n v="-11577.99"/>
    <n v="10103.86"/>
    <n v="0"/>
    <n v="0.93"/>
    <n v="-8497.31"/>
    <n v="-68.400000000000006"/>
    <n v="531973.13"/>
    <n v="6.9899000000000003E-2"/>
    <n v="0.90980000000000005"/>
    <n v="6.3591999999999996E-2"/>
    <s v="CohortTrend+Seasonal(0.910)"/>
    <n v="33829.26"/>
    <n v="38084.639999999999"/>
    <n v="-4255.37"/>
    <x v="0"/>
    <n v="0"/>
    <n v="0.78500000000000003"/>
    <n v="0.24"/>
    <n v="0"/>
    <n v="0"/>
    <n v="0"/>
    <n v="38084.639999999999"/>
    <n v="575365.89"/>
    <n v="6.6192000000000001E-2"/>
    <n v="-4255.37"/>
    <n v="-4254.4399999999996"/>
    <n v="0"/>
    <n v="-4254.4399999999996"/>
    <n v="536227.56999999995"/>
    <s v="Forecast"/>
  </r>
  <r>
    <x v="9"/>
    <x v="3"/>
    <s v="202410"/>
    <n v="21"/>
    <n v="643673.18000000005"/>
    <n v="-4.8458817271303488E-2"/>
    <s v="CohortAvg"/>
    <n v="-1.9949481791376969E-2"/>
    <s v="CohortAvg"/>
    <n v="0.2134764154093319"/>
    <s v="CohortAvg"/>
    <n v="3.6916201757361218E-2"/>
    <s v="CohortAvg_NonZero"/>
    <n v="1.628303695744977E-6"/>
    <s v="CohortAvg"/>
    <n v="0"/>
    <s v="Zero"/>
    <n v="-2.0417649824528261E-2"/>
    <s v="CohortAvg"/>
    <n v="-1.711517758925281E-4"/>
    <s v="CohortAvg"/>
    <n v="0"/>
    <n v="-31191.64"/>
    <n v="-12840.95"/>
    <n v="11450.75"/>
    <n v="0"/>
    <n v="1.05"/>
    <n v="-13142.29"/>
    <n v="-110.17"/>
    <n v="611090.30000000005"/>
    <n v="6.5074999999999994E-2"/>
    <n v="0.90980000000000005"/>
    <n v="5.9202999999999999E-2"/>
    <s v="CohortTrend+Seasonal(0.910)"/>
    <n v="36178.379999999997"/>
    <n v="39696.959999999999"/>
    <n v="-3518.59"/>
    <x v="0"/>
    <n v="0"/>
    <n v="0.78500000000000003"/>
    <n v="0.24"/>
    <n v="0"/>
    <n v="0"/>
    <n v="0"/>
    <n v="39696.959999999999"/>
    <n v="643673.18000000005"/>
    <n v="6.1672999999999999E-2"/>
    <n v="-3518.59"/>
    <n v="-3517.54"/>
    <n v="0"/>
    <n v="-3517.54"/>
    <n v="614607.82999999996"/>
    <s v="Forecast"/>
  </r>
  <r>
    <x v="9"/>
    <x v="3"/>
    <s v="202411"/>
    <n v="20"/>
    <n v="726668.08"/>
    <n v="-5.2139045263173943E-2"/>
    <s v="CohortAvg"/>
    <n v="-2.0090977400360852E-2"/>
    <s v="CohortAvg"/>
    <n v="0.2232994024526328"/>
    <s v="CohortAvg"/>
    <n v="2.8439578366382341E-2"/>
    <s v="CohortAvg_NonZero"/>
    <n v="5.3027924306776784E-7"/>
    <s v="CohortAvg"/>
    <n v="0"/>
    <s v="Zero"/>
    <n v="-2.5244569578235902E-2"/>
    <s v="CohortAvg"/>
    <n v="-2.3667860543443009E-4"/>
    <s v="CohortAvg"/>
    <n v="0"/>
    <n v="-37887.78"/>
    <n v="-14599.47"/>
    <n v="13522.05"/>
    <n v="0"/>
    <n v="0.39"/>
    <n v="-18344.419999999998"/>
    <n v="-171.99"/>
    <n v="687702.49"/>
    <n v="5.9449000000000002E-2"/>
    <n v="0.90980000000000005"/>
    <n v="5.4085000000000001E-2"/>
    <s v="CohortTrend+Seasonal(0.910)"/>
    <n v="37194.239999999998"/>
    <n v="49985.62"/>
    <n v="-12791.38"/>
    <x v="0"/>
    <n v="0"/>
    <n v="0.78500000000000003"/>
    <n v="0.24"/>
    <n v="0"/>
    <n v="0"/>
    <n v="0"/>
    <n v="49985.62"/>
    <n v="726668.08"/>
    <n v="6.8787000000000001E-2"/>
    <n v="-12791.38"/>
    <n v="-12790.99"/>
    <n v="0"/>
    <n v="-12790.99"/>
    <n v="700493.48"/>
    <s v="Forecast"/>
  </r>
  <r>
    <x v="9"/>
    <x v="3"/>
    <s v="202412"/>
    <n v="19"/>
    <n v="771800.26"/>
    <n v="-5.0464306069109427E-2"/>
    <s v="CohortAvg"/>
    <n v="-2.059003706604022E-2"/>
    <s v="CohortAvg"/>
    <n v="0.22265160980662119"/>
    <s v="CohortAvg"/>
    <n v="3.2291236019549793E-2"/>
    <s v="CohortAvg_NonZero"/>
    <n v="1.9124573003086448E-6"/>
    <s v="CohortAvg"/>
    <n v="0"/>
    <s v="Zero"/>
    <n v="-4.4504808132102829E-2"/>
    <s v="CohortAvg"/>
    <n v="-4.6492131681556822E-4"/>
    <s v="CohortAvg"/>
    <n v="0"/>
    <n v="-38948.36"/>
    <n v="-15891.4"/>
    <n v="14320.21"/>
    <n v="0"/>
    <n v="1.48"/>
    <n v="-34348.82"/>
    <n v="-358.83"/>
    <n v="731279.24"/>
    <n v="7.1835999999999997E-2"/>
    <n v="0.90980000000000005"/>
    <n v="6.5353999999999995E-2"/>
    <s v="DonorCohort:202101+Seasonal(0.910)"/>
    <n v="47792.04"/>
    <n v="45580.26"/>
    <n v="2211.7800000000002"/>
    <x v="0"/>
    <n v="0"/>
    <n v="0.78500000000000003"/>
    <n v="0.24"/>
    <n v="0"/>
    <n v="0"/>
    <n v="0"/>
    <n v="45580.26"/>
    <n v="771800.26"/>
    <n v="5.9056999999999998E-2"/>
    <n v="2211.7800000000002"/>
    <n v="2213.25"/>
    <n v="0"/>
    <n v="2213.25"/>
    <n v="729065.98"/>
    <s v="Forecast"/>
  </r>
  <r>
    <x v="9"/>
    <x v="3"/>
    <s v="202501"/>
    <n v="18"/>
    <n v="1294879.23"/>
    <n v="-5.2335957891784253E-2"/>
    <s v="CohortAvg"/>
    <n v="-2.080074879864462E-2"/>
    <s v="CohortAvg"/>
    <n v="0.22547033756150511"/>
    <s v="CohortAvg"/>
    <n v="1.389718996687315E-2"/>
    <s v="CohortAvg_NonZero"/>
    <n v="1.5734205735835901E-5"/>
    <s v="CohortAvg"/>
    <n v="0"/>
    <s v="Zero"/>
    <n v="-4.3342427490702592E-2"/>
    <s v="CohortAvg"/>
    <n v="-4.640731659614307E-4"/>
    <s v="CohortAvg"/>
    <n v="0"/>
    <n v="-67768.740000000005"/>
    <n v="-26934.46"/>
    <n v="24329.74"/>
    <n v="0"/>
    <n v="20.37"/>
    <n v="-56123.21"/>
    <n v="-600.91999999999996"/>
    <n v="1224485.3899999999"/>
    <n v="6.1674E-2"/>
    <n v="0.90980000000000005"/>
    <n v="5.6108999999999999E-2"/>
    <s v="DonorCohort:202101+Seasonal(0.910)"/>
    <n v="68705.070000000007"/>
    <n v="72834.17"/>
    <n v="-4129.1000000000004"/>
    <x v="0"/>
    <n v="0"/>
    <n v="0.78500000000000003"/>
    <n v="0.24"/>
    <n v="0"/>
    <n v="0"/>
    <n v="0"/>
    <n v="72834.17"/>
    <n v="1294879.23"/>
    <n v="5.6247999999999999E-2"/>
    <n v="-4129.1000000000004"/>
    <n v="-4108.7299999999996"/>
    <n v="0"/>
    <n v="-4108.7299999999996"/>
    <n v="1228594.1200000001"/>
    <s v="Forecast"/>
  </r>
  <r>
    <x v="9"/>
    <x v="3"/>
    <s v="202502"/>
    <n v="17"/>
    <n v="1393638.48"/>
    <n v="-5.3186580799275351E-2"/>
    <s v="CohortAvg"/>
    <n v="-1.9227852728904649E-2"/>
    <s v="CohortAvg"/>
    <n v="0.22779357600854039"/>
    <s v="CohortAvg"/>
    <n v="1.9004555245355281E-2"/>
    <s v="CohortAvg_NonZero"/>
    <n v="3.7488267823416593E-4"/>
    <s v="CohortAvg"/>
    <n v="0"/>
    <s v="Zero"/>
    <n v="-8.8526863813811654E-2"/>
    <s v="CohortAvg"/>
    <n v="-1.151131231148114E-3"/>
    <s v="CohortAvg"/>
    <n v="0"/>
    <n v="-74122.87"/>
    <n v="-26796.68"/>
    <n v="26455.16"/>
    <n v="0"/>
    <n v="522.45000000000005"/>
    <n v="-123374.44"/>
    <n v="-1604.26"/>
    <n v="1318651.6399999999"/>
    <n v="5.8741000000000002E-2"/>
    <n v="0.90980000000000005"/>
    <n v="5.3440000000000001E-2"/>
    <s v="DonorCohort:202101+Seasonal(0.910)"/>
    <n v="70469.19"/>
    <n v="73246.960000000006"/>
    <n v="-2777.76"/>
    <x v="0"/>
    <n v="0"/>
    <n v="0.78500000000000003"/>
    <n v="0.24"/>
    <n v="0"/>
    <n v="0"/>
    <n v="0"/>
    <n v="73246.960000000006"/>
    <n v="1393638.48"/>
    <n v="5.2558000000000001E-2"/>
    <n v="-2777.76"/>
    <n v="-2255.31"/>
    <n v="0"/>
    <n v="-2255.31"/>
    <n v="1320906.95"/>
    <s v="Forecast"/>
  </r>
  <r>
    <x v="9"/>
    <x v="3"/>
    <s v="202503"/>
    <n v="16"/>
    <n v="1684715.33"/>
    <n v="-4.5678006670600228E-2"/>
    <s v="CohortAvg"/>
    <n v="-2.194217973466402E-2"/>
    <s v="CohortAvg"/>
    <n v="0.25471667837991618"/>
    <s v="CohortAvg"/>
    <n v="4.6176837495393924E-3"/>
    <s v="CohortAvg_NonZero"/>
    <n v="1.8144234300311109E-7"/>
    <s v="CohortAvg"/>
    <n v="0"/>
    <s v="Zero"/>
    <n v="0"/>
    <s v="CohortAvg"/>
    <n v="0"/>
    <s v="CohortAvg"/>
    <n v="0"/>
    <n v="-76954.44"/>
    <n v="-36966.33"/>
    <n v="35760.42"/>
    <n v="0"/>
    <n v="0.31"/>
    <n v="0"/>
    <n v="0"/>
    <n v="1606554.69"/>
    <n v="5.4886999999999998E-2"/>
    <n v="0.90980000000000005"/>
    <n v="4.9935E-2"/>
    <s v="DonorCohort:202101+Seasonal(0.910)"/>
    <n v="80222.880000000005"/>
    <n v="82405.570000000007"/>
    <n v="-2182.69"/>
    <x v="0"/>
    <n v="0"/>
    <n v="0.78500000000000003"/>
    <n v="0.24"/>
    <n v="0"/>
    <n v="0"/>
    <n v="0"/>
    <n v="82405.570000000007"/>
    <n v="1684715.33"/>
    <n v="4.8913999999999999E-2"/>
    <n v="-2182.69"/>
    <n v="-2182.38"/>
    <n v="0"/>
    <n v="-2182.38"/>
    <n v="1608737.07"/>
    <s v="Forecast"/>
  </r>
  <r>
    <x v="9"/>
    <x v="3"/>
    <s v="202504"/>
    <n v="15"/>
    <n v="1411903.17"/>
    <n v="-5.5604350063133107E-2"/>
    <s v="CohortAvg"/>
    <n v="-2.199218680262385E-2"/>
    <s v="CohortAvg"/>
    <n v="0.25082318281078553"/>
    <s v="CohortAvg"/>
    <n v="2.1791689037598898E-3"/>
    <s v="CohortAvg_NonZero"/>
    <n v="1.4006358754794589E-7"/>
    <s v="CohortAvg"/>
    <n v="0"/>
    <s v="Zero"/>
    <n v="0"/>
    <s v="CohortAvg"/>
    <n v="0"/>
    <s v="CohortAvg"/>
    <n v="0"/>
    <n v="-78507.960000000006"/>
    <n v="-31050.84"/>
    <n v="29511.5"/>
    <n v="0"/>
    <n v="0.2"/>
    <n v="0"/>
    <n v="0"/>
    <n v="1331855.68"/>
    <n v="5.1081000000000001E-2"/>
    <n v="0.90980000000000005"/>
    <n v="4.6471999999999999E-2"/>
    <s v="DonorCohort:202101+Seasonal(0.910)"/>
    <n v="61894.28"/>
    <n v="58214.3"/>
    <n v="3679.98"/>
    <x v="0"/>
    <n v="0"/>
    <n v="0.78500000000000003"/>
    <n v="0.24"/>
    <n v="0"/>
    <n v="0"/>
    <n v="0"/>
    <n v="58214.3"/>
    <n v="1411903.17"/>
    <n v="4.1230999999999997E-2"/>
    <n v="3679.98"/>
    <n v="3680.18"/>
    <n v="0"/>
    <n v="3680.18"/>
    <n v="1328175.5"/>
    <s v="Forecast"/>
  </r>
  <r>
    <x v="9"/>
    <x v="3"/>
    <s v="202505"/>
    <n v="14"/>
    <n v="1723181.27"/>
    <n v="-4.7924633261436388E-2"/>
    <s v="CohortAvg"/>
    <n v="-2.0875762258895769E-2"/>
    <s v="CohortAvg"/>
    <n v="0.2362441985762376"/>
    <s v="CohortAvg"/>
    <n v="0"/>
    <s v="CohortAvg_NoData_ERROR"/>
    <n v="0"/>
    <s v="CohortAvg"/>
    <n v="0"/>
    <s v="Zero"/>
    <n v="0"/>
    <s v="CohortAvg"/>
    <n v="0"/>
    <s v="CohortAvg"/>
    <n v="0"/>
    <n v="-82582.83"/>
    <n v="-35972.720000000001"/>
    <n v="33924.300000000003"/>
    <n v="0"/>
    <n v="0"/>
    <n v="0"/>
    <n v="0"/>
    <n v="1638550.01"/>
    <n v="4.3057999999999999E-2"/>
    <n v="0.90980000000000005"/>
    <n v="3.9172999999999999E-2"/>
    <s v="DonorCohort:202101+Seasonal(0.910)"/>
    <n v="64187.1"/>
    <n v="62746.53"/>
    <n v="1440.57"/>
    <x v="0"/>
    <n v="0"/>
    <n v="0.78500000000000003"/>
    <n v="0.24"/>
    <n v="0"/>
    <n v="0"/>
    <n v="0"/>
    <n v="62746.53"/>
    <n v="1723181.27"/>
    <n v="3.6413000000000001E-2"/>
    <n v="1440.57"/>
    <n v="1440.57"/>
    <n v="0"/>
    <n v="1440.57"/>
    <n v="1637109.45"/>
    <s v="Forecast"/>
  </r>
  <r>
    <x v="9"/>
    <x v="3"/>
    <s v="202506"/>
    <n v="13"/>
    <n v="1949008.83"/>
    <n v="-5.16092458579245E-2"/>
    <s v="CohortAvg"/>
    <n v="-2.1743453076036749E-2"/>
    <s v="CohortAvg"/>
    <n v="0.24612371672163841"/>
    <s v="CohortAvg"/>
    <n v="0"/>
    <s v="CohortAvg_NoData_ERROR"/>
    <n v="0"/>
    <s v="CohortAvg"/>
    <n v="0"/>
    <s v="Zero"/>
    <n v="0"/>
    <s v="CohortAvg"/>
    <n v="0"/>
    <s v="CohortAvg"/>
    <n v="0"/>
    <n v="-100586.88"/>
    <n v="-42378.18"/>
    <n v="39974.769999999997"/>
    <n v="0"/>
    <n v="0"/>
    <n v="0"/>
    <n v="0"/>
    <n v="1846018.55"/>
    <n v="3.8026999999999998E-2"/>
    <n v="0.90980000000000005"/>
    <n v="3.4596000000000002E-2"/>
    <s v="DonorCohort:202101+Seasonal(0.910)"/>
    <n v="63864.3"/>
    <n v="63146.98"/>
    <n v="717.32"/>
    <x v="0"/>
    <n v="0"/>
    <n v="0.78500000000000003"/>
    <n v="0.24"/>
    <n v="0"/>
    <n v="0"/>
    <n v="0"/>
    <n v="63146.98"/>
    <n v="1949008.83"/>
    <n v="3.2399999999999998E-2"/>
    <n v="717.32"/>
    <n v="717.32"/>
    <n v="0"/>
    <n v="717.32"/>
    <n v="1845301.23"/>
    <s v="Forecast"/>
  </r>
  <r>
    <x v="9"/>
    <x v="3"/>
    <s v="202507"/>
    <n v="12"/>
    <n v="2492577.56"/>
    <n v="-3.7557697071514587E-2"/>
    <s v="CohortAvg"/>
    <n v="-2.2553756260772731E-2"/>
    <s v="CohortAvg"/>
    <n v="0.244037031795062"/>
    <s v="CohortAvg"/>
    <n v="0"/>
    <s v="CohortAvg_NoData_ERROR"/>
    <n v="0"/>
    <s v="CohortAvg"/>
    <n v="0"/>
    <s v="Zero"/>
    <n v="0"/>
    <s v="CohortAvg"/>
    <n v="0"/>
    <s v="CohortAvg"/>
    <n v="0"/>
    <n v="-93615.47"/>
    <n v="-56216.99"/>
    <n v="50690.1"/>
    <n v="0"/>
    <n v="0"/>
    <n v="0"/>
    <n v="0"/>
    <n v="2393435.21"/>
    <n v="3.3834999999999997E-2"/>
    <n v="0.90980000000000005"/>
    <n v="3.0782E-2"/>
    <s v="DonorCohort:202101+Seasonal(0.910)"/>
    <n v="73675.61"/>
    <n v="67877.460000000006"/>
    <n v="5798.15"/>
    <x v="0"/>
    <n v="0"/>
    <n v="0.78500000000000003"/>
    <n v="0.24"/>
    <n v="0"/>
    <n v="0"/>
    <n v="0"/>
    <n v="67877.460000000006"/>
    <n v="2492577.56"/>
    <n v="2.7231999999999999E-2"/>
    <n v="5798.15"/>
    <n v="5798.15"/>
    <n v="0"/>
    <n v="5798.15"/>
    <n v="2387637.0499999998"/>
    <s v="Forecast"/>
  </r>
  <r>
    <x v="9"/>
    <x v="3"/>
    <s v="202508"/>
    <n v="11"/>
    <n v="2760855.47"/>
    <n v="-3.6876289442327112E-2"/>
    <s v="CohortAvg"/>
    <n v="-1.6911595655754941E-2"/>
    <s v="CohortAvg"/>
    <n v="0.23062398622723901"/>
    <s v="CohortAvg"/>
    <n v="0"/>
    <s v="CohortAvg_NoData_ERROR"/>
    <n v="0"/>
    <s v="CohortAvg"/>
    <n v="0"/>
    <s v="Zero"/>
    <n v="0"/>
    <s v="CohortAvg"/>
    <n v="0"/>
    <s v="CohortAvg"/>
    <n v="0"/>
    <n v="-101810.11"/>
    <n v="-46690.47"/>
    <n v="53059.96"/>
    <n v="0"/>
    <n v="0"/>
    <n v="0"/>
    <n v="0"/>
    <n v="2665414.85"/>
    <n v="2.8438999999999999E-2"/>
    <n v="0.90980000000000005"/>
    <n v="2.5873E-2"/>
    <s v="DonorCohort:202101+Seasonal(0.910)"/>
    <n v="68961.23"/>
    <n v="56492.02"/>
    <n v="12469.21"/>
    <x v="0"/>
    <n v="0"/>
    <n v="0.78500000000000003"/>
    <n v="0.24"/>
    <n v="0"/>
    <n v="0"/>
    <n v="0"/>
    <n v="56492.02"/>
    <n v="2760855.47"/>
    <n v="2.0462000000000001E-2"/>
    <n v="12469.21"/>
    <n v="12469.21"/>
    <n v="0"/>
    <n v="12469.21"/>
    <n v="2652945.64"/>
    <s v="Forecast"/>
  </r>
  <r>
    <x v="9"/>
    <x v="3"/>
    <s v="202509"/>
    <n v="10"/>
    <n v="1360147.15"/>
    <n v="-0.22851907575300501"/>
    <s v="CohortAvg"/>
    <n v="-3.343232510763138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310819.57"/>
    <n v="-45472.88"/>
    <n v="56672.800000000003"/>
    <n v="0"/>
    <n v="0"/>
    <n v="0"/>
    <n v="0"/>
    <n v="1060527.49"/>
    <n v="2.1368999999999999E-2"/>
    <n v="0.90980000000000005"/>
    <n v="1.9439999999999999E-2"/>
    <s v="DonorCohort:202101+Seasonal(0.910)"/>
    <n v="20617.150000000001"/>
    <n v="24233.77"/>
    <n v="-3616.62"/>
    <x v="0"/>
    <n v="0"/>
    <n v="0.78500000000000003"/>
    <n v="0.24"/>
    <n v="0"/>
    <n v="0"/>
    <n v="0"/>
    <n v="24233.77"/>
    <n v="1360147.15"/>
    <n v="1.7817E-2"/>
    <n v="-3616.62"/>
    <n v="-3616.62"/>
    <n v="0"/>
    <n v="-3616.62"/>
    <n v="1064144.1100000001"/>
    <s v="Forecast"/>
  </r>
  <r>
    <x v="9"/>
    <x v="4"/>
    <s v="202101"/>
    <n v="64"/>
    <n v="848037.24"/>
    <n v="-0.1362777837897946"/>
    <s v="CohortAvg"/>
    <n v="-1.1321881114091379E-2"/>
    <s v="CohortAvg"/>
    <n v="0.1291347302477111"/>
    <s v="CohortAvg"/>
    <n v="4.6452655865506877E-2"/>
    <s v="CohortAvg_NonZero"/>
    <n v="0"/>
    <s v="CohortAvg"/>
    <n v="0"/>
    <s v="Zero"/>
    <n v="0"/>
    <s v="CohortAvg"/>
    <n v="0"/>
    <s v="CohortAvg"/>
    <n v="0"/>
    <n v="-115568.64"/>
    <n v="-9601.3799999999992"/>
    <n v="9125.92"/>
    <n v="0"/>
    <n v="0"/>
    <n v="0"/>
    <n v="0"/>
    <n v="731993.15"/>
    <n v="0.170347"/>
    <n v="0.97840000000000005"/>
    <n v="0.16666800000000001"/>
    <s v="CohortAvg+Seasonal(0.978)"/>
    <n v="121999.57"/>
    <n v="147487.78"/>
    <n v="-25488.21"/>
    <x v="0"/>
    <n v="0"/>
    <n v="0.78500000000000003"/>
    <n v="0.24"/>
    <n v="0"/>
    <n v="0"/>
    <n v="0"/>
    <n v="147487.78"/>
    <n v="848037.24"/>
    <n v="0.17391699999999999"/>
    <n v="-25488.21"/>
    <n v="-25488.21"/>
    <n v="0"/>
    <n v="-25488.21"/>
    <n v="757481.37"/>
    <s v="Forecast"/>
  </r>
  <r>
    <x v="9"/>
    <x v="4"/>
    <s v="202201"/>
    <n v="46"/>
    <n v="43558"/>
    <n v="-9.7618721316756807E-2"/>
    <s v="CohortAvg"/>
    <n v="-9.5613213382240662E-3"/>
    <s v="CohortAvg"/>
    <n v="9.990172736530499E-2"/>
    <s v="CohortAvg"/>
    <n v="3.6377877373646027E-2"/>
    <s v="CohortAvg_NonZero"/>
    <n v="4.5635581223598427E-9"/>
    <s v="CohortAvg"/>
    <n v="0"/>
    <s v="Zero"/>
    <n v="0"/>
    <s v="CohortAvg"/>
    <n v="0"/>
    <s v="CohortAvg"/>
    <n v="0"/>
    <n v="-4252.08"/>
    <n v="-416.47"/>
    <n v="362.63"/>
    <n v="0"/>
    <n v="0"/>
    <n v="0"/>
    <n v="0"/>
    <n v="39252.080000000002"/>
    <n v="3.866E-2"/>
    <n v="0.97840000000000005"/>
    <n v="3.7825999999999999E-2"/>
    <s v="CohortAvg+Seasonal(0.978)"/>
    <n v="1484.73"/>
    <n v="1747.39"/>
    <n v="-262.66000000000003"/>
    <x v="0"/>
    <n v="0"/>
    <n v="0.78500000000000003"/>
    <n v="0.24"/>
    <n v="0"/>
    <n v="0"/>
    <n v="0"/>
    <n v="1747.39"/>
    <n v="43558"/>
    <n v="4.0115999999999999E-2"/>
    <n v="-262.66000000000003"/>
    <n v="-262.66000000000003"/>
    <n v="0"/>
    <n v="-262.66000000000003"/>
    <n v="39514.74"/>
    <s v="Forecast"/>
  </r>
  <r>
    <x v="9"/>
    <x v="4"/>
    <s v="202405"/>
    <n v="26"/>
    <n v="4143.99"/>
    <n v="-1.6715013292740818E-2"/>
    <s v="CohortAvg"/>
    <n v="-1.045625577350605E-2"/>
    <s v="CohortAvg"/>
    <n v="0.12157589615096349"/>
    <s v="CohortAvg"/>
    <n v="0"/>
    <s v="CohortAvg_NoData_ERROR"/>
    <n v="0"/>
    <s v="CohortAvg"/>
    <n v="0"/>
    <s v="Zero"/>
    <n v="0"/>
    <s v="CohortAvg"/>
    <n v="0"/>
    <s v="CohortAvg"/>
    <n v="0"/>
    <n v="-69.27"/>
    <n v="-43.33"/>
    <n v="41.98"/>
    <n v="0"/>
    <n v="0"/>
    <n v="0"/>
    <n v="0"/>
    <n v="4073.38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4143.99"/>
    <n v="0"/>
    <n v="0"/>
    <n v="0"/>
    <n v="0"/>
    <n v="0"/>
    <n v="4073.38"/>
    <s v="Forecast"/>
  </r>
  <r>
    <x v="9"/>
    <x v="4"/>
    <s v="202407"/>
    <n v="24"/>
    <n v="1904.12"/>
    <n v="-5.3346735785851168E-2"/>
    <s v="CohortAvg"/>
    <n v="-1.049293102871976E-2"/>
    <s v="CohortAvg"/>
    <n v="0.12047268615321211"/>
    <s v="CohortAvg"/>
    <n v="0"/>
    <s v="CohortAvg_NoData_ERROR"/>
    <n v="0"/>
    <s v="CohortAvg"/>
    <n v="0"/>
    <s v="Zero"/>
    <n v="0"/>
    <s v="CohortAvg"/>
    <n v="0"/>
    <s v="CohortAvg"/>
    <n v="0"/>
    <n v="-101.58"/>
    <n v="-19.98"/>
    <n v="19.12"/>
    <n v="0"/>
    <n v="0"/>
    <n v="0"/>
    <n v="0"/>
    <n v="1801.68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1904.12"/>
    <n v="0"/>
    <n v="0"/>
    <n v="0"/>
    <n v="0"/>
    <n v="0"/>
    <n v="1801.68"/>
    <s v="Forecast"/>
  </r>
  <r>
    <x v="9"/>
    <x v="4"/>
    <s v="202409"/>
    <n v="22"/>
    <n v="6878.14"/>
    <n v="-4.3289265634350697E-2"/>
    <s v="CohortAvg"/>
    <n v="-1.046260775258381E-2"/>
    <s v="CohortAvg"/>
    <n v="0.1208264607050227"/>
    <s v="CohortAvg"/>
    <n v="0"/>
    <s v="CohortAvg_NoData_ERROR"/>
    <n v="0"/>
    <s v="CohortAvg"/>
    <n v="0"/>
    <s v="Zero"/>
    <n v="0"/>
    <s v="CohortAvg"/>
    <n v="0"/>
    <s v="CohortAvg"/>
    <n v="0"/>
    <n v="-297.75"/>
    <n v="-71.959999999999994"/>
    <n v="69.260000000000005"/>
    <n v="0"/>
    <n v="0"/>
    <n v="0"/>
    <n v="0"/>
    <n v="6577.68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6878.14"/>
    <n v="0"/>
    <n v="0"/>
    <n v="0"/>
    <n v="0"/>
    <n v="0"/>
    <n v="6577.68"/>
    <s v="Forecast"/>
  </r>
  <r>
    <x v="9"/>
    <x v="4"/>
    <s v="202504"/>
    <n v="15"/>
    <n v="4143.3"/>
    <n v="-1.297463653116413E-2"/>
    <s v="CohortAvg"/>
    <n v="-1.0430183457226889E-2"/>
    <s v="CohortAvg"/>
    <n v="0.12538486812626151"/>
    <s v="CohortAvg"/>
    <n v="0"/>
    <s v="CohortAvg_NoData_ERROR"/>
    <n v="0"/>
    <s v="CohortAvg"/>
    <n v="0"/>
    <s v="Zero"/>
    <n v="0"/>
    <s v="CohortAvg"/>
    <n v="0"/>
    <s v="CohortAvg"/>
    <n v="0"/>
    <n v="-53.76"/>
    <n v="-43.22"/>
    <n v="43.29"/>
    <n v="0"/>
    <n v="0"/>
    <n v="0"/>
    <n v="0"/>
    <n v="4089.62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4143.3"/>
    <n v="0"/>
    <n v="0"/>
    <n v="0"/>
    <n v="0"/>
    <n v="0"/>
    <n v="4089.62"/>
    <s v="Forecast"/>
  </r>
  <r>
    <x v="9"/>
    <x v="4"/>
    <s v="202507"/>
    <n v="12"/>
    <n v="9246.65"/>
    <n v="-1.1038326331277E-2"/>
    <s v="CohortAvg"/>
    <n v="-1.0911285557559649E-2"/>
    <s v="CohortAvg"/>
    <n v="0.12983567073913271"/>
    <s v="CohortAvg"/>
    <n v="0"/>
    <s v="CohortAvg_NoData_ERROR"/>
    <n v="0"/>
    <s v="CohortAvg"/>
    <n v="0"/>
    <s v="Zero"/>
    <n v="0"/>
    <s v="CohortAvg"/>
    <n v="0"/>
    <s v="CohortAvg"/>
    <n v="0"/>
    <n v="-102.07"/>
    <n v="-100.89"/>
    <n v="100.05"/>
    <n v="0"/>
    <n v="0"/>
    <n v="0"/>
    <n v="0"/>
    <n v="9143.74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9246.65"/>
    <n v="0"/>
    <n v="0"/>
    <n v="0"/>
    <n v="0"/>
    <n v="0"/>
    <n v="9143.74"/>
    <s v="Forecast"/>
  </r>
  <r>
    <x v="9"/>
    <x v="4"/>
    <s v="202508"/>
    <n v="11"/>
    <n v="30033.22"/>
    <n v="-7.0437822657664342E-3"/>
    <s v="CohortAvg"/>
    <n v="-3.6253360214805368E-3"/>
    <s v="CohortAvg"/>
    <n v="0.12638629646607821"/>
    <s v="CohortAvg"/>
    <n v="0"/>
    <s v="CohortAvg_NoData_ERROR"/>
    <n v="0"/>
    <s v="CohortAvg"/>
    <n v="0"/>
    <s v="Zero"/>
    <n v="0"/>
    <s v="CohortAvg"/>
    <n v="0"/>
    <s v="CohortAvg"/>
    <n v="0"/>
    <n v="-211.55"/>
    <n v="-108.88"/>
    <n v="316.32"/>
    <n v="0"/>
    <n v="0"/>
    <n v="0"/>
    <n v="0"/>
    <n v="30029.11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30033.22"/>
    <n v="0"/>
    <n v="0"/>
    <n v="0"/>
    <n v="0"/>
    <n v="0"/>
    <n v="30029.11"/>
    <s v="Forecast"/>
  </r>
  <r>
    <x v="9"/>
    <x v="4"/>
    <s v="202509"/>
    <n v="10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0"/>
    <x v="0"/>
    <s v="201912"/>
    <n v="80"/>
    <n v="331805.51"/>
    <n v="2.2175007452331721E-5"/>
    <s v="CohortAvg"/>
    <n v="1.5118590642962499E-3"/>
    <s v="CohortAvg"/>
    <n v="0"/>
    <s v="CohortAvg"/>
    <n v="2.9122199256117219E-2"/>
    <s v="CohortAvg_NonZero"/>
    <n v="6.7360830478631101E-5"/>
    <s v="CohortAvg"/>
    <n v="0"/>
    <s v="Zero"/>
    <n v="0"/>
    <s v="CohortAvg"/>
    <n v="0"/>
    <s v="CohortAvg"/>
    <n v="0"/>
    <n v="7.36"/>
    <n v="501.64"/>
    <n v="0"/>
    <n v="0"/>
    <n v="22.35"/>
    <n v="0"/>
    <n v="0"/>
    <n v="331274.15000000002"/>
    <n v="0.99666200000000005"/>
    <n v="0.9657"/>
    <n v="0.96243699999999999"/>
    <s v="CohortAvg+Seasonal(0.966)"/>
    <n v="318830.38"/>
    <n v="297122.88"/>
    <n v="21707.5"/>
    <x v="0"/>
    <n v="0"/>
    <n v="0.78500000000000003"/>
    <n v="0.24"/>
    <n v="0"/>
    <n v="0"/>
    <n v="0"/>
    <n v="297122.88"/>
    <n v="331805.51"/>
    <n v="0.89547299999999996"/>
    <n v="21707.5"/>
    <n v="21729.86"/>
    <n v="0"/>
    <n v="21729.86"/>
    <n v="309544.3"/>
    <s v="Forecast"/>
  </r>
  <r>
    <x v="10"/>
    <x v="0"/>
    <s v="202001"/>
    <n v="79"/>
    <n v="65041.83"/>
    <n v="3.8265143310363868E-2"/>
    <s v="CohortAvg"/>
    <n v="1.644168931235811E-3"/>
    <s v="CohortAvg"/>
    <n v="0"/>
    <s v="CohortAvg"/>
    <n v="1.3054227877304109E-2"/>
    <s v="CohortAvg_NonZero"/>
    <n v="0"/>
    <s v="CohortAvg"/>
    <n v="0"/>
    <s v="Zero"/>
    <n v="0"/>
    <s v="CohortAvg"/>
    <n v="0"/>
    <s v="CohortAvg"/>
    <n v="0"/>
    <n v="2488.83"/>
    <n v="106.94"/>
    <n v="0"/>
    <n v="0"/>
    <n v="0"/>
    <n v="0"/>
    <n v="0"/>
    <n v="62446.06"/>
    <n v="0.99836899999999995"/>
    <n v="0.9657"/>
    <n v="0.96408499999999997"/>
    <s v="CohortAvg+Seasonal(0.966)"/>
    <n v="60203.28"/>
    <n v="58347.94"/>
    <n v="1855.34"/>
    <x v="0"/>
    <n v="0"/>
    <n v="0.78500000000000003"/>
    <n v="0.24"/>
    <n v="0"/>
    <n v="0"/>
    <n v="0"/>
    <n v="58347.94"/>
    <n v="65041.83"/>
    <n v="0.89708299999999996"/>
    <n v="1855.34"/>
    <n v="1855.34"/>
    <n v="0"/>
    <n v="1855.34"/>
    <n v="60590.71"/>
    <s v="Forecast"/>
  </r>
  <r>
    <x v="10"/>
    <x v="0"/>
    <s v="202101"/>
    <n v="67"/>
    <n v="743799.46"/>
    <n v="-4.555964572335377E-3"/>
    <s v="CohortAvg"/>
    <n v="-1.9794744124764659E-3"/>
    <s v="CohortAvg"/>
    <n v="0"/>
    <s v="CohortAvg"/>
    <n v="1.5576770713138441E-2"/>
    <s v="CohortAvg_NonZero"/>
    <n v="5.5937601919977623E-5"/>
    <s v="CohortAvg"/>
    <n v="0"/>
    <s v="Zero"/>
    <n v="0"/>
    <s v="CohortAvg"/>
    <n v="0"/>
    <s v="CohortAvg"/>
    <n v="0"/>
    <n v="-3388.72"/>
    <n v="-1472.33"/>
    <n v="0"/>
    <n v="0"/>
    <n v="41.61"/>
    <n v="0"/>
    <n v="0"/>
    <n v="738896.8"/>
    <n v="0.94521599999999995"/>
    <n v="0.9657"/>
    <n v="0.91275799999999996"/>
    <s v="CohortAvg+Seasonal(0.966)"/>
    <n v="674433.67"/>
    <n v="632127.56999999995"/>
    <n v="42306.1"/>
    <x v="0"/>
    <n v="0"/>
    <n v="0.78500000000000003"/>
    <n v="0.24"/>
    <n v="0"/>
    <n v="0"/>
    <n v="0"/>
    <n v="632127.56999999995"/>
    <n v="743799.46"/>
    <n v="0.84986300000000004"/>
    <n v="42306.1"/>
    <n v="42347.71"/>
    <n v="0"/>
    <n v="42347.71"/>
    <n v="696549.09"/>
    <s v="Forecast"/>
  </r>
  <r>
    <x v="10"/>
    <x v="0"/>
    <s v="202201"/>
    <n v="47"/>
    <n v="312022.15000000002"/>
    <n v="-0.1151080425938269"/>
    <s v="CohortAvg"/>
    <n v="-6.2059020339241674E-3"/>
    <s v="CohortAvg"/>
    <n v="2.7999106273508611E-2"/>
    <s v="CohortAvg"/>
    <n v="4.2062360522680441E-2"/>
    <s v="CohortAvg_NonZero"/>
    <n v="4.4237476508299537E-3"/>
    <s v="CohortAvg"/>
    <n v="0"/>
    <s v="Zero"/>
    <n v="-8.4227426750738038E-5"/>
    <s v="CohortAvg"/>
    <n v="-1.8519523908395679E-6"/>
    <s v="CohortAvg"/>
    <n v="0"/>
    <n v="-35916.26"/>
    <n v="-1936.38"/>
    <n v="728.03"/>
    <n v="0"/>
    <n v="1380.31"/>
    <n v="-26.28"/>
    <n v="-0.57999999999999996"/>
    <n v="273517.23"/>
    <n v="0.58487699999999998"/>
    <n v="0.9657"/>
    <n v="0.56479199999999996"/>
    <s v="CohortAvg+Seasonal(0.966)"/>
    <n v="154480.44"/>
    <n v="163626.95000000001"/>
    <n v="-9146.51"/>
    <x v="0"/>
    <n v="0"/>
    <n v="0.78500000000000003"/>
    <n v="0.24"/>
    <n v="0"/>
    <n v="0"/>
    <n v="0"/>
    <n v="163626.95000000001"/>
    <n v="312022.15000000002"/>
    <n v="0.52440799999999999"/>
    <n v="-9146.51"/>
    <n v="-7766.2"/>
    <n v="0"/>
    <n v="-7766.2"/>
    <n v="281283.43"/>
    <s v="Forecast"/>
  </r>
  <r>
    <x v="10"/>
    <x v="0"/>
    <s v="202301"/>
    <n v="38"/>
    <n v="2807609.59"/>
    <n v="-6.9598547535584393E-2"/>
    <s v="CohortAvg"/>
    <n v="-1.6909370971307371E-2"/>
    <s v="CohortAvg"/>
    <n v="0.20598306611545389"/>
    <s v="CohortAvg"/>
    <n v="6.5224922082416315E-2"/>
    <s v="CohortAvg_NonZero"/>
    <n v="1.1833663620595271E-4"/>
    <s v="CohortAvg"/>
    <n v="0"/>
    <s v="Zero"/>
    <n v="-5.1914926609819764E-3"/>
    <s v="CohortAvg"/>
    <n v="-7.2868566520717227E-5"/>
    <s v="CohortAvg"/>
    <n v="0"/>
    <n v="-195405.55"/>
    <n v="-47474.91"/>
    <n v="48193.34"/>
    <n v="0"/>
    <n v="332.24"/>
    <n v="-14575.68"/>
    <n v="-204.59"/>
    <n v="2612590.2200000002"/>
    <n v="0.61895800000000001"/>
    <n v="0.9657"/>
    <n v="0.59770299999999998"/>
    <s v="CohortTrend+Seasonal(0.966)"/>
    <n v="1561552.09"/>
    <n v="1517537.81"/>
    <n v="44014.29"/>
    <x v="0"/>
    <n v="0"/>
    <n v="0.78500000000000003"/>
    <n v="0.24"/>
    <n v="0"/>
    <n v="0"/>
    <n v="0"/>
    <n v="1517537.81"/>
    <n v="2807609.59"/>
    <n v="0.54050900000000002"/>
    <n v="44014.29"/>
    <n v="44346.53"/>
    <n v="0"/>
    <n v="44346.53"/>
    <n v="2568243.69"/>
    <s v="Forecast"/>
  </r>
  <r>
    <x v="10"/>
    <x v="0"/>
    <s v="202404"/>
    <n v="28"/>
    <n v="474950.34"/>
    <n v="-7.2158482671401084E-2"/>
    <s v="CohortAvg"/>
    <n v="-2.4096212933508779E-2"/>
    <s v="CohortAvg"/>
    <n v="0.25374365705826429"/>
    <s v="CohortAvg"/>
    <n v="0.1085668611785879"/>
    <s v="CohortAvg_NonZero"/>
    <n v="9.6685897103137707E-5"/>
    <s v="CohortAvg"/>
    <n v="0"/>
    <s v="Zero"/>
    <n v="-7.7617678207392857E-3"/>
    <s v="CohortAvg"/>
    <n v="-1.2875822289164151E-4"/>
    <s v="CohortAvg"/>
    <n v="0"/>
    <n v="-34271.699999999997"/>
    <n v="-11444.5"/>
    <n v="10042.969999999999"/>
    <n v="0"/>
    <n v="45.92"/>
    <n v="-3686.45"/>
    <n v="-61.15"/>
    <n v="439231.19"/>
    <n v="0.390934"/>
    <n v="0.9657"/>
    <n v="0.37750899999999998"/>
    <s v="CohortTrend+Seasonal(0.966)"/>
    <n v="165813.72"/>
    <n v="162585.88"/>
    <n v="3227.84"/>
    <x v="0"/>
    <n v="0"/>
    <n v="0.78500000000000003"/>
    <n v="0.24"/>
    <n v="0"/>
    <n v="0"/>
    <n v="0"/>
    <n v="162585.88"/>
    <n v="474950.34"/>
    <n v="0.34232200000000002"/>
    <n v="3227.84"/>
    <n v="3273.76"/>
    <n v="0"/>
    <n v="3273.76"/>
    <n v="435957.43"/>
    <s v="Forecast"/>
  </r>
  <r>
    <x v="10"/>
    <x v="0"/>
    <s v="202405"/>
    <n v="27"/>
    <n v="653333.34"/>
    <n v="-6.0796337186756311E-2"/>
    <s v="CohortAvg"/>
    <n v="-2.4315796115575071E-2"/>
    <s v="CohortAvg"/>
    <n v="0.26227644092164493"/>
    <s v="CohortAvg"/>
    <n v="0.105079893193889"/>
    <s v="CohortAvg_NonZero"/>
    <n v="1.511620520754651E-4"/>
    <s v="CohortAvg"/>
    <n v="0"/>
    <s v="Zero"/>
    <n v="-1.163915687596689E-2"/>
    <s v="CohortAvg"/>
    <n v="-2.059939042847105E-4"/>
    <s v="CohortAvg"/>
    <n v="0"/>
    <n v="-39720.269999999997"/>
    <n v="-15886.32"/>
    <n v="14279.5"/>
    <n v="0"/>
    <n v="98.76"/>
    <n v="-7604.25"/>
    <n v="-134.58000000000001"/>
    <n v="611907.48"/>
    <n v="0.34662100000000001"/>
    <n v="0.9657"/>
    <n v="0.33471800000000002"/>
    <s v="CohortTrend+Seasonal(0.966)"/>
    <n v="204816.25"/>
    <n v="199123.16"/>
    <n v="5693.08"/>
    <x v="0"/>
    <n v="0"/>
    <n v="0.78500000000000003"/>
    <n v="0.24"/>
    <n v="0"/>
    <n v="0"/>
    <n v="0"/>
    <n v="199123.16"/>
    <n v="653333.34"/>
    <n v="0.30478"/>
    <n v="5693.08"/>
    <n v="5791.84"/>
    <n v="0"/>
    <n v="5791.84"/>
    <n v="606115.64"/>
    <s v="Forecast"/>
  </r>
  <r>
    <x v="10"/>
    <x v="0"/>
    <s v="202406"/>
    <n v="26"/>
    <n v="1032255.53"/>
    <n v="-5.6024156080928547E-2"/>
    <s v="CohortAvg"/>
    <n v="-2.548998467833119E-2"/>
    <s v="CohortAvg"/>
    <n v="0.28098523744132881"/>
    <s v="CohortAvg"/>
    <n v="6.6007579708936406E-2"/>
    <s v="CohortAvg_NonZero"/>
    <n v="1.698437111801416E-5"/>
    <s v="CohortAvg"/>
    <n v="0"/>
    <s v="Zero"/>
    <n v="-9.8347293180355115E-3"/>
    <s v="CohortAvg"/>
    <n v="-2.1179064639723731E-4"/>
    <s v="CohortAvg"/>
    <n v="0"/>
    <n v="-57831.24"/>
    <n v="-26312.18"/>
    <n v="24170.71"/>
    <n v="0"/>
    <n v="17.53"/>
    <n v="-10151.950000000001"/>
    <n v="-218.62"/>
    <n v="972265.29"/>
    <n v="0.30654799999999999"/>
    <n v="0.9657"/>
    <n v="0.29602099999999998"/>
    <s v="CohortTrend+Seasonal(0.966)"/>
    <n v="287811.09999999998"/>
    <n v="277529.32"/>
    <n v="10281.780000000001"/>
    <x v="0"/>
    <n v="0"/>
    <n v="0.78500000000000003"/>
    <n v="0.24"/>
    <n v="0"/>
    <n v="0"/>
    <n v="0"/>
    <n v="277529.32"/>
    <n v="1032255.53"/>
    <n v="0.26885700000000001"/>
    <n v="10281.780000000001"/>
    <n v="10299.31"/>
    <n v="0"/>
    <n v="10299.31"/>
    <n v="961965.98"/>
    <s v="Forecast"/>
  </r>
  <r>
    <x v="10"/>
    <x v="0"/>
    <s v="202407"/>
    <n v="25"/>
    <n v="1087289.29"/>
    <n v="-5.3131557969881907E-2"/>
    <s v="CohortAvg"/>
    <n v="-2.6784683961625231E-2"/>
    <s v="CohortAvg"/>
    <n v="0.28956490084497039"/>
    <s v="CohortAvg"/>
    <n v="7.3613877548187323E-2"/>
    <s v="CohortAvg_NonZero"/>
    <n v="2.2350335900483482E-5"/>
    <s v="CohortAvg"/>
    <n v="0"/>
    <s v="Zero"/>
    <n v="-1.2411542311604811E-2"/>
    <s v="CohortAvg"/>
    <n v="-7.4545062510588704E-5"/>
    <s v="CohortAvg"/>
    <n v="0"/>
    <n v="-57769.37"/>
    <n v="-29122.7"/>
    <n v="26236.73"/>
    <n v="0"/>
    <n v="24.3"/>
    <n v="-13494.94"/>
    <n v="-81.05"/>
    <n v="1026609.65"/>
    <n v="0.26465"/>
    <n v="0.9657"/>
    <n v="0.25556200000000001"/>
    <s v="CohortTrend+Seasonal(0.966)"/>
    <n v="262362.71999999997"/>
    <n v="253520.35"/>
    <n v="8842.3700000000008"/>
    <x v="0"/>
    <n v="0"/>
    <n v="0.78500000000000003"/>
    <n v="0.24"/>
    <n v="0"/>
    <n v="0"/>
    <n v="0"/>
    <n v="253520.35"/>
    <n v="1087289.29"/>
    <n v="0.23316700000000001"/>
    <n v="8842.3700000000008"/>
    <n v="8866.67"/>
    <n v="0"/>
    <n v="8866.67"/>
    <n v="1017742.98"/>
    <s v="Forecast"/>
  </r>
  <r>
    <x v="10"/>
    <x v="0"/>
    <s v="202408"/>
    <n v="24"/>
    <n v="968889.32"/>
    <n v="-6.4874102117881596E-2"/>
    <s v="CohortAvg"/>
    <n v="-2.6173125161011269E-2"/>
    <s v="CohortAvg"/>
    <n v="0.28003850068068192"/>
    <s v="CohortAvg"/>
    <n v="9.6091505036233746E-2"/>
    <s v="CohortAvg_NonZero"/>
    <n v="1.2367538914800111E-4"/>
    <s v="CohortAvg"/>
    <n v="0"/>
    <s v="Zero"/>
    <n v="-1.4001844095356359E-2"/>
    <s v="CohortAvg"/>
    <n v="-3.1550190567205069E-4"/>
    <s v="CohortAvg"/>
    <n v="0"/>
    <n v="-62855.82"/>
    <n v="-25358.86"/>
    <n v="22610.53"/>
    <n v="0"/>
    <n v="119.83"/>
    <n v="-13566.24"/>
    <n v="-305.69"/>
    <n v="903165.33"/>
    <n v="0.24582699999999999"/>
    <n v="0.9657"/>
    <n v="0.23738500000000001"/>
    <s v="CohortTrend+Seasonal(0.966)"/>
    <n v="214398.27"/>
    <n v="210131.76"/>
    <n v="4266.51"/>
    <x v="0"/>
    <n v="0"/>
    <n v="0.78500000000000003"/>
    <n v="0.24"/>
    <n v="0"/>
    <n v="0"/>
    <n v="0"/>
    <n v="210131.76"/>
    <n v="968889.32"/>
    <n v="0.21687899999999999"/>
    <n v="4266.51"/>
    <n v="4386.34"/>
    <n v="0"/>
    <n v="4386.34"/>
    <n v="898778.99"/>
    <s v="Forecast"/>
  </r>
  <r>
    <x v="10"/>
    <x v="0"/>
    <s v="202409"/>
    <n v="23"/>
    <n v="880842.82"/>
    <n v="-7.0280707412542068E-2"/>
    <s v="CohortAvg"/>
    <n v="-2.931170851817572E-2"/>
    <s v="CohortAvg"/>
    <n v="0.29713933715086399"/>
    <s v="CohortAvg"/>
    <n v="0.10049628891894991"/>
    <s v="CohortAvg_NonZero"/>
    <n v="3.3165734734116729E-4"/>
    <s v="CohortAvg"/>
    <n v="0"/>
    <s v="Zero"/>
    <n v="-1.6336720480609301E-2"/>
    <s v="CohortAvg"/>
    <n v="9.3491445424413028E-4"/>
    <s v="CohortAvg"/>
    <n v="0"/>
    <n v="-61906.26"/>
    <n v="-25819.01"/>
    <n v="21811.09"/>
    <n v="0"/>
    <n v="292.14"/>
    <n v="-14390.08"/>
    <n v="823.51"/>
    <n v="814636.51"/>
    <n v="0.22927900000000001"/>
    <n v="0.9657"/>
    <n v="0.22140599999999999"/>
    <s v="CohortTrend+Seasonal(0.966)"/>
    <n v="180365.21"/>
    <n v="178071.16"/>
    <n v="2294.0500000000002"/>
    <x v="0"/>
    <n v="0"/>
    <n v="0.78500000000000003"/>
    <n v="0.24"/>
    <n v="0"/>
    <n v="0"/>
    <n v="0"/>
    <n v="178071.16"/>
    <n v="880842.82"/>
    <n v="0.20216000000000001"/>
    <n v="2294.0500000000002"/>
    <n v="2586.19"/>
    <n v="0"/>
    <n v="2586.19"/>
    <n v="812050.32"/>
    <s v="Forecast"/>
  </r>
  <r>
    <x v="10"/>
    <x v="0"/>
    <s v="202410"/>
    <n v="22"/>
    <n v="1269990.06"/>
    <n v="-6.4842952563830367E-2"/>
    <s v="CohortAvg"/>
    <n v="-2.9823707525852141E-2"/>
    <s v="CohortAvg"/>
    <n v="0.29711360239519619"/>
    <s v="CohortAvg"/>
    <n v="9.0058852554031732E-2"/>
    <s v="CohortAvg_NonZero"/>
    <n v="8.4214147123369142E-5"/>
    <s v="CohortAvg"/>
    <n v="0"/>
    <s v="Zero"/>
    <n v="-1.9821240990260811E-2"/>
    <s v="CohortAvg"/>
    <n v="-2.9472411749936739E-4"/>
    <s v="CohortAvg"/>
    <n v="0"/>
    <n v="-82349.91"/>
    <n v="-37875.81"/>
    <n v="31444.28"/>
    <n v="0"/>
    <n v="106.95"/>
    <n v="-25172.78"/>
    <n v="-374.3"/>
    <n v="1181101.67"/>
    <n v="0.21801799999999999"/>
    <n v="0.9657"/>
    <n v="0.210531"/>
    <s v="CohortTrend+Seasonal(0.966)"/>
    <n v="248658.67"/>
    <n v="244464.67"/>
    <n v="4194"/>
    <x v="0"/>
    <n v="0"/>
    <n v="0.78500000000000003"/>
    <n v="0.24"/>
    <n v="0"/>
    <n v="0"/>
    <n v="0"/>
    <n v="244464.67"/>
    <n v="1269990.06"/>
    <n v="0.192493"/>
    <n v="4194"/>
    <n v="4300.95"/>
    <n v="0"/>
    <n v="4300.95"/>
    <n v="1176800.72"/>
    <s v="Forecast"/>
  </r>
  <r>
    <x v="10"/>
    <x v="0"/>
    <s v="202411"/>
    <n v="21"/>
    <n v="1350031.72"/>
    <n v="-6.9351420124502072E-2"/>
    <s v="CohortAvg"/>
    <n v="-3.080808272971873E-2"/>
    <s v="CohortAvg"/>
    <n v="0.31772684467397161"/>
    <s v="CohortAvg"/>
    <n v="8.0613414628910918E-2"/>
    <s v="CohortAvg_NonZero"/>
    <n v="1.447528733391891E-5"/>
    <s v="CohortAvg"/>
    <n v="0"/>
    <s v="Zero"/>
    <n v="-1.9314528485644081E-2"/>
    <s v="CohortAvg"/>
    <n v="-3.8708726030054792E-4"/>
    <s v="CohortAvg"/>
    <n v="0"/>
    <n v="-93626.62"/>
    <n v="-41591.89"/>
    <n v="35745.11"/>
    <n v="0"/>
    <n v="19.54"/>
    <n v="-26075.23"/>
    <n v="-522.58000000000004"/>
    <n v="1250538.78"/>
    <n v="0.21041199999999999"/>
    <n v="0.9657"/>
    <n v="0.20318600000000001"/>
    <s v="CohortTrend+Seasonal(0.966)"/>
    <n v="254092.07"/>
    <n v="250194.66"/>
    <n v="3897.41"/>
    <x v="0"/>
    <n v="0"/>
    <n v="0.78500000000000003"/>
    <n v="0.24"/>
    <n v="0"/>
    <n v="0"/>
    <n v="0"/>
    <n v="250194.66"/>
    <n v="1350031.72"/>
    <n v="0.18532499999999999"/>
    <n v="3897.41"/>
    <n v="3916.95"/>
    <n v="0"/>
    <n v="3916.95"/>
    <n v="1246621.82"/>
    <s v="Forecast"/>
  </r>
  <r>
    <x v="10"/>
    <x v="0"/>
    <s v="202412"/>
    <n v="20"/>
    <n v="1533921.6"/>
    <n v="-6.5851583589558768E-2"/>
    <s v="CohortAvg"/>
    <n v="-3.2027070707127639E-2"/>
    <s v="CohortAvg"/>
    <n v="0.32758487961797528"/>
    <s v="CohortAvg"/>
    <n v="7.6734366681877164E-2"/>
    <s v="CohortAvg_NonZero"/>
    <n v="3.583939411476418E-5"/>
    <s v="CohortAvg"/>
    <n v="0"/>
    <s v="Zero"/>
    <n v="-3.3558444854785242E-2"/>
    <s v="CohortAvg"/>
    <n v="-4.5671420338350989E-4"/>
    <s v="CohortAvg"/>
    <n v="0"/>
    <n v="-101011.17"/>
    <n v="-49127.02"/>
    <n v="41874.129999999997"/>
    <n v="0"/>
    <n v="54.97"/>
    <n v="-51476.02"/>
    <n v="-700.56"/>
    <n v="1425602.57"/>
    <n v="0.20830599999999999"/>
    <n v="0.9657"/>
    <n v="0.201153"/>
    <s v="CohortTrend+Seasonal(0.966)"/>
    <n v="286763.93"/>
    <n v="262913.8"/>
    <n v="23850.13"/>
    <x v="0"/>
    <n v="0"/>
    <n v="0.78500000000000003"/>
    <n v="0.24"/>
    <n v="0"/>
    <n v="0"/>
    <n v="0"/>
    <n v="262913.8"/>
    <n v="1533921.6"/>
    <n v="0.1714"/>
    <n v="23850.13"/>
    <n v="23905.11"/>
    <n v="0"/>
    <n v="23905.11"/>
    <n v="1401697.46"/>
    <s v="Forecast"/>
  </r>
  <r>
    <x v="10"/>
    <x v="0"/>
    <s v="202501"/>
    <n v="19"/>
    <n v="1842893.46"/>
    <n v="-6.339196912442778E-2"/>
    <s v="CohortAvg"/>
    <n v="-3.1443474160334578E-2"/>
    <s v="CohortAvg"/>
    <n v="0.33662948831459649"/>
    <s v="CohortAvg"/>
    <n v="6.6931173207866471E-2"/>
    <s v="CohortAvg_NonZero"/>
    <n v="8.1993843691305444E-5"/>
    <s v="CohortAvg"/>
    <n v="0"/>
    <s v="Zero"/>
    <n v="-4.6330118618840427E-2"/>
    <s v="CohortAvg"/>
    <n v="-9.1110292931957399E-4"/>
    <s v="CohortAvg"/>
    <n v="0"/>
    <n v="-116824.65"/>
    <n v="-57946.97"/>
    <n v="51697.69"/>
    <n v="0"/>
    <n v="151.11000000000001"/>
    <n v="-85381.47"/>
    <n v="-1679.07"/>
    <n v="1719668.43"/>
    <n v="0.190751"/>
    <n v="0.9657"/>
    <n v="0.184201"/>
    <s v="DonorCohort:202101+Seasonal(0.966)"/>
    <n v="316763.86"/>
    <n v="292711.25"/>
    <n v="24052.61"/>
    <x v="0"/>
    <n v="0"/>
    <n v="0.78500000000000003"/>
    <n v="0.24"/>
    <n v="0"/>
    <n v="0"/>
    <n v="0"/>
    <n v="292711.25"/>
    <n v="1842893.46"/>
    <n v="0.158832"/>
    <n v="24052.61"/>
    <n v="24203.71"/>
    <n v="0"/>
    <n v="24203.71"/>
    <n v="1695464.71"/>
    <s v="Forecast"/>
  </r>
  <r>
    <x v="10"/>
    <x v="0"/>
    <s v="202502"/>
    <n v="18"/>
    <n v="2751115.55"/>
    <n v="-6.446613303047026E-2"/>
    <s v="CohortAvg"/>
    <n v="-3.1866503805537738E-2"/>
    <s v="CohortAvg"/>
    <n v="0.35369548412802299"/>
    <s v="CohortAvg"/>
    <n v="3.9284432248932577E-2"/>
    <s v="CohortAvg_NonZero"/>
    <n v="1.154083656073309E-4"/>
    <s v="CohortAvg"/>
    <n v="0"/>
    <s v="Zero"/>
    <n v="-9.7764388517118647E-2"/>
    <s v="CohortAvg"/>
    <n v="-2.1138869784850648E-3"/>
    <s v="CohortAvg"/>
    <n v="0"/>
    <n v="-177353.78"/>
    <n v="-87668.43"/>
    <n v="81088.100000000006"/>
    <n v="0"/>
    <n v="317.5"/>
    <n v="-268961.13"/>
    <n v="-5815.55"/>
    <n v="2566863.9300000002"/>
    <n v="0.17676500000000001"/>
    <n v="0.9657"/>
    <n v="0.17069500000000001"/>
    <s v="DonorCohort:202101+Seasonal(0.966)"/>
    <n v="438149.91"/>
    <n v="443147.7"/>
    <n v="-4997.79"/>
    <x v="0"/>
    <n v="0"/>
    <n v="0.78500000000000003"/>
    <n v="0.24"/>
    <n v="0"/>
    <n v="0"/>
    <n v="0"/>
    <n v="443147.7"/>
    <n v="2751115.55"/>
    <n v="0.161079"/>
    <n v="-4997.79"/>
    <n v="-4680.29"/>
    <n v="0"/>
    <n v="-4680.29"/>
    <n v="2571544.2200000002"/>
    <s v="Forecast"/>
  </r>
  <r>
    <x v="10"/>
    <x v="0"/>
    <s v="202503"/>
    <n v="17"/>
    <n v="4023598.87"/>
    <n v="-5.4815908518447261E-2"/>
    <s v="CohortAvg"/>
    <n v="-3.4943873552471243E-2"/>
    <s v="CohortAvg"/>
    <n v="0.42546658651637648"/>
    <s v="CohortAvg"/>
    <n v="2.337347755521255E-2"/>
    <s v="CohortAvg_NonZero"/>
    <n v="7.1854469117363159E-6"/>
    <s v="CohortAvg"/>
    <n v="0"/>
    <s v="Zero"/>
    <n v="0"/>
    <s v="CohortAvg"/>
    <n v="0"/>
    <s v="CohortAvg"/>
    <n v="0"/>
    <n v="-220557.23"/>
    <n v="-140600.13"/>
    <n v="142658.91"/>
    <n v="0"/>
    <n v="28.91"/>
    <n v="0"/>
    <n v="0"/>
    <n v="3805071.5"/>
    <n v="0.17926500000000001"/>
    <n v="0.9657"/>
    <n v="0.17310900000000001"/>
    <s v="DonorCohort:202101+Seasonal(0.966)"/>
    <n v="658693.21"/>
    <n v="690499.99"/>
    <n v="-31806.78"/>
    <x v="0"/>
    <n v="0"/>
    <n v="0.78500000000000003"/>
    <n v="0.24"/>
    <n v="0"/>
    <n v="0"/>
    <n v="0"/>
    <n v="690499.99"/>
    <n v="4023598.87"/>
    <n v="0.17161299999999999"/>
    <n v="-31806.78"/>
    <n v="-31777.87"/>
    <n v="0"/>
    <n v="-31777.87"/>
    <n v="3836849.38"/>
    <s v="Forecast"/>
  </r>
  <r>
    <x v="10"/>
    <x v="0"/>
    <s v="202504"/>
    <n v="16"/>
    <n v="5184207.22"/>
    <n v="-5.3580894726394337E-2"/>
    <s v="CohortAvg"/>
    <n v="-3.7365406044433752E-2"/>
    <s v="CohortAvg"/>
    <n v="0.4377747450725355"/>
    <s v="CohortAvg"/>
    <n v="1.013329171740706E-2"/>
    <s v="CohortAvg_NonZero"/>
    <n v="1.7126995092136299E-6"/>
    <s v="CohortAvg"/>
    <n v="0"/>
    <s v="Zero"/>
    <n v="0"/>
    <s v="CohortAvg"/>
    <n v="0"/>
    <s v="CohortAvg"/>
    <n v="0"/>
    <n v="-277774.46000000002"/>
    <n v="-193710.01"/>
    <n v="189126.25"/>
    <n v="0"/>
    <n v="8.8800000000000008"/>
    <n v="0"/>
    <n v="0"/>
    <n v="4901840.12"/>
    <n v="0.19098799999999999"/>
    <n v="0.9657"/>
    <n v="0.18442900000000001"/>
    <s v="DonorCohort:202101+Seasonal(0.966)"/>
    <n v="904042.48"/>
    <n v="877475.47"/>
    <n v="26567.01"/>
    <x v="0"/>
    <n v="0"/>
    <n v="0.78500000000000003"/>
    <n v="0.24"/>
    <n v="0"/>
    <n v="0"/>
    <n v="0"/>
    <n v="877475.47"/>
    <n v="5184207.22"/>
    <n v="0.16925899999999999"/>
    <n v="26567.01"/>
    <n v="26575.89"/>
    <n v="0"/>
    <n v="26575.89"/>
    <n v="4875264.2300000004"/>
    <s v="Forecast"/>
  </r>
  <r>
    <x v="10"/>
    <x v="0"/>
    <s v="202505"/>
    <n v="15"/>
    <n v="6915762.4400000004"/>
    <n v="-4.5732681793957702E-2"/>
    <s v="CohortAvg"/>
    <n v="-3.5953437803135938E-2"/>
    <s v="CohortAvg"/>
    <n v="0.43346295297727377"/>
    <s v="CohortAvg"/>
    <n v="0"/>
    <s v="CohortAvg_NoData_ERROR"/>
    <n v="9.0866806137236665E-7"/>
    <s v="CohortAvg"/>
    <n v="0"/>
    <s v="Zero"/>
    <n v="0"/>
    <s v="CohortAvg"/>
    <n v="0"/>
    <s v="CohortAvg"/>
    <n v="0"/>
    <n v="-316276.36"/>
    <n v="-248645.43"/>
    <n v="249810.57"/>
    <n v="0"/>
    <n v="6.28"/>
    <n v="0"/>
    <n v="0"/>
    <n v="6600644.9199999999"/>
    <n v="0.18836900000000001"/>
    <n v="0.9657"/>
    <n v="0.18190000000000001"/>
    <s v="DonorCohort:202101+Seasonal(0.966)"/>
    <n v="1200659.04"/>
    <n v="1019099.54"/>
    <n v="181559.49"/>
    <x v="0"/>
    <n v="0"/>
    <n v="0.78500000000000003"/>
    <n v="0.24"/>
    <n v="0"/>
    <n v="0"/>
    <n v="0"/>
    <n v="1019099.54"/>
    <n v="6915762.4400000004"/>
    <n v="0.14735899999999999"/>
    <n v="181559.49"/>
    <n v="181565.78"/>
    <n v="0"/>
    <n v="181565.78"/>
    <n v="6419079.1399999997"/>
    <s v="Forecast"/>
  </r>
  <r>
    <x v="10"/>
    <x v="0"/>
    <s v="202506"/>
    <n v="14"/>
    <n v="7881113.1900000004"/>
    <n v="-4.3977604772975798E-2"/>
    <s v="CohortAvg"/>
    <n v="-3.7179931072345393E-2"/>
    <s v="CohortAvg"/>
    <n v="0.44698891981602479"/>
    <s v="CohortAvg"/>
    <n v="0"/>
    <s v="CohortAvg_NoData_ERROR"/>
    <n v="0"/>
    <s v="CohortAvg"/>
    <n v="0"/>
    <s v="Zero"/>
    <n v="0"/>
    <s v="CohortAvg"/>
    <n v="0"/>
    <s v="CohortAvg"/>
    <n v="0"/>
    <n v="-346592.48"/>
    <n v="-293019.25"/>
    <n v="293564.19"/>
    <n v="0"/>
    <n v="0"/>
    <n v="0"/>
    <n v="0"/>
    <n v="7535065.6500000004"/>
    <n v="0.163996"/>
    <n v="0.9657"/>
    <n v="0.158364"/>
    <s v="DonorCohort:202101+Seasonal(0.966)"/>
    <n v="1193285.26"/>
    <n v="1304834.04"/>
    <n v="-111548.78"/>
    <x v="0"/>
    <n v="0"/>
    <n v="0.78500000000000003"/>
    <n v="0.24"/>
    <n v="0"/>
    <n v="0"/>
    <n v="0"/>
    <n v="1304834.04"/>
    <n v="7881113.1900000004"/>
    <n v="0.16556499999999999"/>
    <n v="-111548.78"/>
    <n v="-111548.78"/>
    <n v="0"/>
    <n v="-111548.78"/>
    <n v="7646614.4299999997"/>
    <s v="Forecast"/>
  </r>
  <r>
    <x v="10"/>
    <x v="0"/>
    <s v="202507"/>
    <n v="13"/>
    <n v="10069175.08"/>
    <n v="-4.1810013208752488E-2"/>
    <s v="CohortAvg"/>
    <n v="-3.939809444776949E-2"/>
    <s v="CohortAvg"/>
    <n v="0.44125580624472249"/>
    <s v="CohortAvg"/>
    <n v="0"/>
    <s v="CohortAvg_NoData_ERROR"/>
    <n v="1.279279191712855E-5"/>
    <s v="CohortAvg"/>
    <n v="0"/>
    <s v="Zero"/>
    <n v="0"/>
    <s v="CohortAvg"/>
    <n v="0"/>
    <s v="CohortAvg"/>
    <n v="0"/>
    <n v="-420992.34"/>
    <n v="-396706.31"/>
    <n v="370256.83"/>
    <n v="0"/>
    <n v="128.81"/>
    <n v="0"/>
    <n v="0"/>
    <n v="9621604.4399999995"/>
    <n v="0.184257"/>
    <n v="0.9657"/>
    <n v="0.17793"/>
    <s v="DonorCohort:202101+Seasonal(0.966)"/>
    <n v="1711969.03"/>
    <n v="1617115.07"/>
    <n v="94853.96"/>
    <x v="0"/>
    <n v="0"/>
    <n v="0.78500000000000003"/>
    <n v="0.24"/>
    <n v="0"/>
    <n v="0"/>
    <n v="0"/>
    <n v="1617115.07"/>
    <n v="10069175.08"/>
    <n v="0.16060099999999999"/>
    <n v="94853.96"/>
    <n v="94982.78"/>
    <n v="0"/>
    <n v="94982.78"/>
    <n v="9526621.6600000001"/>
    <s v="Forecast"/>
  </r>
  <r>
    <x v="10"/>
    <x v="0"/>
    <s v="202508"/>
    <n v="12"/>
    <n v="8378821.3600000003"/>
    <n v="-4.6381031339620883E-2"/>
    <s v="CohortAvg"/>
    <n v="-3.0973735571214848E-2"/>
    <s v="CohortAvg"/>
    <n v="0.43591762110181043"/>
    <s v="CohortAvg"/>
    <n v="0"/>
    <s v="CohortAvg_NoData_ERROR"/>
    <n v="1.080804299655337E-5"/>
    <s v="CohortAvg"/>
    <n v="0"/>
    <s v="Zero"/>
    <n v="0"/>
    <s v="CohortAvg"/>
    <n v="0"/>
    <s v="CohortAvg"/>
    <n v="0"/>
    <n v="-388618.38"/>
    <n v="-259523.4"/>
    <n v="304372.99"/>
    <n v="0"/>
    <n v="90.56"/>
    <n v="0"/>
    <n v="0"/>
    <n v="8034962.0099999998"/>
    <n v="0.178732"/>
    <n v="0.9657"/>
    <n v="0.172595"/>
    <s v="DonorCohort:202101+Seasonal(0.966)"/>
    <n v="1386792.72"/>
    <n v="1166250.52"/>
    <n v="220542.2"/>
    <x v="0"/>
    <n v="0"/>
    <n v="0.78500000000000003"/>
    <n v="0.24"/>
    <n v="0"/>
    <n v="0"/>
    <n v="0"/>
    <n v="1166250.52"/>
    <n v="8378821.3600000003"/>
    <n v="0.13919000000000001"/>
    <n v="220542.2"/>
    <n v="220632.76"/>
    <n v="0"/>
    <n v="220632.76"/>
    <n v="7814329.25"/>
    <s v="Forecast"/>
  </r>
  <r>
    <x v="10"/>
    <x v="0"/>
    <s v="202509"/>
    <n v="11"/>
    <n v="1114721.1200000001"/>
    <n v="-0.37972547048734179"/>
    <s v="CohortAvg"/>
    <n v="-7.892525085726022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23288"/>
    <n v="-87979.64"/>
    <n v="46446.71"/>
    <n v="0"/>
    <n v="0"/>
    <n v="0"/>
    <n v="0"/>
    <n v="649900.18999999994"/>
    <n v="0.15490499999999999"/>
    <n v="0.9657"/>
    <n v="0.149586"/>
    <s v="DonorCohort:202101+Seasonal(0.966)"/>
    <n v="97215.67"/>
    <n v="136709.88"/>
    <n v="-39494.21"/>
    <x v="0"/>
    <n v="0"/>
    <n v="0.78500000000000003"/>
    <n v="0.24"/>
    <n v="0"/>
    <n v="0"/>
    <n v="0"/>
    <n v="136709.88"/>
    <n v="1114721.1200000001"/>
    <n v="0.12264"/>
    <n v="-39494.21"/>
    <n v="-39494.21"/>
    <n v="0"/>
    <n v="-39494.21"/>
    <n v="689394.4"/>
    <s v="Forecast"/>
  </r>
  <r>
    <x v="10"/>
    <x v="1"/>
    <s v="202301"/>
    <n v="33"/>
    <n v="938440.07"/>
    <n v="-9.1575099358537759E-3"/>
    <s v="CohortAvg"/>
    <n v="-4.7897363334581614E-3"/>
    <s v="CohortAvg"/>
    <n v="9.0566843586527404E-2"/>
    <s v="CohortAvg"/>
    <n v="2.377419122850187E-2"/>
    <s v="CohortAvg_NonZero"/>
    <n v="0"/>
    <s v="CohortAvg"/>
    <n v="0"/>
    <s v="Zero"/>
    <n v="0"/>
    <s v="CohortAvg"/>
    <n v="0"/>
    <s v="CohortAvg"/>
    <n v="0"/>
    <n v="-8593.77"/>
    <n v="-4494.88"/>
    <n v="7082.63"/>
    <n v="0"/>
    <n v="0"/>
    <n v="0"/>
    <n v="0"/>
    <n v="932434.04"/>
    <n v="0.34739700000000001"/>
    <n v="1.2702"/>
    <n v="0.44128000000000001"/>
    <s v="CohortTrend+Seasonal(1.270)"/>
    <n v="411464.89"/>
    <n v="329705.49"/>
    <n v="81759.399999999994"/>
    <x v="0"/>
    <n v="0"/>
    <n v="0.78500000000000003"/>
    <n v="0.24"/>
    <n v="0"/>
    <n v="0"/>
    <n v="0"/>
    <n v="329705.49"/>
    <n v="938440.07"/>
    <n v="0.35133399999999998"/>
    <n v="81759.399999999994"/>
    <n v="81759.399999999994"/>
    <n v="0"/>
    <n v="81759.399999999994"/>
    <n v="850674.64"/>
    <s v="Forecast"/>
  </r>
  <r>
    <x v="10"/>
    <x v="1"/>
    <s v="202404"/>
    <n v="28"/>
    <n v="150716.25"/>
    <n v="-6.2351549006502839E-2"/>
    <s v="CohortAvg"/>
    <n v="-1.520742872116293E-2"/>
    <s v="CohortAvg"/>
    <n v="0.15673965673222351"/>
    <s v="CohortAvg"/>
    <n v="5.0139717654149762E-2"/>
    <s v="CohortAvg_NonZero"/>
    <n v="0"/>
    <s v="CohortAvg"/>
    <n v="0"/>
    <s v="Zero"/>
    <n v="0"/>
    <s v="CohortAvg"/>
    <n v="0"/>
    <s v="CohortAvg"/>
    <n v="0"/>
    <n v="-9397.39"/>
    <n v="-2292.0100000000002"/>
    <n v="1968.6"/>
    <n v="0"/>
    <n v="0"/>
    <n v="0"/>
    <n v="0"/>
    <n v="140995.45000000001"/>
    <n v="0.20059199999999999"/>
    <n v="1.2702"/>
    <n v="0.25480199999999997"/>
    <s v="CohortTrend+Seasonal(1.270)"/>
    <n v="35925.870000000003"/>
    <n v="30842.3"/>
    <n v="5083.58"/>
    <x v="0"/>
    <n v="0"/>
    <n v="0.78500000000000003"/>
    <n v="0.24"/>
    <n v="0"/>
    <n v="0"/>
    <n v="0"/>
    <n v="30842.3"/>
    <n v="150716.25"/>
    <n v="0.20463799999999999"/>
    <n v="5083.58"/>
    <n v="5083.58"/>
    <n v="0"/>
    <n v="5083.58"/>
    <n v="135911.88"/>
    <s v="Forecast"/>
  </r>
  <r>
    <x v="10"/>
    <x v="1"/>
    <s v="202405"/>
    <n v="27"/>
    <n v="311555.53000000003"/>
    <n v="-1.276134720396503E-2"/>
    <s v="CohortAvg"/>
    <n v="-1.274778369354136E-2"/>
    <s v="CohortAvg"/>
    <n v="0.14772496660560111"/>
    <s v="CohortAvg"/>
    <n v="6.9103100476831381E-2"/>
    <s v="CohortAvg_NonZero"/>
    <n v="3.3441073050639498E-7"/>
    <s v="CohortAvg"/>
    <n v="0"/>
    <s v="Zero"/>
    <n v="0"/>
    <s v="CohortAvg"/>
    <n v="0"/>
    <s v="CohortAvg"/>
    <n v="0"/>
    <n v="-3975.87"/>
    <n v="-3971.64"/>
    <n v="3835.38"/>
    <n v="0"/>
    <n v="0.1"/>
    <n v="0"/>
    <n v="0"/>
    <n v="307443.3"/>
    <n v="0.31816899999999998"/>
    <n v="1.2702"/>
    <n v="0.40415400000000001"/>
    <s v="CohortTrend+Seasonal(1.270)"/>
    <n v="124254.53"/>
    <n v="98771.33"/>
    <n v="25483.200000000001"/>
    <x v="0"/>
    <n v="0"/>
    <n v="0.78500000000000003"/>
    <n v="0.24"/>
    <n v="0"/>
    <n v="0"/>
    <n v="0"/>
    <n v="98771.33"/>
    <n v="311555.53000000003"/>
    <n v="0.31702599999999997"/>
    <n v="25483.200000000001"/>
    <n v="25483.3"/>
    <n v="0"/>
    <n v="25483.3"/>
    <n v="281960"/>
    <s v="Forecast"/>
  </r>
  <r>
    <x v="10"/>
    <x v="1"/>
    <s v="202406"/>
    <n v="26"/>
    <n v="179674.66"/>
    <n v="-1.5923324340186951E-2"/>
    <s v="CohortAvg"/>
    <n v="-1.4907228357733971E-2"/>
    <s v="CohortAvg"/>
    <n v="0.17836465691710149"/>
    <s v="CohortAvg"/>
    <n v="5.620844502272148E-2"/>
    <s v="CohortAvg_NonZero"/>
    <n v="0"/>
    <s v="CohortAvg"/>
    <n v="0"/>
    <s v="Zero"/>
    <n v="0"/>
    <s v="CohortAvg"/>
    <n v="0"/>
    <s v="CohortAvg"/>
    <n v="0"/>
    <n v="-2861.02"/>
    <n v="-2678.45"/>
    <n v="2670.63"/>
    <n v="0"/>
    <n v="0"/>
    <n v="0"/>
    <n v="0"/>
    <n v="176805.83"/>
    <n v="0.22437799999999999"/>
    <n v="1.2702"/>
    <n v="0.28501599999999999"/>
    <s v="CohortTrend+Seasonal(1.270)"/>
    <n v="50392.42"/>
    <n v="40333.56"/>
    <n v="10058.86"/>
    <x v="0"/>
    <n v="0"/>
    <n v="0.78500000000000003"/>
    <n v="0.24"/>
    <n v="0"/>
    <n v="0"/>
    <n v="0"/>
    <n v="40333.56"/>
    <n v="179674.66"/>
    <n v="0.22448100000000001"/>
    <n v="10058.86"/>
    <n v="10058.86"/>
    <n v="0"/>
    <n v="10058.86"/>
    <n v="166746.96"/>
    <s v="Forecast"/>
  </r>
  <r>
    <x v="10"/>
    <x v="1"/>
    <s v="202407"/>
    <n v="25"/>
    <n v="236253.54"/>
    <n v="-4.2242321510788071E-2"/>
    <s v="CohortAvg"/>
    <n v="-1.5319493940378581E-2"/>
    <s v="CohortAvg"/>
    <n v="0.16926211019491119"/>
    <s v="CohortAvg"/>
    <n v="8.2761551975630079E-2"/>
    <s v="CohortAvg_NonZero"/>
    <n v="0"/>
    <s v="CohortAvg"/>
    <n v="0"/>
    <s v="Zero"/>
    <n v="0"/>
    <s v="CohortAvg"/>
    <n v="0"/>
    <s v="CohortAvg"/>
    <n v="0"/>
    <n v="-9979.9"/>
    <n v="-3619.28"/>
    <n v="3332.4"/>
    <n v="0"/>
    <n v="0"/>
    <n v="0"/>
    <n v="0"/>
    <n v="225986.75"/>
    <n v="0.21002599999999999"/>
    <n v="1.2702"/>
    <n v="0.26678499999999999"/>
    <s v="CohortTrend+Seasonal(1.270)"/>
    <n v="60289.919999999998"/>
    <n v="50056.46"/>
    <n v="10233.459999999999"/>
    <x v="0"/>
    <n v="0"/>
    <n v="0.78500000000000003"/>
    <n v="0.24"/>
    <n v="0"/>
    <n v="0"/>
    <n v="0"/>
    <n v="50056.46"/>
    <n v="236253.54"/>
    <n v="0.21187600000000001"/>
    <n v="10233.459999999999"/>
    <n v="10233.459999999999"/>
    <n v="0"/>
    <n v="10233.459999999999"/>
    <n v="215753.3"/>
    <s v="Forecast"/>
  </r>
  <r>
    <x v="10"/>
    <x v="1"/>
    <s v="202408"/>
    <n v="24"/>
    <n v="235128.34"/>
    <n v="-6.0955078192486523E-2"/>
    <s v="CohortAvg"/>
    <n v="-1.6563117520299871E-2"/>
    <s v="CohortAvg"/>
    <n v="0.18297547046433391"/>
    <s v="CohortAvg"/>
    <n v="0.1104761026857973"/>
    <s v="CohortAvg_NonZero"/>
    <n v="1.0689306969344091E-9"/>
    <s v="CohortAvg"/>
    <n v="0"/>
    <s v="Zero"/>
    <n v="0"/>
    <s v="CohortAvg"/>
    <n v="0"/>
    <s v="CohortAvg"/>
    <n v="0"/>
    <n v="-14332.27"/>
    <n v="-3894.46"/>
    <n v="3585.23"/>
    <n v="0"/>
    <n v="0"/>
    <n v="0"/>
    <n v="0"/>
    <n v="220486.84"/>
    <n v="0.21444299999999999"/>
    <n v="1.2702"/>
    <n v="0.27239600000000003"/>
    <s v="CohortTrend+Seasonal(1.270)"/>
    <n v="60059.82"/>
    <n v="50751.43"/>
    <n v="9308.39"/>
    <x v="0"/>
    <n v="0"/>
    <n v="0.78500000000000003"/>
    <n v="0.24"/>
    <n v="0"/>
    <n v="0"/>
    <n v="0"/>
    <n v="50751.43"/>
    <n v="235128.34"/>
    <n v="0.21584600000000001"/>
    <n v="9308.39"/>
    <n v="9308.39"/>
    <n v="0"/>
    <n v="9308.39"/>
    <n v="211178.45"/>
    <s v="Forecast"/>
  </r>
  <r>
    <x v="10"/>
    <x v="1"/>
    <s v="202409"/>
    <n v="23"/>
    <n v="387593.28"/>
    <n v="-4.0290516109743962E-2"/>
    <s v="CohortAvg"/>
    <n v="-1.508738106522073E-2"/>
    <s v="CohortAvg"/>
    <n v="0.1824574064714426"/>
    <s v="CohortAvg"/>
    <n v="3.1760861993125528E-2"/>
    <s v="CohortAvg_NonZero"/>
    <n v="0"/>
    <s v="CohortAvg"/>
    <n v="0"/>
    <s v="Zero"/>
    <n v="0"/>
    <s v="CohortAvg"/>
    <n v="0"/>
    <s v="CohortAvg"/>
    <n v="0"/>
    <n v="-15616.33"/>
    <n v="-5847.77"/>
    <n v="5893.27"/>
    <n v="0"/>
    <n v="0"/>
    <n v="0"/>
    <n v="0"/>
    <n v="372022.45"/>
    <n v="0.23222799999999999"/>
    <n v="1.2702"/>
    <n v="0.294987"/>
    <s v="CohortTrend+Seasonal(1.270)"/>
    <n v="109741.79"/>
    <n v="89346.51"/>
    <n v="20395.28"/>
    <x v="0"/>
    <n v="0"/>
    <n v="0.78500000000000003"/>
    <n v="0.24"/>
    <n v="0"/>
    <n v="0"/>
    <n v="0"/>
    <n v="89346.51"/>
    <n v="387593.28"/>
    <n v="0.230516"/>
    <n v="20395.28"/>
    <n v="20395.28"/>
    <n v="0"/>
    <n v="20395.28"/>
    <n v="351627.17"/>
    <s v="Forecast"/>
  </r>
  <r>
    <x v="10"/>
    <x v="1"/>
    <s v="202410"/>
    <n v="22"/>
    <n v="341183.14"/>
    <n v="-1.309516036526605E-2"/>
    <s v="CohortAvg"/>
    <n v="-1.8199381744763061E-2"/>
    <s v="CohortAvg"/>
    <n v="0.1877326774809657"/>
    <s v="CohortAvg"/>
    <n v="3.5383524488993567E-2"/>
    <s v="CohortAvg_NonZero"/>
    <n v="4.689797324889199E-7"/>
    <s v="CohortAvg"/>
    <n v="0"/>
    <s v="Zero"/>
    <n v="0"/>
    <s v="CohortAvg"/>
    <n v="0"/>
    <s v="CohortAvg"/>
    <n v="0"/>
    <n v="-4467.8500000000004"/>
    <n v="-6209.32"/>
    <n v="5337.6"/>
    <n v="0"/>
    <n v="0.16"/>
    <n v="0"/>
    <n v="0"/>
    <n v="335843.42"/>
    <n v="0.22633400000000001"/>
    <n v="1.2702"/>
    <n v="0.28749999999999998"/>
    <s v="CohortTrend+Seasonal(1.270)"/>
    <n v="96555.09"/>
    <n v="76311.59"/>
    <n v="20243.5"/>
    <x v="0"/>
    <n v="0"/>
    <n v="0.78500000000000003"/>
    <n v="0.24"/>
    <n v="0"/>
    <n v="0"/>
    <n v="0"/>
    <n v="76311.59"/>
    <n v="341183.14"/>
    <n v="0.22366800000000001"/>
    <n v="20243.5"/>
    <n v="20243.66"/>
    <n v="0"/>
    <n v="20243.66"/>
    <n v="315599.76"/>
    <s v="Forecast"/>
  </r>
  <r>
    <x v="10"/>
    <x v="1"/>
    <s v="202411"/>
    <n v="21"/>
    <n v="357832.97"/>
    <n v="-4.3801903292049332E-2"/>
    <s v="CohortAvg"/>
    <n v="-1.4804381016198929E-2"/>
    <s v="CohortAvg"/>
    <n v="0.17348358957852511"/>
    <s v="CohortAvg"/>
    <n v="3.2798249550729998E-2"/>
    <s v="CohortAvg_NonZero"/>
    <n v="0"/>
    <s v="CohortAvg"/>
    <n v="0"/>
    <s v="Zero"/>
    <n v="0"/>
    <s v="CohortAvg"/>
    <n v="0"/>
    <s v="CohortAvg"/>
    <n v="0"/>
    <n v="-15673.77"/>
    <n v="-5297.5"/>
    <n v="5173.18"/>
    <n v="0"/>
    <n v="0"/>
    <n v="0"/>
    <n v="0"/>
    <n v="342034.89"/>
    <n v="0.197323"/>
    <n v="1.2702"/>
    <n v="0.25064900000000001"/>
    <s v="CohortTrend+Seasonal(1.270)"/>
    <n v="85730.81"/>
    <n v="71117.14"/>
    <n v="14613.68"/>
    <x v="0"/>
    <n v="0"/>
    <n v="0.78500000000000003"/>
    <n v="0.24"/>
    <n v="0"/>
    <n v="0"/>
    <n v="0"/>
    <n v="71117.14"/>
    <n v="357832.97"/>
    <n v="0.198744"/>
    <n v="14613.68"/>
    <n v="14613.68"/>
    <n v="0"/>
    <n v="14613.68"/>
    <n v="327421.21999999997"/>
    <s v="Forecast"/>
  </r>
  <r>
    <x v="10"/>
    <x v="1"/>
    <s v="202412"/>
    <n v="20"/>
    <n v="24848.45"/>
    <n v="-8.5890881587902517E-3"/>
    <s v="CohortAvg"/>
    <n v="-1.242880539558121E-2"/>
    <s v="CohortAvg"/>
    <n v="0.1465040627579911"/>
    <s v="CohortAvg"/>
    <n v="0.2"/>
    <s v="CohortAvg_NonZero"/>
    <n v="0"/>
    <s v="CohortAvg"/>
    <n v="0"/>
    <s v="Zero"/>
    <n v="0"/>
    <s v="CohortAvg"/>
    <n v="0"/>
    <s v="CohortAvg"/>
    <n v="0"/>
    <n v="-213.43"/>
    <n v="-308.83999999999997"/>
    <n v="303.37"/>
    <n v="0"/>
    <n v="0"/>
    <n v="0"/>
    <n v="0"/>
    <n v="24629.55"/>
    <n v="0.18566299999999999"/>
    <n v="1.2702"/>
    <n v="0.23583799999999999"/>
    <s v="CohortTrend+Seasonal(1.270)"/>
    <n v="5808.58"/>
    <n v="4814.0600000000004"/>
    <n v="994.53"/>
    <x v="0"/>
    <n v="0"/>
    <n v="0.78500000000000003"/>
    <n v="0.24"/>
    <n v="0"/>
    <n v="0"/>
    <n v="0"/>
    <n v="4814.0600000000004"/>
    <n v="24848.45"/>
    <n v="0.19373699999999999"/>
    <n v="994.53"/>
    <n v="994.53"/>
    <n v="0"/>
    <n v="994.53"/>
    <n v="23635.03"/>
    <s v="Forecast"/>
  </r>
  <r>
    <x v="10"/>
    <x v="1"/>
    <s v="202501"/>
    <n v="19"/>
    <n v="51702.98"/>
    <n v="-1.5270877111369921E-2"/>
    <s v="CohortAvg"/>
    <n v="-1.751907127118672E-2"/>
    <s v="CohortAvg"/>
    <n v="0.20438403793601839"/>
    <s v="CohortAvg"/>
    <n v="0"/>
    <s v="CohortAvg_NoData_ERROR"/>
    <n v="0"/>
    <s v="CohortAvg"/>
    <n v="0"/>
    <s v="Zero"/>
    <n v="0"/>
    <s v="CohortAvg"/>
    <n v="0"/>
    <s v="CohortAvg"/>
    <n v="0"/>
    <n v="-789.55"/>
    <n v="-905.79"/>
    <n v="880.61"/>
    <n v="0"/>
    <n v="0"/>
    <n v="0"/>
    <n v="0"/>
    <n v="50888.25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51702.98"/>
    <n v="0"/>
    <n v="0"/>
    <n v="0"/>
    <n v="0"/>
    <n v="0"/>
    <n v="50888.25"/>
    <s v="Forecast"/>
  </r>
  <r>
    <x v="10"/>
    <x v="1"/>
    <s v="202502"/>
    <n v="18"/>
    <n v="109310.14"/>
    <n v="-1.3802663308823271E-2"/>
    <s v="CohortAvg"/>
    <n v="-1.8858118995360999E-2"/>
    <s v="CohortAvg"/>
    <n v="0.19417429252946161"/>
    <s v="CohortAvg"/>
    <n v="0"/>
    <s v="CohortAvg_NoData_ERROR"/>
    <n v="0"/>
    <s v="CohortAvg"/>
    <n v="0"/>
    <s v="Zero"/>
    <n v="0"/>
    <s v="CohortAvg"/>
    <n v="0"/>
    <s v="CohortAvg"/>
    <n v="0"/>
    <n v="-1508.77"/>
    <n v="-2061.38"/>
    <n v="1768.77"/>
    <n v="0"/>
    <n v="0"/>
    <n v="0"/>
    <n v="0"/>
    <n v="107508.76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109310.14"/>
    <n v="0"/>
    <n v="0"/>
    <n v="0"/>
    <n v="0"/>
    <n v="0"/>
    <n v="107508.76"/>
    <s v="Forecast"/>
  </r>
  <r>
    <x v="10"/>
    <x v="1"/>
    <s v="202503"/>
    <n v="17"/>
    <n v="77752.83"/>
    <n v="-9.8311619509573542E-3"/>
    <s v="CohortAvg"/>
    <n v="-1.389327467072398E-2"/>
    <s v="CohortAvg"/>
    <n v="0.2082938566449184"/>
    <s v="CohortAvg"/>
    <n v="0"/>
    <s v="CohortAvg_NoData_ERROR"/>
    <n v="0"/>
    <s v="CohortAvg"/>
    <n v="0"/>
    <s v="Zero"/>
    <n v="0"/>
    <s v="CohortAvg"/>
    <n v="0"/>
    <s v="CohortAvg"/>
    <n v="0"/>
    <n v="-764.4"/>
    <n v="-1080.24"/>
    <n v="1349.62"/>
    <n v="0"/>
    <n v="0"/>
    <n v="0"/>
    <n v="0"/>
    <n v="77257.81"/>
    <n v="0.21996199999999999"/>
    <n v="1.2702"/>
    <n v="0.27940700000000002"/>
    <s v="DonorCohort:202301+Seasonal(1.270)"/>
    <n v="21586.35"/>
    <n v="15152.67"/>
    <n v="6433.68"/>
    <x v="0"/>
    <n v="0"/>
    <n v="0.78500000000000003"/>
    <n v="0.24"/>
    <n v="0"/>
    <n v="0"/>
    <n v="0"/>
    <n v="15152.67"/>
    <n v="77752.83"/>
    <n v="0.194883"/>
    <n v="6433.68"/>
    <n v="6433.68"/>
    <n v="0"/>
    <n v="6433.68"/>
    <n v="70824.13"/>
    <s v="Forecast"/>
  </r>
  <r>
    <x v="10"/>
    <x v="1"/>
    <s v="202504"/>
    <n v="16"/>
    <n v="51000.79"/>
    <n v="-2.0697838303753251E-2"/>
    <s v="CohortAvg"/>
    <n v="-1.674787022590981E-2"/>
    <s v="CohortAvg"/>
    <n v="0.20227384675071719"/>
    <s v="CohortAvg"/>
    <n v="0"/>
    <s v="CohortAvg_NoData_ERROR"/>
    <n v="0"/>
    <s v="CohortAvg"/>
    <n v="0"/>
    <s v="Zero"/>
    <n v="0"/>
    <s v="CohortAvg"/>
    <n v="0"/>
    <s v="CohortAvg"/>
    <n v="0"/>
    <n v="-1055.6099999999999"/>
    <n v="-854.15"/>
    <n v="859.68"/>
    <n v="0"/>
    <n v="0"/>
    <n v="0"/>
    <n v="0"/>
    <n v="49950.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51000.79"/>
    <n v="0"/>
    <n v="0"/>
    <n v="0"/>
    <n v="0"/>
    <n v="0"/>
    <n v="49950.7"/>
    <s v="Forecast"/>
  </r>
  <r>
    <x v="10"/>
    <x v="1"/>
    <s v="202505"/>
    <n v="15"/>
    <n v="15195.18"/>
    <n v="-1.0027428774034539E-2"/>
    <s v="CohortAvg"/>
    <n v="-1.6374342761525058E-2"/>
    <s v="CohortAvg"/>
    <n v="0.19795936927318611"/>
    <s v="CohortAvg"/>
    <n v="0"/>
    <s v="CohortAvg_NoData_ERROR"/>
    <n v="0"/>
    <s v="CohortAvg"/>
    <n v="0"/>
    <s v="Zero"/>
    <n v="0"/>
    <s v="CohortAvg"/>
    <n v="0"/>
    <s v="CohortAvg"/>
    <n v="0"/>
    <n v="-152.37"/>
    <n v="-248.81"/>
    <n v="250.67"/>
    <n v="0"/>
    <n v="0"/>
    <n v="0"/>
    <n v="0"/>
    <n v="15044.6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15195.18"/>
    <n v="0"/>
    <n v="0"/>
    <n v="0"/>
    <n v="0"/>
    <n v="0"/>
    <n v="15044.67"/>
    <s v="Forecast"/>
  </r>
  <r>
    <x v="10"/>
    <x v="1"/>
    <s v="202506"/>
    <n v="14"/>
    <n v="26916.87"/>
    <n v="-1.391744133406175E-2"/>
    <s v="CohortAvg"/>
    <n v="-1.6453660229403741E-2"/>
    <s v="CohortAvg"/>
    <n v="0.19116101692798931"/>
    <s v="CohortAvg"/>
    <n v="0"/>
    <s v="CohortAvg_NoData_ERROR"/>
    <n v="0"/>
    <s v="CohortAvg"/>
    <n v="0"/>
    <s v="Zero"/>
    <n v="0"/>
    <s v="CohortAvg"/>
    <n v="0"/>
    <s v="CohortAvg"/>
    <n v="0"/>
    <n v="-374.61"/>
    <n v="-442.88"/>
    <n v="428.79"/>
    <n v="0"/>
    <n v="0"/>
    <n v="0"/>
    <n v="0"/>
    <n v="26528.1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26916.87"/>
    <n v="0"/>
    <n v="0"/>
    <n v="0"/>
    <n v="0"/>
    <n v="0"/>
    <n v="26528.17"/>
    <s v="Forecast"/>
  </r>
  <r>
    <x v="10"/>
    <x v="1"/>
    <s v="202507"/>
    <n v="13"/>
    <n v="105348.93"/>
    <n v="-1.100642154286263E-2"/>
    <s v="CohortAvg"/>
    <n v="-1.776446971066304E-2"/>
    <s v="CohortAvg"/>
    <n v="0.1967918381160588"/>
    <s v="CohortAvg"/>
    <n v="0"/>
    <s v="CohortAvg_NoData_ERROR"/>
    <n v="0"/>
    <s v="CohortAvg"/>
    <n v="0"/>
    <s v="Zero"/>
    <n v="0"/>
    <s v="CohortAvg"/>
    <n v="0"/>
    <s v="CohortAvg"/>
    <n v="0"/>
    <n v="-1159.51"/>
    <n v="-1871.47"/>
    <n v="1727.65"/>
    <n v="0"/>
    <n v="0"/>
    <n v="0"/>
    <n v="0"/>
    <n v="104045.6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105348.93"/>
    <n v="0"/>
    <n v="0"/>
    <n v="0"/>
    <n v="0"/>
    <n v="0"/>
    <n v="104045.6"/>
    <s v="Forecast"/>
  </r>
  <r>
    <x v="10"/>
    <x v="1"/>
    <s v="202508"/>
    <n v="12"/>
    <n v="43355.13"/>
    <n v="-1.4224989518015631E-2"/>
    <s v="CohortAvg"/>
    <n v="-1.429744850503801E-2"/>
    <s v="CohortAvg"/>
    <n v="0.1760037997064976"/>
    <s v="CohortAvg"/>
    <n v="0"/>
    <s v="CohortAvg_NoData_ERROR"/>
    <n v="0"/>
    <s v="CohortAvg"/>
    <n v="0"/>
    <s v="Zero"/>
    <n v="0"/>
    <s v="CohortAvg"/>
    <n v="0"/>
    <s v="CohortAvg"/>
    <n v="0"/>
    <n v="-616.73"/>
    <n v="-619.87"/>
    <n v="635.89"/>
    <n v="0"/>
    <n v="0"/>
    <n v="0"/>
    <n v="0"/>
    <n v="42754.42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43355.13"/>
    <n v="0"/>
    <n v="0"/>
    <n v="0"/>
    <n v="0"/>
    <n v="0"/>
    <n v="42754.42"/>
    <s v="Forecast"/>
  </r>
  <r>
    <x v="10"/>
    <x v="1"/>
    <s v="202509"/>
    <n v="11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0"/>
    <x v="2"/>
    <s v="202101"/>
    <n v="67"/>
    <n v="419476.26"/>
    <n v="-0.1912215444505049"/>
    <s v="CohortAvg"/>
    <n v="-1.418259205758963E-2"/>
    <s v="CohortAvg"/>
    <n v="0.1549753333570433"/>
    <s v="CohortAvg"/>
    <n v="1.7916752105297619E-2"/>
    <s v="CohortAvg_NonZero"/>
    <n v="0"/>
    <s v="CohortAvg"/>
    <n v="0"/>
    <s v="Zero"/>
    <n v="0"/>
    <s v="CohortAvg"/>
    <n v="0"/>
    <s v="CohortAvg"/>
    <n v="0"/>
    <n v="-80212.899999999994"/>
    <n v="-5949.26"/>
    <n v="5417.37"/>
    <n v="0"/>
    <n v="0"/>
    <n v="0"/>
    <n v="0"/>
    <n v="338731.47"/>
    <n v="0.26077800000000001"/>
    <n v="0.99739999999999995"/>
    <n v="0.26009900000000002"/>
    <s v="CohortAvg+Seasonal(0.997)"/>
    <n v="88103.79"/>
    <n v="99478.35"/>
    <n v="-11374.56"/>
    <x v="0"/>
    <n v="0"/>
    <n v="0.78500000000000003"/>
    <n v="0.24"/>
    <n v="0"/>
    <n v="0"/>
    <n v="0"/>
    <n v="99478.35"/>
    <n v="419476.26"/>
    <n v="0.237149"/>
    <n v="-11374.56"/>
    <n v="-11374.56"/>
    <n v="0"/>
    <n v="-11374.56"/>
    <n v="350106.04"/>
    <s v="Forecast"/>
  </r>
  <r>
    <x v="10"/>
    <x v="2"/>
    <s v="202201"/>
    <n v="47"/>
    <n v="84788.7"/>
    <n v="-6.4951848206669383E-2"/>
    <s v="CohortAvg"/>
    <n v="-1.3449294263132201E-2"/>
    <s v="CohortAvg"/>
    <n v="0.14971269340778659"/>
    <s v="CohortAvg"/>
    <n v="3.4046046062252297E-2"/>
    <s v="CohortAvg_NonZero"/>
    <n v="3.9040272693337159E-7"/>
    <s v="CohortAvg"/>
    <n v="0"/>
    <s v="Zero"/>
    <n v="-1.40548123462506E-5"/>
    <s v="CohortAvg"/>
    <n v="-6.34549588245465E-8"/>
    <s v="CohortAvg"/>
    <n v="0"/>
    <n v="-5507.18"/>
    <n v="-1140.3499999999999"/>
    <n v="1057.83"/>
    <n v="0"/>
    <n v="0.03"/>
    <n v="-1.19"/>
    <n v="-0.01"/>
    <n v="79198.97"/>
    <n v="0.18570900000000001"/>
    <n v="0.99739999999999995"/>
    <n v="0.185225"/>
    <s v="CohortAvg+Seasonal(0.997)"/>
    <n v="14669.64"/>
    <n v="14201.48"/>
    <n v="468.16"/>
    <x v="0"/>
    <n v="0"/>
    <n v="0.78500000000000003"/>
    <n v="0.24"/>
    <n v="0"/>
    <n v="0"/>
    <n v="0"/>
    <n v="14201.48"/>
    <n v="84788.7"/>
    <n v="0.167493"/>
    <n v="468.16"/>
    <n v="468.19"/>
    <n v="0"/>
    <n v="468.19"/>
    <n v="78730.77"/>
    <s v="Forecast"/>
  </r>
  <r>
    <x v="10"/>
    <x v="2"/>
    <s v="202301"/>
    <n v="38"/>
    <n v="7373542.8799999999"/>
    <n v="-3.6405222430156488E-2"/>
    <s v="CohortAvg"/>
    <n v="-1.5335686897447961E-2"/>
    <s v="CohortAvg"/>
    <n v="0.1742688645765002"/>
    <s v="CohortAvg"/>
    <n v="1.8701367690337901E-2"/>
    <s v="CohortAvg_NonZero"/>
    <n v="9.8369492502473031E-8"/>
    <s v="CohortAvg"/>
    <n v="0"/>
    <s v="Zero"/>
    <n v="-2.9337960291342169E-4"/>
    <s v="CohortAvg"/>
    <n v="-7.2349487263284147E-7"/>
    <s v="CohortAvg"/>
    <n v="0"/>
    <n v="-268435.46999999997"/>
    <n v="-113078.34"/>
    <n v="107081.58"/>
    <n v="0"/>
    <n v="0.73"/>
    <n v="-2163.25"/>
    <n v="-5.33"/>
    <n v="7099109.9199999999"/>
    <n v="0.22384799999999999"/>
    <n v="0.99739999999999995"/>
    <n v="0.22326499999999999"/>
    <s v="CohortTrend+Seasonal(0.997)"/>
    <n v="1584980.12"/>
    <n v="1454797.47"/>
    <n v="130182.65"/>
    <x v="0"/>
    <n v="0"/>
    <n v="0.78500000000000003"/>
    <n v="0.24"/>
    <n v="0"/>
    <n v="0"/>
    <n v="0"/>
    <n v="1454797.47"/>
    <n v="7373542.8799999999"/>
    <n v="0.1973"/>
    <n v="130182.65"/>
    <n v="130183.37"/>
    <n v="0"/>
    <n v="130183.37"/>
    <n v="6968926.54"/>
    <s v="Forecast"/>
  </r>
  <r>
    <x v="10"/>
    <x v="2"/>
    <s v="202404"/>
    <n v="28"/>
    <n v="1825974.65"/>
    <n v="-4.2523242057146658E-2"/>
    <s v="CohortAvg"/>
    <n v="-1.6077881979252171E-2"/>
    <s v="CohortAvg"/>
    <n v="0.17597337552814751"/>
    <s v="CohortAvg"/>
    <n v="2.1453955395578029E-2"/>
    <s v="CohortAvg_NonZero"/>
    <n v="4.0657911731247639E-7"/>
    <s v="CohortAvg"/>
    <n v="0"/>
    <s v="Zero"/>
    <n v="-2.5518928721525889E-3"/>
    <s v="CohortAvg"/>
    <n v="-1.26324628047849E-5"/>
    <s v="CohortAvg"/>
    <n v="0"/>
    <n v="-77646.36"/>
    <n v="-29357.8"/>
    <n v="26776.91"/>
    <n v="0"/>
    <n v="0.74"/>
    <n v="-4659.6899999999996"/>
    <n v="-23.07"/>
    <n v="1745746.65"/>
    <n v="0.167069"/>
    <n v="0.99739999999999995"/>
    <n v="0.166634"/>
    <s v="CohortTrend+Seasonal(0.997)"/>
    <n v="290901.44"/>
    <n v="268662.19"/>
    <n v="22239.24"/>
    <x v="0"/>
    <n v="0"/>
    <n v="0.78500000000000003"/>
    <n v="0.24"/>
    <n v="0"/>
    <n v="0"/>
    <n v="0"/>
    <n v="268662.19"/>
    <n v="1825974.65"/>
    <n v="0.14713399999999999"/>
    <n v="22239.24"/>
    <n v="22239.98"/>
    <n v="0"/>
    <n v="22239.98"/>
    <n v="1723506.66"/>
    <s v="Forecast"/>
  </r>
  <r>
    <x v="10"/>
    <x v="2"/>
    <s v="202405"/>
    <n v="27"/>
    <n v="1973510.56"/>
    <n v="-1.941592207519266E-2"/>
    <s v="CohortAvg"/>
    <n v="-1.512278548878819E-2"/>
    <s v="CohortAvg"/>
    <n v="0.1734454298014102"/>
    <s v="CohortAvg"/>
    <n v="3.1321373446472983E-2"/>
    <s v="CohortAvg_NonZero"/>
    <n v="4.7255681252100231E-7"/>
    <s v="CohortAvg"/>
    <n v="0"/>
    <s v="Zero"/>
    <n v="-5.6727496558094254E-3"/>
    <s v="CohortAvg"/>
    <n v="-3.4683449049941958E-5"/>
    <s v="CohortAvg"/>
    <n v="0"/>
    <n v="-38317.53"/>
    <n v="-29844.98"/>
    <n v="28524.7"/>
    <n v="0"/>
    <n v="0.93"/>
    <n v="-11195.23"/>
    <n v="-68.45"/>
    <n v="1933871.83"/>
    <n v="0.141787"/>
    <n v="0.99739999999999995"/>
    <n v="0.14141799999999999"/>
    <s v="CohortTrend+Seasonal(0.997)"/>
    <n v="273484.77"/>
    <n v="246410.84"/>
    <n v="27073.919999999998"/>
    <x v="0"/>
    <n v="0"/>
    <n v="0.78500000000000003"/>
    <n v="0.24"/>
    <n v="0"/>
    <n v="0"/>
    <n v="0"/>
    <n v="246410.84"/>
    <n v="1973510.56"/>
    <n v="0.124859"/>
    <n v="27073.919999999998"/>
    <n v="27074.85"/>
    <n v="0"/>
    <n v="27074.85"/>
    <n v="1906796.97"/>
    <s v="Forecast"/>
  </r>
  <r>
    <x v="10"/>
    <x v="2"/>
    <s v="202406"/>
    <n v="26"/>
    <n v="1596768.16"/>
    <n v="-2.7745240385612761E-2"/>
    <s v="CohortAvg"/>
    <n v="-1.512582003117836E-2"/>
    <s v="CohortAvg"/>
    <n v="0.17205909649101239"/>
    <s v="CohortAvg"/>
    <n v="6.1577311920524271E-2"/>
    <s v="CohortAvg_NonZero"/>
    <n v="4.1188205380446942E-7"/>
    <s v="CohortAvg"/>
    <n v="0"/>
    <s v="Zero"/>
    <n v="-3.619455958088125E-3"/>
    <s v="CohortAvg"/>
    <n v="-5.4802839771692948E-5"/>
    <s v="CohortAvg"/>
    <n v="0"/>
    <n v="-44302.720000000001"/>
    <n v="-24152.43"/>
    <n v="22894.87"/>
    <n v="0"/>
    <n v="0.66"/>
    <n v="-5779.43"/>
    <n v="-87.51"/>
    <n v="1551207.23"/>
    <n v="0.14697499999999999"/>
    <n v="0.99739999999999995"/>
    <n v="0.146592"/>
    <s v="CohortTrend+Seasonal(0.997)"/>
    <n v="227395.09"/>
    <n v="207140.31"/>
    <n v="20254.78"/>
    <x v="0"/>
    <n v="0"/>
    <n v="0.78500000000000003"/>
    <n v="0.24"/>
    <n v="0"/>
    <n v="0"/>
    <n v="0"/>
    <n v="207140.31"/>
    <n v="1596768.16"/>
    <n v="0.12972500000000001"/>
    <n v="20254.78"/>
    <n v="20255.43"/>
    <n v="0"/>
    <n v="20255.43"/>
    <n v="1530951.8"/>
    <s v="Forecast"/>
  </r>
  <r>
    <x v="10"/>
    <x v="2"/>
    <s v="202407"/>
    <n v="25"/>
    <n v="2982827.4"/>
    <n v="-2.7291952518367531E-2"/>
    <s v="CohortAvg"/>
    <n v="-1.5643922870583991E-2"/>
    <s v="CohortAvg"/>
    <n v="0.1759917244919714"/>
    <s v="CohortAvg"/>
    <n v="3.1367178314920682E-2"/>
    <s v="CohortAvg_NonZero"/>
    <n v="6.6315861010932046E-6"/>
    <s v="CohortAvg"/>
    <n v="0"/>
    <s v="Zero"/>
    <n v="-4.9378363983947236E-3"/>
    <s v="CohortAvg"/>
    <n v="-4.1713473374291912E-5"/>
    <s v="CohortAvg"/>
    <n v="0"/>
    <n v="-81407.179999999993"/>
    <n v="-46663.12"/>
    <n v="43746.080000000002"/>
    <n v="0"/>
    <n v="19.78"/>
    <n v="-14728.71"/>
    <n v="-124.42"/>
    <n v="2898483.4"/>
    <n v="0.124704"/>
    <n v="0.99739999999999995"/>
    <n v="0.124379"/>
    <s v="CohortTrend+Seasonal(0.997)"/>
    <n v="360510.94"/>
    <n v="327035.81"/>
    <n v="33475.129999999997"/>
    <x v="0"/>
    <n v="0"/>
    <n v="0.78500000000000003"/>
    <n v="0.24"/>
    <n v="0"/>
    <n v="0"/>
    <n v="0"/>
    <n v="327035.81"/>
    <n v="2982827.4"/>
    <n v="0.10964"/>
    <n v="33475.129999999997"/>
    <n v="33494.910000000003"/>
    <n v="0"/>
    <n v="33494.910000000003"/>
    <n v="2864988.49"/>
    <s v="Forecast"/>
  </r>
  <r>
    <x v="10"/>
    <x v="2"/>
    <s v="202408"/>
    <n v="24"/>
    <n v="2152816.7599999998"/>
    <n v="-2.4112757333238321E-2"/>
    <s v="CohortAvg"/>
    <n v="-1.6477389332639279E-2"/>
    <s v="CohortAvg"/>
    <n v="0.18812920033177141"/>
    <s v="CohortAvg"/>
    <n v="2.1372169153177509E-2"/>
    <s v="CohortAvg_NonZero"/>
    <n v="1.662048418146864E-7"/>
    <s v="CohortAvg"/>
    <n v="0"/>
    <s v="Zero"/>
    <n v="-2.472364685592959E-3"/>
    <s v="CohortAvg"/>
    <n v="-2.6387899349320791E-5"/>
    <s v="CohortAvg"/>
    <n v="0"/>
    <n v="-51910.35"/>
    <n v="-35472.800000000003"/>
    <n v="33750.639999999999"/>
    <n v="0"/>
    <n v="0.36"/>
    <n v="-5322.55"/>
    <n v="-56.81"/>
    <n v="2099183.89"/>
    <n v="0.122632"/>
    <n v="0.99739999999999995"/>
    <n v="0.122312"/>
    <s v="CohortTrend+Seasonal(0.997)"/>
    <n v="256755.8"/>
    <n v="230439.2"/>
    <n v="26316.6"/>
    <x v="0"/>
    <n v="0"/>
    <n v="0.78500000000000003"/>
    <n v="0.24"/>
    <n v="0"/>
    <n v="0"/>
    <n v="0"/>
    <n v="230439.2"/>
    <n v="2152816.7599999998"/>
    <n v="0.107041"/>
    <n v="26316.6"/>
    <n v="26316.959999999999"/>
    <n v="0"/>
    <n v="26316.959999999999"/>
    <n v="2072866.93"/>
    <s v="Forecast"/>
  </r>
  <r>
    <x v="10"/>
    <x v="2"/>
    <s v="202409"/>
    <n v="23"/>
    <n v="1966574.02"/>
    <n v="-3.2568415241875988E-2"/>
    <s v="CohortAvg"/>
    <n v="-1.6743862439382709E-2"/>
    <s v="CohortAvg"/>
    <n v="0.18534897126212091"/>
    <s v="CohortAvg"/>
    <n v="3.4576238073601953E-2"/>
    <s v="CohortAvg_NonZero"/>
    <n v="7.5836147909264238E-6"/>
    <s v="CohortAvg"/>
    <n v="0"/>
    <s v="Zero"/>
    <n v="-1.182451609664832E-2"/>
    <s v="CohortAvg"/>
    <n v="-9.5935396652615344E-5"/>
    <s v="CohortAvg"/>
    <n v="0"/>
    <n v="-64048.2"/>
    <n v="-32928.04"/>
    <n v="30375.21"/>
    <n v="0"/>
    <n v="14.91"/>
    <n v="-23253.79"/>
    <n v="-188.66"/>
    <n v="1899958.07"/>
    <n v="0.107543"/>
    <n v="0.99739999999999995"/>
    <n v="0.107263"/>
    <s v="CohortTrend+Seasonal(0.997)"/>
    <n v="203794.61"/>
    <n v="184605.47"/>
    <n v="19189.14"/>
    <x v="0"/>
    <n v="0"/>
    <n v="0.78500000000000003"/>
    <n v="0.24"/>
    <n v="0"/>
    <n v="0"/>
    <n v="0"/>
    <n v="184605.47"/>
    <n v="1966574.02"/>
    <n v="9.3871999999999997E-2"/>
    <n v="19189.14"/>
    <n v="19204.060000000001"/>
    <n v="0"/>
    <n v="19204.060000000001"/>
    <n v="1880754.01"/>
    <s v="Forecast"/>
  </r>
  <r>
    <x v="10"/>
    <x v="2"/>
    <s v="202410"/>
    <n v="22"/>
    <n v="1847571.99"/>
    <n v="-4.0326672577147393E-2"/>
    <s v="CohortAvg"/>
    <n v="-1.6700310730410471E-2"/>
    <s v="CohortAvg"/>
    <n v="0.18218381297408601"/>
    <s v="CohortAvg"/>
    <n v="2.8842916707262072E-2"/>
    <s v="CohortAvg_NonZero"/>
    <n v="7.5994430869766443E-7"/>
    <s v="CohortAvg"/>
    <n v="0"/>
    <s v="Zero"/>
    <n v="-7.4822437390449081E-3"/>
    <s v="CohortAvg"/>
    <n v="-1.121297869630324E-4"/>
    <s v="CohortAvg"/>
    <n v="0"/>
    <n v="-74506.429999999993"/>
    <n v="-30855.03"/>
    <n v="28049.81"/>
    <n v="0"/>
    <n v="1.4"/>
    <n v="-13823.98"/>
    <n v="-207.17"/>
    <n v="1770258.94"/>
    <n v="0.100063"/>
    <n v="0.99739999999999995"/>
    <n v="9.9803000000000003E-2"/>
    <s v="CohortTrend+Seasonal(0.997)"/>
    <n v="176676.5"/>
    <n v="162204.32999999999"/>
    <n v="14472.18"/>
    <x v="0"/>
    <n v="0"/>
    <n v="0.78500000000000003"/>
    <n v="0.24"/>
    <n v="0"/>
    <n v="0"/>
    <n v="0"/>
    <n v="162204.32999999999"/>
    <n v="1847571.99"/>
    <n v="8.7792999999999996E-2"/>
    <n v="14472.18"/>
    <n v="14473.58"/>
    <n v="0"/>
    <n v="14473.58"/>
    <n v="1755785.36"/>
    <s v="Forecast"/>
  </r>
  <r>
    <x v="10"/>
    <x v="2"/>
    <s v="202411"/>
    <n v="21"/>
    <n v="2117159.89"/>
    <n v="-3.6920173000460417E-2"/>
    <s v="CohortAvg"/>
    <n v="-1.7536171064467049E-2"/>
    <s v="CohortAvg"/>
    <n v="0.19027596964154919"/>
    <s v="CohortAvg"/>
    <n v="2.148280738213736E-2"/>
    <s v="CohortAvg_NonZero"/>
    <n v="2.0794908057332372E-6"/>
    <s v="CohortAvg"/>
    <n v="0"/>
    <s v="Zero"/>
    <n v="-1.10480996099821E-2"/>
    <s v="CohortAvg"/>
    <n v="-9.7158955829533924E-5"/>
    <s v="CohortAvg"/>
    <n v="0"/>
    <n v="-78165.91"/>
    <n v="-37126.879999999997"/>
    <n v="33570.39"/>
    <n v="0"/>
    <n v="4.4000000000000004"/>
    <n v="-23390.59"/>
    <n v="-205.7"/>
    <n v="2035433.09"/>
    <n v="9.6129000000000006E-2"/>
    <n v="0.99739999999999995"/>
    <n v="9.5879000000000006E-2"/>
    <s v="CohortTrend+Seasonal(0.997)"/>
    <n v="195154.71"/>
    <n v="176330.95"/>
    <n v="18823.759999999998"/>
    <x v="0"/>
    <n v="0"/>
    <n v="0.78500000000000003"/>
    <n v="0.24"/>
    <n v="0"/>
    <n v="0"/>
    <n v="0"/>
    <n v="176330.95"/>
    <n v="2117159.89"/>
    <n v="8.3287E-2"/>
    <n v="18823.759999999998"/>
    <n v="18828.169999999998"/>
    <n v="0"/>
    <n v="18828.169999999998"/>
    <n v="2016604.92"/>
    <s v="Forecast"/>
  </r>
  <r>
    <x v="10"/>
    <x v="2"/>
    <s v="202412"/>
    <n v="20"/>
    <n v="1973063.8"/>
    <n v="-2.030033044050009E-2"/>
    <s v="CohortAvg"/>
    <n v="-1.6652406133819669E-2"/>
    <s v="CohortAvg"/>
    <n v="0.1897150403747003"/>
    <s v="CohortAvg"/>
    <n v="2.7958956448802572E-2"/>
    <s v="CohortAvg_NonZero"/>
    <n v="4.8116289684571637E-7"/>
    <s v="CohortAvg"/>
    <n v="0"/>
    <s v="Zero"/>
    <n v="-1.0597341674635869E-2"/>
    <s v="CohortAvg"/>
    <n v="-7.429095198820781E-5"/>
    <s v="CohortAvg"/>
    <n v="0"/>
    <n v="-40053.85"/>
    <n v="-32856.26"/>
    <n v="31193.32"/>
    <n v="0"/>
    <n v="0.95"/>
    <n v="-20909.23"/>
    <n v="-146.58000000000001"/>
    <n v="1931346.07"/>
    <n v="8.2781999999999994E-2"/>
    <n v="0.99739999999999995"/>
    <n v="8.2566000000000001E-2"/>
    <s v="CohortTrend+Seasonal(0.997)"/>
    <n v="159463.39000000001"/>
    <n v="172336.69"/>
    <n v="-12873.29"/>
    <x v="0"/>
    <n v="0"/>
    <n v="0.78500000000000003"/>
    <n v="0.24"/>
    <n v="0"/>
    <n v="0"/>
    <n v="0"/>
    <n v="172336.69"/>
    <n v="1973063.8"/>
    <n v="8.7345000000000006E-2"/>
    <n v="-12873.29"/>
    <n v="-12872.34"/>
    <n v="0"/>
    <n v="-12872.34"/>
    <n v="1944218.41"/>
    <s v="Forecast"/>
  </r>
  <r>
    <x v="10"/>
    <x v="2"/>
    <s v="202501"/>
    <n v="19"/>
    <n v="3465026.34"/>
    <n v="-3.0347005176655058E-2"/>
    <s v="CohortAvg"/>
    <n v="-1.751812632105966E-2"/>
    <s v="CohortAvg"/>
    <n v="0.19107370623887029"/>
    <s v="CohortAvg"/>
    <n v="1.5357936614815149E-2"/>
    <s v="CohortAvg_NonZero"/>
    <n v="2.071825845298891E-5"/>
    <s v="CohortAvg"/>
    <n v="0"/>
    <s v="Zero"/>
    <n v="-1.8733434916906329E-2"/>
    <s v="CohortAvg"/>
    <n v="-1.5351509708101359E-4"/>
    <s v="CohortAvg"/>
    <n v="0"/>
    <n v="-105153.17"/>
    <n v="-60700.77"/>
    <n v="55172.95"/>
    <n v="0"/>
    <n v="71.790000000000006"/>
    <n v="-64911.85"/>
    <n v="-531.92999999999995"/>
    <n v="3354273.56"/>
    <n v="9.6042000000000002E-2"/>
    <n v="0.99739999999999995"/>
    <n v="9.5792000000000002E-2"/>
    <s v="DonorCohort:202101+Seasonal(0.997)"/>
    <n v="321312.65999999997"/>
    <n v="261541.93"/>
    <n v="59770.73"/>
    <x v="0"/>
    <n v="0"/>
    <n v="0.78500000000000003"/>
    <n v="0.24"/>
    <n v="0"/>
    <n v="0"/>
    <n v="0"/>
    <n v="261541.93"/>
    <n v="3465026.34"/>
    <n v="7.5481000000000006E-2"/>
    <n v="59770.73"/>
    <n v="59842.51"/>
    <n v="0"/>
    <n v="59842.51"/>
    <n v="3294431.05"/>
    <s v="Forecast"/>
  </r>
  <r>
    <x v="10"/>
    <x v="2"/>
    <s v="202502"/>
    <n v="18"/>
    <n v="3545164.82"/>
    <n v="-3.4003355963651477E-2"/>
    <s v="CohortAvg"/>
    <n v="-1.7633871883994609E-2"/>
    <s v="CohortAvg"/>
    <n v="0.1975130648907899"/>
    <s v="CohortAvg"/>
    <n v="7.9645373695133598E-3"/>
    <s v="CohortAvg_NonZero"/>
    <n v="0"/>
    <s v="CohortAvg"/>
    <n v="0"/>
    <s v="Zero"/>
    <n v="-3.3811458611605137E-2"/>
    <s v="CohortAvg"/>
    <n v="-3.0910869874537709E-4"/>
    <s v="CohortAvg"/>
    <n v="0"/>
    <n v="-120547.5"/>
    <n v="-62514.98"/>
    <n v="58351.360000000001"/>
    <n v="0"/>
    <n v="0"/>
    <n v="-119867.19"/>
    <n v="-1095.8399999999999"/>
    <n v="3420453.7"/>
    <n v="8.2997000000000001E-2"/>
    <n v="0.99739999999999995"/>
    <n v="8.2780000000000006E-2"/>
    <s v="DonorCohort:202101+Seasonal(0.997)"/>
    <n v="283146.53999999998"/>
    <n v="249732.29"/>
    <n v="33414.25"/>
    <x v="0"/>
    <n v="0"/>
    <n v="0.78500000000000003"/>
    <n v="0.24"/>
    <n v="0"/>
    <n v="0"/>
    <n v="0"/>
    <n v="249732.29"/>
    <n v="3545164.82"/>
    <n v="7.0443000000000006E-2"/>
    <n v="33414.25"/>
    <n v="33414.25"/>
    <n v="0"/>
    <n v="33414.25"/>
    <n v="3387039.45"/>
    <s v="Forecast"/>
  </r>
  <r>
    <x v="10"/>
    <x v="2"/>
    <s v="202503"/>
    <n v="17"/>
    <n v="4775288.72"/>
    <n v="-2.274649694431833E-2"/>
    <s v="CohortAvg"/>
    <n v="-1.697646143999534E-2"/>
    <s v="CohortAvg"/>
    <n v="0.20116371386598961"/>
    <s v="CohortAvg"/>
    <n v="7.1848262480383477E-3"/>
    <s v="CohortAvg_NonZero"/>
    <n v="2.8799443096757289E-8"/>
    <s v="CohortAvg"/>
    <n v="0"/>
    <s v="Zero"/>
    <n v="0"/>
    <s v="CohortAvg"/>
    <n v="0"/>
    <s v="CohortAvg"/>
    <n v="0"/>
    <n v="-108621.09"/>
    <n v="-81067.5"/>
    <n v="80051.23"/>
    <n v="0"/>
    <n v="0.14000000000000001"/>
    <n v="0"/>
    <n v="0"/>
    <n v="4665651.22"/>
    <n v="7.7456999999999998E-2"/>
    <n v="0.99739999999999995"/>
    <n v="7.7256000000000005E-2"/>
    <s v="DonorCohort:202101+Seasonal(0.997)"/>
    <n v="360448.55"/>
    <n v="329844.56"/>
    <n v="30603.99"/>
    <x v="0"/>
    <n v="0"/>
    <n v="0.78500000000000003"/>
    <n v="0.24"/>
    <n v="0"/>
    <n v="0"/>
    <n v="0"/>
    <n v="329844.56"/>
    <n v="4775288.72"/>
    <n v="6.9072999999999996E-2"/>
    <n v="30603.99"/>
    <n v="30604.12"/>
    <n v="0"/>
    <n v="30604.12"/>
    <n v="4635047.09"/>
    <s v="Forecast"/>
  </r>
  <r>
    <x v="10"/>
    <x v="2"/>
    <s v="202504"/>
    <n v="16"/>
    <n v="6009853.6799999997"/>
    <n v="-2.4590051076194809E-2"/>
    <s v="CohortAvg"/>
    <n v="-1.6893793077478889E-2"/>
    <s v="CohortAvg"/>
    <n v="0.1964083014944128"/>
    <s v="CohortAvg"/>
    <n v="3.260907177009143E-3"/>
    <s v="CohortAvg_NonZero"/>
    <n v="0"/>
    <s v="CohortAvg"/>
    <n v="0"/>
    <s v="Zero"/>
    <n v="0"/>
    <s v="CohortAvg"/>
    <n v="0"/>
    <s v="CohortAvg"/>
    <n v="0"/>
    <n v="-147782.60999999999"/>
    <n v="-101529.22"/>
    <n v="98365.43"/>
    <n v="0"/>
    <n v="0"/>
    <n v="0"/>
    <n v="0"/>
    <n v="5858907.2800000003"/>
    <n v="7.5951000000000005E-2"/>
    <n v="0.99739999999999995"/>
    <n v="7.5753000000000001E-2"/>
    <s v="DonorCohort:202101+Seasonal(0.997)"/>
    <n v="443832.47"/>
    <n v="372502.45"/>
    <n v="71330.02"/>
    <x v="0"/>
    <n v="0"/>
    <n v="0.78500000000000003"/>
    <n v="0.24"/>
    <n v="0"/>
    <n v="0"/>
    <n v="0"/>
    <n v="372502.45"/>
    <n v="6009853.6799999997"/>
    <n v="6.1982000000000002E-2"/>
    <n v="71330.02"/>
    <n v="71330.02"/>
    <n v="0"/>
    <n v="71330.02"/>
    <n v="5787577.2599999998"/>
    <s v="Forecast"/>
  </r>
  <r>
    <x v="10"/>
    <x v="2"/>
    <s v="202505"/>
    <n v="15"/>
    <n v="5855011.8099999996"/>
    <n v="-2.6888124299979201E-2"/>
    <s v="CohortAvg"/>
    <n v="-1.6244733002327219E-2"/>
    <s v="CohortAvg"/>
    <n v="0.19004117482847521"/>
    <s v="CohortAvg"/>
    <n v="0"/>
    <s v="CohortAvg_NoData_ERROR"/>
    <n v="0"/>
    <s v="CohortAvg"/>
    <n v="0"/>
    <s v="Zero"/>
    <n v="0"/>
    <s v="CohortAvg"/>
    <n v="0"/>
    <s v="CohortAvg"/>
    <n v="0"/>
    <n v="-157430.29"/>
    <n v="-95113.1"/>
    <n v="92724.44"/>
    <n v="0"/>
    <n v="0"/>
    <n v="0"/>
    <n v="0"/>
    <n v="5695192.8700000001"/>
    <n v="6.8154000000000006E-2"/>
    <n v="0.99739999999999995"/>
    <n v="6.7975999999999995E-2"/>
    <s v="DonorCohort:202101+Seasonal(0.997)"/>
    <n v="387138.55"/>
    <n v="298305.73"/>
    <n v="88832.82"/>
    <x v="0"/>
    <n v="0"/>
    <n v="0.78500000000000003"/>
    <n v="0.24"/>
    <n v="0"/>
    <n v="0"/>
    <n v="0"/>
    <n v="298305.73"/>
    <n v="5855011.8099999996"/>
    <n v="5.0949000000000001E-2"/>
    <n v="88832.82"/>
    <n v="88832.82"/>
    <n v="0"/>
    <n v="88832.82"/>
    <n v="5606360.0499999998"/>
    <s v="Forecast"/>
  </r>
  <r>
    <x v="10"/>
    <x v="2"/>
    <s v="202506"/>
    <n v="14"/>
    <n v="6133592.6900000004"/>
    <n v="-1.954006235303643E-2"/>
    <s v="CohortAvg"/>
    <n v="-1.5825195620573159E-2"/>
    <s v="CohortAvg"/>
    <n v="0.1923789700485421"/>
    <s v="CohortAvg"/>
    <n v="0"/>
    <s v="CohortAvg_NoData_ERROR"/>
    <n v="0"/>
    <s v="CohortAvg"/>
    <n v="0"/>
    <s v="Zero"/>
    <n v="0"/>
    <s v="CohortAvg"/>
    <n v="0"/>
    <s v="CohortAvg"/>
    <n v="0"/>
    <n v="-119850.78"/>
    <n v="-97065.3"/>
    <n v="98331.19"/>
    <n v="0"/>
    <n v="0"/>
    <n v="0"/>
    <n v="0"/>
    <n v="6015007.79"/>
    <n v="5.6022000000000002E-2"/>
    <n v="0.99739999999999995"/>
    <n v="5.5876000000000002E-2"/>
    <s v="DonorCohort:202101+Seasonal(0.997)"/>
    <n v="336095.54"/>
    <n v="284336.21000000002"/>
    <n v="51759.33"/>
    <x v="0"/>
    <n v="0"/>
    <n v="0.78500000000000003"/>
    <n v="0.24"/>
    <n v="0"/>
    <n v="0"/>
    <n v="0"/>
    <n v="284336.21000000002"/>
    <n v="6133592.6900000004"/>
    <n v="4.6357000000000002E-2"/>
    <n v="51759.33"/>
    <n v="51759.33"/>
    <n v="0"/>
    <n v="51759.33"/>
    <n v="5963248.46"/>
    <s v="Forecast"/>
  </r>
  <r>
    <x v="10"/>
    <x v="2"/>
    <s v="202507"/>
    <n v="13"/>
    <n v="7765836.9900000002"/>
    <n v="-1.5685891324567901E-2"/>
    <s v="CohortAvg"/>
    <n v="-1.6485777232437989E-2"/>
    <s v="CohortAvg"/>
    <n v="0.18164479702648509"/>
    <s v="CohortAvg"/>
    <n v="0"/>
    <s v="CohortAvg_NoData_ERROR"/>
    <n v="0"/>
    <s v="CohortAvg"/>
    <n v="0"/>
    <s v="Zero"/>
    <n v="0"/>
    <s v="CohortAvg"/>
    <n v="0"/>
    <s v="CohortAvg"/>
    <n v="0"/>
    <n v="-121814.08"/>
    <n v="-128025.86"/>
    <n v="117551.99"/>
    <n v="0"/>
    <n v="0"/>
    <n v="0"/>
    <n v="0"/>
    <n v="7633549.0499999998"/>
    <n v="5.0972999999999997E-2"/>
    <n v="0.99739999999999995"/>
    <n v="5.0840999999999997E-2"/>
    <s v="DonorCohort:202101+Seasonal(0.997)"/>
    <n v="388093.61"/>
    <n v="324919.64"/>
    <n v="63173.97"/>
    <x v="0"/>
    <n v="0"/>
    <n v="0.78500000000000003"/>
    <n v="0.24"/>
    <n v="0"/>
    <n v="0"/>
    <n v="0"/>
    <n v="324919.64"/>
    <n v="7765836.9900000002"/>
    <n v="4.1840000000000002E-2"/>
    <n v="63173.97"/>
    <n v="63173.97"/>
    <n v="0"/>
    <n v="63173.97"/>
    <n v="7570375.0800000001"/>
    <s v="Forecast"/>
  </r>
  <r>
    <x v="10"/>
    <x v="2"/>
    <s v="202508"/>
    <n v="12"/>
    <n v="6915823.71"/>
    <n v="-1.8768450425488029E-2"/>
    <s v="CohortAvg"/>
    <n v="-1.1481035593594461E-2"/>
    <s v="CohortAvg"/>
    <n v="0.18094549345893629"/>
    <s v="CohortAvg"/>
    <n v="0"/>
    <s v="CohortAvg_NoData_ERROR"/>
    <n v="3.3479898781708518E-5"/>
    <s v="CohortAvg"/>
    <n v="0"/>
    <s v="Zero"/>
    <n v="0"/>
    <s v="CohortAvg"/>
    <n v="0"/>
    <s v="CohortAvg"/>
    <n v="0"/>
    <n v="-129799.29"/>
    <n v="-79400.820000000007"/>
    <n v="104282.26"/>
    <n v="0"/>
    <n v="231.54"/>
    <n v="0"/>
    <n v="0"/>
    <n v="6810674.3200000003"/>
    <n v="4.6005999999999998E-2"/>
    <n v="0.99739999999999995"/>
    <n v="4.5886000000000003E-2"/>
    <s v="DonorCohort:202101+Seasonal(0.997)"/>
    <n v="312514.77"/>
    <n v="249368.98"/>
    <n v="63145.79"/>
    <x v="0"/>
    <n v="0"/>
    <n v="0.78500000000000003"/>
    <n v="0.24"/>
    <n v="0"/>
    <n v="0"/>
    <n v="0"/>
    <n v="249368.98"/>
    <n v="6915823.71"/>
    <n v="3.6058E-2"/>
    <n v="63145.79"/>
    <n v="63377.33"/>
    <n v="0"/>
    <n v="63377.33"/>
    <n v="6747296.9900000002"/>
    <s v="Forecast"/>
  </r>
  <r>
    <x v="10"/>
    <x v="2"/>
    <s v="202509"/>
    <n v="11"/>
    <n v="2730841.48"/>
    <n v="-0.2456439232263232"/>
    <s v="CohortAvg"/>
    <n v="-3.013934460794564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670814.61"/>
    <n v="-82305.77"/>
    <n v="113785.06"/>
    <n v="0"/>
    <n v="0"/>
    <n v="0"/>
    <n v="0"/>
    <n v="2091506.15"/>
    <n v="3.9648000000000003E-2"/>
    <n v="0.99739999999999995"/>
    <n v="3.9544999999999997E-2"/>
    <s v="DonorCohort:202101+Seasonal(0.997)"/>
    <n v="82708.55"/>
    <n v="81714.11"/>
    <n v="994.44"/>
    <x v="0"/>
    <n v="0"/>
    <n v="0.78500000000000003"/>
    <n v="0.24"/>
    <n v="0"/>
    <n v="0"/>
    <n v="0"/>
    <n v="81714.11"/>
    <n v="2730841.48"/>
    <n v="2.9923000000000002E-2"/>
    <n v="994.44"/>
    <n v="994.44"/>
    <n v="0"/>
    <n v="994.44"/>
    <n v="2090511.71"/>
    <s v="Forecast"/>
  </r>
  <r>
    <x v="10"/>
    <x v="3"/>
    <s v="201912"/>
    <n v="80"/>
    <n v="51133.71"/>
    <n v="-6.9554095439032021E-3"/>
    <s v="CohortAvg"/>
    <n v="-6.451933122623082E-4"/>
    <s v="CohortAvg"/>
    <n v="0"/>
    <s v="CohortAvg"/>
    <n v="3.0387012502699411E-2"/>
    <s v="CohortAvg_NonZero"/>
    <n v="5.3527294586983856E-7"/>
    <s v="CohortAvg"/>
    <n v="0"/>
    <s v="Zero"/>
    <n v="0"/>
    <s v="CohortAvg"/>
    <n v="0"/>
    <s v="CohortAvg"/>
    <n v="0"/>
    <n v="-355.66"/>
    <n v="-32.99"/>
    <n v="0"/>
    <n v="0"/>
    <n v="0.03"/>
    <n v="0"/>
    <n v="0"/>
    <n v="50745.04"/>
    <n v="0.98807400000000001"/>
    <n v="0.97"/>
    <n v="0.95843500000000004"/>
    <s v="CohortAvg+Seasonal(0.970)"/>
    <n v="48635.82"/>
    <n v="45970.96"/>
    <n v="2664.86"/>
    <x v="0"/>
    <n v="0"/>
    <n v="0.78500000000000003"/>
    <n v="0.24"/>
    <n v="0"/>
    <n v="0"/>
    <n v="0"/>
    <n v="45970.96"/>
    <n v="51133.71"/>
    <n v="0.899034"/>
    <n v="2664.86"/>
    <n v="2664.88"/>
    <n v="0"/>
    <n v="2664.88"/>
    <n v="48080.15"/>
    <s v="Forecast"/>
  </r>
  <r>
    <x v="10"/>
    <x v="3"/>
    <s v="202001"/>
    <n v="79"/>
    <n v="7.13"/>
    <n v="-0.5"/>
    <s v="CohortAvg"/>
    <n v="-1.4365796516673611E-5"/>
    <s v="CohortAvg"/>
    <n v="0"/>
    <s v="CohortAvg"/>
    <n v="1.8061490252425549E-2"/>
    <s v="CohortAvg_NonZero"/>
    <n v="0"/>
    <s v="CohortAvg"/>
    <n v="0"/>
    <s v="Zero"/>
    <n v="0"/>
    <s v="CohortAvg"/>
    <n v="0"/>
    <s v="CohortAvg"/>
    <n v="0"/>
    <n v="-3.56"/>
    <n v="0"/>
    <n v="0"/>
    <n v="0"/>
    <n v="0"/>
    <n v="0"/>
    <n v="0"/>
    <n v="3.56"/>
    <n v="0.82098499999999996"/>
    <n v="0.97"/>
    <n v="0.79635800000000001"/>
    <s v="CohortAvg+Seasonal(0.970)"/>
    <n v="2.84"/>
    <n v="5.33"/>
    <n v="-2.4900000000000002"/>
    <x v="0"/>
    <n v="0"/>
    <n v="0.78500000000000003"/>
    <n v="0.24"/>
    <n v="0"/>
    <n v="0"/>
    <n v="0"/>
    <n v="5.33"/>
    <n v="7.13"/>
    <n v="0.74766699999999997"/>
    <n v="-2.4900000000000002"/>
    <n v="-2.4900000000000002"/>
    <n v="0"/>
    <n v="-2.4900000000000002"/>
    <n v="6.05"/>
    <s v="Forecast"/>
  </r>
  <r>
    <x v="10"/>
    <x v="3"/>
    <s v="202101"/>
    <n v="67"/>
    <n v="711240.36"/>
    <n v="-0.1053997582616303"/>
    <s v="CohortAvg"/>
    <n v="-8.21556294136753E-3"/>
    <s v="CohortAvg"/>
    <n v="0.1093454409501376"/>
    <s v="CohortAvg"/>
    <n v="6.0676679051051277E-3"/>
    <s v="CohortAvg_NonZero"/>
    <n v="0"/>
    <s v="CohortAvg"/>
    <n v="0"/>
    <s v="Zero"/>
    <n v="-1.3003336369650159E-4"/>
    <s v="CohortAvg"/>
    <n v="-1.3780464625779401E-6"/>
    <s v="CohortAvg"/>
    <n v="0"/>
    <n v="-74964.56"/>
    <n v="-5843.24"/>
    <n v="6480.91"/>
    <n v="0"/>
    <n v="0"/>
    <n v="-92.48"/>
    <n v="-0.98"/>
    <n v="636913.47"/>
    <n v="0.276308"/>
    <n v="0.97"/>
    <n v="0.26801999999999998"/>
    <s v="CohortAvg+Seasonal(0.970)"/>
    <n v="170705.5"/>
    <n v="178883.47"/>
    <n v="-8177.97"/>
    <x v="0"/>
    <n v="0"/>
    <n v="0.78500000000000003"/>
    <n v="0.24"/>
    <n v="0"/>
    <n v="0"/>
    <n v="0"/>
    <n v="178883.47"/>
    <n v="711240.36"/>
    <n v="0.25150899999999998"/>
    <n v="-8177.97"/>
    <n v="-8177.97"/>
    <n v="0"/>
    <n v="-8177.97"/>
    <n v="645091.43000000005"/>
    <s v="Forecast"/>
  </r>
  <r>
    <x v="10"/>
    <x v="3"/>
    <s v="202201"/>
    <n v="47"/>
    <n v="165055.71"/>
    <n v="-8.8817749574405871E-2"/>
    <s v="CohortAvg"/>
    <n v="-1.039593129068452E-2"/>
    <s v="CohortAvg"/>
    <n v="0.1128772507069719"/>
    <s v="CohortAvg"/>
    <n v="3.2968818474126298E-2"/>
    <s v="CohortAvg_NonZero"/>
    <n v="8.8829522058692188E-4"/>
    <s v="CohortAvg"/>
    <n v="0"/>
    <s v="Zero"/>
    <n v="-1.368072957115086E-4"/>
    <s v="CohortAvg"/>
    <n v="-1.168948956638445E-6"/>
    <s v="CohortAvg"/>
    <n v="0"/>
    <n v="-14659.88"/>
    <n v="-1715.91"/>
    <n v="1552.59"/>
    <n v="0"/>
    <n v="146.62"/>
    <n v="-22.58"/>
    <n v="-0.19"/>
    <n v="150085.89000000001"/>
    <n v="0.30417899999999998"/>
    <n v="0.97"/>
    <n v="0.29505399999999998"/>
    <s v="CohortAvg+Seasonal(0.970)"/>
    <n v="44283.45"/>
    <n v="45551.79"/>
    <n v="-1268.3399999999999"/>
    <x v="0"/>
    <n v="0"/>
    <n v="0.78500000000000003"/>
    <n v="0.24"/>
    <n v="0"/>
    <n v="0"/>
    <n v="0"/>
    <n v="45551.79"/>
    <n v="165055.71"/>
    <n v="0.275978"/>
    <n v="-1268.3399999999999"/>
    <n v="-1121.73"/>
    <n v="0"/>
    <n v="-1121.73"/>
    <n v="151207.62"/>
    <s v="Forecast"/>
  </r>
  <r>
    <x v="10"/>
    <x v="3"/>
    <s v="202301"/>
    <n v="38"/>
    <n v="2156844.44"/>
    <n v="-6.9909599577743689E-2"/>
    <s v="CohortAvg"/>
    <n v="-1.613951064029075E-2"/>
    <s v="CohortAvg"/>
    <n v="0.19087785430208351"/>
    <s v="CohortAvg"/>
    <n v="2.4981106290682269E-2"/>
    <s v="CohortAvg_NonZero"/>
    <n v="3.266026644943451E-6"/>
    <s v="CohortAvg"/>
    <n v="0"/>
    <s v="Zero"/>
    <n v="-2.442298442908815E-3"/>
    <s v="CohortAvg"/>
    <n v="-1.520009583171407E-5"/>
    <s v="CohortAvg"/>
    <n v="0"/>
    <n v="-150784.13"/>
    <n v="-34810.410000000003"/>
    <n v="34307.82"/>
    <n v="0"/>
    <n v="7.04"/>
    <n v="-5267.66"/>
    <n v="-32.78"/>
    <n v="2005550.67"/>
    <n v="0.28694399999999998"/>
    <n v="0.97"/>
    <n v="0.27833599999999997"/>
    <s v="CohortTrend+Seasonal(0.970)"/>
    <n v="558217.48"/>
    <n v="546213.22"/>
    <n v="12004.27"/>
    <x v="0"/>
    <n v="0"/>
    <n v="0.78500000000000003"/>
    <n v="0.24"/>
    <n v="0"/>
    <n v="0"/>
    <n v="0"/>
    <n v="546213.22"/>
    <n v="2156844.44"/>
    <n v="0.25324600000000003"/>
    <n v="12004.27"/>
    <n v="12011.31"/>
    <n v="0"/>
    <n v="12011.31"/>
    <n v="1993539.36"/>
    <s v="Forecast"/>
  </r>
  <r>
    <x v="10"/>
    <x v="3"/>
    <s v="202404"/>
    <n v="28"/>
    <n v="559780.43999999994"/>
    <n v="-4.9969385602083277E-2"/>
    <s v="CohortAvg"/>
    <n v="-1.7536974372114451E-2"/>
    <s v="CohortAvg"/>
    <n v="0.19147259325836649"/>
    <s v="CohortAvg"/>
    <n v="6.266180187718795E-2"/>
    <s v="CohortAvg_NonZero"/>
    <n v="1.5986512190757999E-6"/>
    <s v="CohortAvg"/>
    <n v="0"/>
    <s v="Zero"/>
    <n v="-1.063931934484144E-2"/>
    <s v="CohortAvg"/>
    <n v="-1.1964563151355811E-4"/>
    <s v="CohortAvg"/>
    <n v="0"/>
    <n v="-27971.88"/>
    <n v="-9816.86"/>
    <n v="8931.8799999999992"/>
    <n v="0"/>
    <n v="0.89"/>
    <n v="-5955.68"/>
    <n v="-66.98"/>
    <n v="530922.68999999994"/>
    <n v="0.17996400000000001"/>
    <n v="0.97"/>
    <n v="0.174565"/>
    <s v="CohortTrend+Seasonal(0.970)"/>
    <n v="92680.58"/>
    <n v="89091.98"/>
    <n v="3588.59"/>
    <x v="0"/>
    <n v="0"/>
    <n v="0.78500000000000003"/>
    <n v="0.24"/>
    <n v="0"/>
    <n v="0"/>
    <n v="0"/>
    <n v="89091.98"/>
    <n v="559780.43999999994"/>
    <n v="0.15915499999999999"/>
    <n v="3588.59"/>
    <n v="3589.49"/>
    <n v="0"/>
    <n v="3589.49"/>
    <n v="527333.21"/>
    <s v="Forecast"/>
  </r>
  <r>
    <x v="10"/>
    <x v="3"/>
    <s v="202405"/>
    <n v="27"/>
    <n v="508432.76"/>
    <n v="-5.2087183375122657E-2"/>
    <s v="CohortAvg"/>
    <n v="-1.7933789303691682E-2"/>
    <s v="CohortAvg"/>
    <n v="0.20002589158424669"/>
    <s v="CohortAvg"/>
    <n v="4.5378804202812213E-2"/>
    <s v="CohortAvg_NonZero"/>
    <n v="1.249709977836503E-6"/>
    <s v="CohortAvg"/>
    <n v="0"/>
    <s v="Zero"/>
    <n v="-1.2089220215309089E-2"/>
    <s v="CohortAvg"/>
    <n v="-1.080909483903562E-4"/>
    <s v="CohortAvg"/>
    <n v="0"/>
    <n v="-26482.83"/>
    <n v="-9118.1299999999992"/>
    <n v="8474.98"/>
    <n v="0"/>
    <n v="0.64"/>
    <n v="-6146.56"/>
    <n v="-54.96"/>
    <n v="481306.14"/>
    <n v="0.14774499999999999"/>
    <n v="0.97"/>
    <n v="0.143313"/>
    <s v="CohortTrend+Seasonal(0.970)"/>
    <n v="68977.64"/>
    <n v="66719.11"/>
    <n v="2258.54"/>
    <x v="0"/>
    <n v="0"/>
    <n v="0.78500000000000003"/>
    <n v="0.24"/>
    <n v="0"/>
    <n v="0"/>
    <n v="0"/>
    <n v="66719.11"/>
    <n v="508432.76"/>
    <n v="0.13122500000000001"/>
    <n v="2258.54"/>
    <n v="2259.17"/>
    <n v="0"/>
    <n v="2259.17"/>
    <n v="479046.97"/>
    <s v="Forecast"/>
  </r>
  <r>
    <x v="10"/>
    <x v="3"/>
    <s v="202406"/>
    <n v="26"/>
    <n v="640872.77"/>
    <n v="-4.8095799891966093E-2"/>
    <s v="CohortAvg"/>
    <n v="-1.8112870781694119E-2"/>
    <s v="CohortAvg"/>
    <n v="0.20268364802031011"/>
    <s v="CohortAvg"/>
    <n v="3.9136270876695099E-2"/>
    <s v="CohortAvg_NonZero"/>
    <n v="9.0934906848198592E-7"/>
    <s v="CohortAvg"/>
    <n v="0"/>
    <s v="Zero"/>
    <n v="-1.394006972344935E-2"/>
    <s v="CohortAvg"/>
    <n v="-1.0747581118421351E-4"/>
    <s v="CohortAvg"/>
    <n v="0"/>
    <n v="-30823.29"/>
    <n v="-11608.05"/>
    <n v="10824.54"/>
    <n v="0"/>
    <n v="0.57999999999999996"/>
    <n v="-8933.81"/>
    <n v="-68.88"/>
    <n v="609265.38"/>
    <n v="0.116573"/>
    <n v="0.97"/>
    <n v="0.113076"/>
    <s v="CohortTrend+Seasonal(0.970)"/>
    <n v="68893.279999999999"/>
    <n v="66419.55"/>
    <n v="2473.73"/>
    <x v="0"/>
    <n v="0"/>
    <n v="0.78500000000000003"/>
    <n v="0.24"/>
    <n v="0"/>
    <n v="0"/>
    <n v="0"/>
    <n v="66419.55"/>
    <n v="640872.77"/>
    <n v="0.103639"/>
    <n v="2473.73"/>
    <n v="2474.31"/>
    <n v="0"/>
    <n v="2474.31"/>
    <n v="606791.06999999995"/>
    <s v="Forecast"/>
  </r>
  <r>
    <x v="10"/>
    <x v="3"/>
    <s v="202407"/>
    <n v="25"/>
    <n v="557336.02"/>
    <n v="-6.730937528140403E-2"/>
    <s v="CohortAvg"/>
    <n v="-1.8930748228993391E-2"/>
    <s v="CohortAvg"/>
    <n v="0.2069194875668087"/>
    <s v="CohortAvg"/>
    <n v="2.6912831579345299E-2"/>
    <s v="CohortAvg_NonZero"/>
    <n v="5.4661791126536239E-6"/>
    <s v="CohortAvg"/>
    <n v="0"/>
    <s v="Zero"/>
    <n v="-1.700177109543527E-2"/>
    <s v="CohortAvg"/>
    <n v="-2.0148232400208911E-4"/>
    <s v="CohortAvg"/>
    <n v="0"/>
    <n v="-37513.94"/>
    <n v="-10550.79"/>
    <n v="9610.31"/>
    <n v="0"/>
    <n v="3.05"/>
    <n v="-9475.7000000000007"/>
    <n v="-112.29"/>
    <n v="518878.55"/>
    <n v="9.6123E-2"/>
    <n v="0.97"/>
    <n v="9.3239000000000002E-2"/>
    <s v="CohortTrend+Seasonal(0.970)"/>
    <n v="48379.97"/>
    <n v="47783.51"/>
    <n v="596.47"/>
    <x v="0"/>
    <n v="0"/>
    <n v="0.78500000000000003"/>
    <n v="0.24"/>
    <n v="0"/>
    <n v="0"/>
    <n v="0"/>
    <n v="47783.51"/>
    <n v="557336.02"/>
    <n v="8.5736000000000007E-2"/>
    <n v="596.47"/>
    <n v="599.51"/>
    <n v="0"/>
    <n v="599.51"/>
    <n v="518279.04"/>
    <s v="Forecast"/>
  </r>
  <r>
    <x v="10"/>
    <x v="3"/>
    <s v="202408"/>
    <n v="24"/>
    <n v="718002.83"/>
    <n v="-4.9684369177019613E-2"/>
    <s v="CohortAvg"/>
    <n v="-1.9261051304618668E-2"/>
    <s v="CohortAvg"/>
    <n v="0.21397973845443391"/>
    <s v="CohortAvg"/>
    <n v="3.1868282970214087E-2"/>
    <s v="CohortAvg_NonZero"/>
    <n v="1.669370237697524E-6"/>
    <s v="CohortAvg"/>
    <n v="0"/>
    <s v="Zero"/>
    <n v="-1.1756322365222539E-2"/>
    <s v="CohortAvg"/>
    <n v="-1.026387849961926E-4"/>
    <s v="CohortAvg"/>
    <n v="0"/>
    <n v="-35673.519999999997"/>
    <n v="-13829.49"/>
    <n v="12803.17"/>
    <n v="0"/>
    <n v="1.2"/>
    <n v="-8441.07"/>
    <n v="-73.69"/>
    <n v="681301.8"/>
    <n v="8.3634E-2"/>
    <n v="0.97"/>
    <n v="8.1126000000000004E-2"/>
    <s v="CohortTrend+Seasonal(0.970)"/>
    <n v="55271.03"/>
    <n v="53771.23"/>
    <n v="1499.8"/>
    <x v="0"/>
    <n v="0"/>
    <n v="0.78500000000000003"/>
    <n v="0.24"/>
    <n v="0"/>
    <n v="0"/>
    <n v="0"/>
    <n v="53771.23"/>
    <n v="718002.83"/>
    <n v="7.4889999999999998E-2"/>
    <n v="1499.8"/>
    <n v="1501"/>
    <n v="0"/>
    <n v="1501"/>
    <n v="679800.8"/>
    <s v="Forecast"/>
  </r>
  <r>
    <x v="10"/>
    <x v="3"/>
    <s v="202409"/>
    <n v="23"/>
    <n v="531973.13"/>
    <n v="-7.3178637107806435E-2"/>
    <s v="CohortAvg"/>
    <n v="-2.0139996085075031E-2"/>
    <s v="CohortAvg"/>
    <n v="0.21063810709597369"/>
    <s v="CohortAvg"/>
    <n v="3.5289418143259907E-2"/>
    <s v="CohortAvg_NonZero"/>
    <n v="1.127310711734242E-6"/>
    <s v="CohortAvg"/>
    <n v="0"/>
    <s v="Zero"/>
    <n v="-1.454318621419487E-2"/>
    <s v="CohortAvg"/>
    <n v="-1.1592438871345859E-4"/>
    <s v="CohortAvg"/>
    <n v="0"/>
    <n v="-38929.07"/>
    <n v="-10713.94"/>
    <n v="9337.82"/>
    <n v="0"/>
    <n v="0.6"/>
    <n v="-7736.58"/>
    <n v="-61.67"/>
    <n v="491667.34"/>
    <n v="7.0673E-2"/>
    <n v="0.97"/>
    <n v="6.8553000000000003E-2"/>
    <s v="CohortTrend+Seasonal(0.970)"/>
    <n v="33705.25"/>
    <n v="33829.26"/>
    <n v="-124.01"/>
    <x v="0"/>
    <n v="0"/>
    <n v="0.78500000000000003"/>
    <n v="0.24"/>
    <n v="0"/>
    <n v="0"/>
    <n v="0"/>
    <n v="33829.26"/>
    <n v="531973.13"/>
    <n v="6.3591999999999996E-2"/>
    <n v="-124.01"/>
    <n v="-123.41"/>
    <n v="0"/>
    <n v="-123.41"/>
    <n v="491790.75"/>
    <s v="Forecast"/>
  </r>
  <r>
    <x v="10"/>
    <x v="3"/>
    <s v="202410"/>
    <n v="22"/>
    <n v="611090.30000000005"/>
    <n v="-4.8417258934574207E-2"/>
    <s v="CohortAvg"/>
    <n v="-1.996424044894124E-2"/>
    <s v="CohortAvg"/>
    <n v="0.21336090294822069"/>
    <s v="CohortAvg"/>
    <n v="3.7168256612792813E-2"/>
    <s v="CohortAvg_NonZero"/>
    <n v="1.384630214782796E-6"/>
    <s v="CohortAvg"/>
    <n v="0"/>
    <s v="Zero"/>
    <n v="-2.0101748652082939E-2"/>
    <s v="CohortAvg"/>
    <n v="-1.667833711888765E-4"/>
    <s v="CohortAvg"/>
    <n v="0"/>
    <n v="-29587.32"/>
    <n v="-12199.95"/>
    <n v="10865.23"/>
    <n v="0"/>
    <n v="0.85"/>
    <n v="-12283.98"/>
    <n v="-101.92"/>
    <n v="580167.41"/>
    <n v="6.5743999999999997E-2"/>
    <n v="0.97"/>
    <n v="6.3771999999999995E-2"/>
    <s v="CohortTrend+Seasonal(0.970)"/>
    <n v="36998.35"/>
    <n v="36178.379999999997"/>
    <n v="819.97"/>
    <x v="0"/>
    <n v="0"/>
    <n v="0.78500000000000003"/>
    <n v="0.24"/>
    <n v="0"/>
    <n v="0"/>
    <n v="0"/>
    <n v="36178.379999999997"/>
    <n v="611090.30000000005"/>
    <n v="5.9202999999999999E-2"/>
    <n v="819.97"/>
    <n v="820.82"/>
    <n v="0"/>
    <n v="820.82"/>
    <n v="579346.59"/>
    <s v="Forecast"/>
  </r>
  <r>
    <x v="10"/>
    <x v="3"/>
    <s v="202411"/>
    <n v="21"/>
    <n v="687702.49"/>
    <n v="-5.2164378587015899E-2"/>
    <s v="CohortAvg"/>
    <n v="-2.0100702698349959E-2"/>
    <s v="CohortAvg"/>
    <n v="0.22320988756623811"/>
    <s v="CohortAvg"/>
    <n v="2.8534812951267651E-2"/>
    <s v="CohortAvg_NonZero"/>
    <n v="3.6965911297433639E-7"/>
    <s v="CohortAvg"/>
    <n v="0"/>
    <s v="Zero"/>
    <n v="-2.4955676865468211E-2"/>
    <s v="CohortAvg"/>
    <n v="-2.3295287183972959E-4"/>
    <s v="CohortAvg"/>
    <n v="0"/>
    <n v="-35873.57"/>
    <n v="-13823.3"/>
    <n v="12791.83"/>
    <n v="0"/>
    <n v="0.25"/>
    <n v="-17162.080000000002"/>
    <n v="-160.19999999999999"/>
    <n v="650797.18999999994"/>
    <n v="6.0218000000000001E-2"/>
    <n v="0.97"/>
    <n v="5.8410999999999998E-2"/>
    <s v="CohortTrend+Seasonal(0.970)"/>
    <n v="38014"/>
    <n v="37194.239999999998"/>
    <n v="819.76"/>
    <x v="0"/>
    <n v="0"/>
    <n v="0.78500000000000003"/>
    <n v="0.24"/>
    <n v="0"/>
    <n v="0"/>
    <n v="0"/>
    <n v="37194.239999999998"/>
    <n v="687702.49"/>
    <n v="5.4085000000000001E-2"/>
    <n v="819.76"/>
    <n v="820.01"/>
    <n v="0"/>
    <n v="820.01"/>
    <n v="649977.18000000005"/>
    <s v="Forecast"/>
  </r>
  <r>
    <x v="10"/>
    <x v="3"/>
    <s v="202412"/>
    <n v="20"/>
    <n v="731279.24"/>
    <n v="-5.0441217343401117E-2"/>
    <s v="CohortAvg"/>
    <n v="-2.0596606817924721E-2"/>
    <s v="CohortAvg"/>
    <n v="0.22245145032748209"/>
    <s v="CohortAvg"/>
    <n v="3.25012403988083E-2"/>
    <s v="CohortAvg_NonZero"/>
    <n v="1.5804505362775179E-6"/>
    <s v="CohortAvg"/>
    <n v="0"/>
    <s v="Zero"/>
    <n v="-4.4512660273415147E-2"/>
    <s v="CohortAvg"/>
    <n v="-4.640467410396098E-4"/>
    <s v="CohortAvg"/>
    <n v="0"/>
    <n v="-36886.61"/>
    <n v="-15061.87"/>
    <n v="13556.18"/>
    <n v="0"/>
    <n v="1.1599999999999999"/>
    <n v="-32551.18"/>
    <n v="-339.35"/>
    <n v="692885.77"/>
    <n v="5.9211E-2"/>
    <n v="0.97"/>
    <n v="5.7435E-2"/>
    <s v="CohortTrend+Seasonal(0.970)"/>
    <n v="39795.800000000003"/>
    <n v="47792.04"/>
    <n v="-7996.23"/>
    <x v="0"/>
    <n v="0"/>
    <n v="0.78500000000000003"/>
    <n v="0.24"/>
    <n v="0"/>
    <n v="0"/>
    <n v="0"/>
    <n v="47792.04"/>
    <n v="731279.24"/>
    <n v="6.5353999999999995E-2"/>
    <n v="-7996.23"/>
    <n v="-7995.08"/>
    <n v="0"/>
    <n v="-7995.08"/>
    <n v="700880.85"/>
    <s v="Forecast"/>
  </r>
  <r>
    <x v="10"/>
    <x v="3"/>
    <s v="202501"/>
    <n v="19"/>
    <n v="1224485.3899999999"/>
    <n v="-5.2410315740435261E-2"/>
    <s v="CohortAvg"/>
    <n v="-2.0809893228685521E-2"/>
    <s v="CohortAvg"/>
    <n v="0.22531139362171629"/>
    <s v="CohortAvg"/>
    <n v="1.3974171328110621E-2"/>
    <s v="CohortAvg_NonZero"/>
    <n v="1.556468691407622E-5"/>
    <s v="CohortAvg"/>
    <n v="0"/>
    <s v="Zero"/>
    <n v="-4.3362232275834411E-2"/>
    <s v="CohortAvg"/>
    <n v="-4.6342705862981799E-4"/>
    <s v="CohortAvg"/>
    <n v="0"/>
    <n v="-64175.67"/>
    <n v="-25481.41"/>
    <n v="22990.880000000001"/>
    <n v="0"/>
    <n v="19.059999999999999"/>
    <n v="-53096.42"/>
    <n v="-567.46"/>
    <n v="1157800.1299999999"/>
    <n v="7.1835999999999997E-2"/>
    <n v="0.97"/>
    <n v="6.9681000000000007E-2"/>
    <s v="DonorCohort:202101+Seasonal(0.970)"/>
    <n v="80676.789999999994"/>
    <n v="68705.070000000007"/>
    <n v="11971.73"/>
    <x v="0"/>
    <n v="0"/>
    <n v="0.78500000000000003"/>
    <n v="0.24"/>
    <n v="0"/>
    <n v="0"/>
    <n v="0"/>
    <n v="68705.070000000007"/>
    <n v="1224485.3899999999"/>
    <n v="5.6108999999999999E-2"/>
    <n v="11971.73"/>
    <n v="11990.79"/>
    <n v="0"/>
    <n v="11990.79"/>
    <n v="1145809.3500000001"/>
    <s v="Forecast"/>
  </r>
  <r>
    <x v="10"/>
    <x v="3"/>
    <s v="202502"/>
    <n v="18"/>
    <n v="1318651.6399999999"/>
    <n v="-5.3241103133813902E-2"/>
    <s v="CohortAvg"/>
    <n v="-1.920188079822956E-2"/>
    <s v="CohortAvg"/>
    <n v="0.2274668576469214"/>
    <s v="CohortAvg"/>
    <n v="1.915382662894961E-2"/>
    <s v="CohortAvg_NonZero"/>
    <n v="3.7933399171025188E-4"/>
    <s v="CohortAvg"/>
    <n v="0"/>
    <s v="Zero"/>
    <n v="-8.9598220376636561E-2"/>
    <s v="CohortAvg"/>
    <n v="-1.1650622792620179E-3"/>
    <s v="CohortAvg"/>
    <n v="0"/>
    <n v="-70206.47"/>
    <n v="-25320.59"/>
    <n v="24995.8"/>
    <n v="0"/>
    <n v="500.21"/>
    <n v="-118148.84"/>
    <n v="-1536.31"/>
    <n v="1247620.17"/>
    <n v="6.1674E-2"/>
    <n v="0.97"/>
    <n v="5.9824000000000002E-2"/>
    <s v="DonorCohort:202101+Seasonal(0.970)"/>
    <n v="74638.05"/>
    <n v="70469.19"/>
    <n v="4168.8599999999997"/>
    <x v="0"/>
    <n v="0"/>
    <n v="0.78500000000000003"/>
    <n v="0.24"/>
    <n v="0"/>
    <n v="0"/>
    <n v="0"/>
    <n v="70469.19"/>
    <n v="1318651.6399999999"/>
    <n v="5.3440000000000001E-2"/>
    <n v="4168.8599999999997"/>
    <n v="4669.07"/>
    <n v="0"/>
    <n v="4669.07"/>
    <n v="1242951.1000000001"/>
    <s v="Forecast"/>
  </r>
  <r>
    <x v="10"/>
    <x v="3"/>
    <s v="202503"/>
    <n v="17"/>
    <n v="1606554.69"/>
    <n v="-4.5629394176190607E-2"/>
    <s v="CohortAvg"/>
    <n v="-2.1947140751296581E-2"/>
    <s v="CohortAvg"/>
    <n v="0.25473713852342661"/>
    <s v="CohortAvg"/>
    <n v="4.6176837495393924E-3"/>
    <s v="CohortAvg_NonZero"/>
    <n v="1.28335059817491E-7"/>
    <s v="CohortAvg"/>
    <n v="0"/>
    <s v="Zero"/>
    <n v="0"/>
    <s v="CohortAvg"/>
    <n v="0"/>
    <s v="CohortAvg"/>
    <n v="0"/>
    <n v="-73306.12"/>
    <n v="-35259.279999999999"/>
    <n v="34104.1"/>
    <n v="0"/>
    <n v="0.21"/>
    <n v="0"/>
    <n v="0"/>
    <n v="1532093.18"/>
    <n v="5.8741000000000002E-2"/>
    <n v="0.97"/>
    <n v="5.6979000000000002E-2"/>
    <s v="DonorCohort:202101+Seasonal(0.970)"/>
    <n v="87296.57"/>
    <n v="80222.880000000005"/>
    <n v="7073.68"/>
    <x v="0"/>
    <n v="0"/>
    <n v="0.78500000000000003"/>
    <n v="0.24"/>
    <n v="0"/>
    <n v="0"/>
    <n v="0"/>
    <n v="80222.880000000005"/>
    <n v="1606554.69"/>
    <n v="4.9935E-2"/>
    <n v="7073.68"/>
    <n v="7073.89"/>
    <n v="0"/>
    <n v="7073.89"/>
    <n v="1525019.29"/>
    <s v="Forecast"/>
  </r>
  <r>
    <x v="10"/>
    <x v="3"/>
    <s v="202504"/>
    <n v="16"/>
    <n v="1331855.68"/>
    <n v="-5.5653104987703622E-2"/>
    <s v="CohortAvg"/>
    <n v="-2.200073314472567E-2"/>
    <s v="CohortAvg"/>
    <n v="0.25078509395422272"/>
    <s v="CohortAvg"/>
    <n v="2.1791689037598898E-3"/>
    <s v="CohortAvg_NonZero"/>
    <n v="1.0147106111327119E-7"/>
    <s v="CohortAvg"/>
    <n v="0"/>
    <s v="Zero"/>
    <n v="0"/>
    <s v="CohortAvg"/>
    <n v="0"/>
    <s v="CohortAvg"/>
    <n v="0"/>
    <n v="-74121.899999999994"/>
    <n v="-29301.8"/>
    <n v="27834.13"/>
    <n v="0"/>
    <n v="0.14000000000000001"/>
    <n v="0"/>
    <n v="0"/>
    <n v="1256265.97"/>
    <n v="5.4886999999999998E-2"/>
    <n v="0.97"/>
    <n v="5.3240999999999997E-2"/>
    <s v="DonorCohort:202101+Seasonal(0.970)"/>
    <n v="66884.75"/>
    <n v="61894.28"/>
    <n v="4990.47"/>
    <x v="0"/>
    <n v="0"/>
    <n v="0.78500000000000003"/>
    <n v="0.24"/>
    <n v="0"/>
    <n v="0"/>
    <n v="0"/>
    <n v="61894.28"/>
    <n v="1331855.68"/>
    <n v="4.6471999999999999E-2"/>
    <n v="4990.47"/>
    <n v="4990.6000000000004"/>
    <n v="0"/>
    <n v="4990.6000000000004"/>
    <n v="1251275.3600000001"/>
    <s v="Forecast"/>
  </r>
  <r>
    <x v="10"/>
    <x v="3"/>
    <s v="202505"/>
    <n v="15"/>
    <n v="1638550.01"/>
    <n v="-4.8386803552309753E-2"/>
    <s v="CohortAvg"/>
    <n v="-2.1077081631811261E-2"/>
    <s v="CohortAvg"/>
    <n v="0.2385224643143915"/>
    <s v="CohortAvg"/>
    <n v="0"/>
    <s v="CohortAvg_NoData_ERROR"/>
    <n v="0"/>
    <s v="CohortAvg"/>
    <n v="0"/>
    <s v="Zero"/>
    <n v="0"/>
    <s v="CohortAvg"/>
    <n v="0"/>
    <s v="CohortAvg"/>
    <n v="0"/>
    <n v="-79284.2"/>
    <n v="-34535.85"/>
    <n v="32569.25"/>
    <n v="0"/>
    <n v="0"/>
    <n v="0"/>
    <n v="0"/>
    <n v="1557299.21"/>
    <n v="5.1081000000000001E-2"/>
    <n v="0.97"/>
    <n v="4.9549000000000003E-2"/>
    <s v="DonorCohort:202101+Seasonal(0.970)"/>
    <n v="77162.84"/>
    <n v="64187.1"/>
    <n v="12975.74"/>
    <x v="0"/>
    <n v="0"/>
    <n v="0.78500000000000003"/>
    <n v="0.24"/>
    <n v="0"/>
    <n v="0"/>
    <n v="0"/>
    <n v="64187.1"/>
    <n v="1638550.01"/>
    <n v="3.9172999999999999E-2"/>
    <n v="12975.74"/>
    <n v="12975.74"/>
    <n v="0"/>
    <n v="12975.74"/>
    <n v="1544323.48"/>
    <s v="Forecast"/>
  </r>
  <r>
    <x v="10"/>
    <x v="3"/>
    <s v="202506"/>
    <n v="14"/>
    <n v="1846018.55"/>
    <n v="-5.2231996142494852E-2"/>
    <s v="CohortAvg"/>
    <n v="-2.2005823536320551E-2"/>
    <s v="CohortAvg"/>
    <n v="0.24909360345569101"/>
    <s v="CohortAvg"/>
    <n v="0"/>
    <s v="CohortAvg_NoData_ERROR"/>
    <n v="0"/>
    <s v="CohortAvg"/>
    <n v="0"/>
    <s v="Zero"/>
    <n v="0"/>
    <s v="CohortAvg"/>
    <n v="0"/>
    <s v="CohortAvg"/>
    <n v="0"/>
    <n v="-96421.23"/>
    <n v="-40623.160000000003"/>
    <n v="38319.279999999999"/>
    <n v="0"/>
    <n v="0"/>
    <n v="0"/>
    <n v="0"/>
    <n v="1747293.44"/>
    <n v="4.3057999999999999E-2"/>
    <n v="0.97"/>
    <n v="4.1766999999999999E-2"/>
    <s v="DonorCohort:202101+Seasonal(0.970)"/>
    <n v="72978.789999999994"/>
    <n v="63864.3"/>
    <n v="9114.49"/>
    <x v="0"/>
    <n v="0"/>
    <n v="0.78500000000000003"/>
    <n v="0.24"/>
    <n v="0"/>
    <n v="0"/>
    <n v="0"/>
    <n v="63864.3"/>
    <n v="1846018.55"/>
    <n v="3.4596000000000002E-2"/>
    <n v="9114.49"/>
    <n v="9114.49"/>
    <n v="0"/>
    <n v="9114.49"/>
    <n v="1738178.95"/>
    <s v="Forecast"/>
  </r>
  <r>
    <x v="10"/>
    <x v="3"/>
    <s v="202507"/>
    <n v="13"/>
    <n v="2393435.21"/>
    <n v="-3.8167789780101539E-2"/>
    <s v="CohortAvg"/>
    <n v="-2.2920122766678139E-2"/>
    <s v="CohortAvg"/>
    <n v="0.24800120492952951"/>
    <s v="CohortAvg"/>
    <n v="0"/>
    <s v="CohortAvg_NoData_ERROR"/>
    <n v="0"/>
    <s v="CohortAvg"/>
    <n v="0"/>
    <s v="Zero"/>
    <n v="0"/>
    <s v="CohortAvg"/>
    <n v="0"/>
    <s v="CohortAvg"/>
    <n v="0"/>
    <n v="-91352.13"/>
    <n v="-54857.83"/>
    <n v="49464.57"/>
    <n v="0"/>
    <n v="0"/>
    <n v="0"/>
    <n v="0"/>
    <n v="2296689.81"/>
    <n v="3.8026999999999998E-2"/>
    <n v="0.97"/>
    <n v="3.6886000000000002E-2"/>
    <s v="DonorCohort:202101+Seasonal(0.970)"/>
    <n v="84716.34"/>
    <n v="73675.61"/>
    <n v="11040.72"/>
    <x v="0"/>
    <n v="0"/>
    <n v="0.78500000000000003"/>
    <n v="0.24"/>
    <n v="0"/>
    <n v="0"/>
    <n v="0"/>
    <n v="73675.61"/>
    <n v="2393435.21"/>
    <n v="3.0782E-2"/>
    <n v="11040.72"/>
    <n v="11040.72"/>
    <n v="0"/>
    <n v="11040.72"/>
    <n v="2285649.09"/>
    <s v="Forecast"/>
  </r>
  <r>
    <x v="10"/>
    <x v="3"/>
    <s v="202508"/>
    <n v="12"/>
    <n v="2665414.85"/>
    <n v="-3.7688043765576162E-2"/>
    <s v="CohortAvg"/>
    <n v="-1.7283869035051119E-2"/>
    <s v="CohortAvg"/>
    <n v="0.23570069054581419"/>
    <s v="CohortAvg"/>
    <n v="0"/>
    <s v="CohortAvg_NoData_ERROR"/>
    <n v="0"/>
    <s v="CohortAvg"/>
    <n v="0"/>
    <s v="Zero"/>
    <n v="0"/>
    <s v="CohortAvg"/>
    <n v="0"/>
    <s v="CohortAvg"/>
    <n v="0"/>
    <n v="-100454.27"/>
    <n v="-46068.68"/>
    <n v="52353.34"/>
    <n v="0"/>
    <n v="0"/>
    <n v="0"/>
    <n v="0"/>
    <n v="2571245.2400000002"/>
    <n v="3.3834999999999997E-2"/>
    <n v="0.97"/>
    <n v="3.2820000000000002E-2"/>
    <s v="DonorCohort:202101+Seasonal(0.970)"/>
    <n v="84389.49"/>
    <n v="68961.23"/>
    <n v="15428.25"/>
    <x v="0"/>
    <n v="0"/>
    <n v="0.78500000000000003"/>
    <n v="0.24"/>
    <n v="0"/>
    <n v="0"/>
    <n v="0"/>
    <n v="68961.23"/>
    <n v="2665414.85"/>
    <n v="2.5873E-2"/>
    <n v="15428.25"/>
    <n v="15428.25"/>
    <n v="0"/>
    <n v="15428.25"/>
    <n v="2555816.9900000002"/>
    <s v="Forecast"/>
  </r>
  <r>
    <x v="10"/>
    <x v="3"/>
    <s v="202509"/>
    <n v="11"/>
    <n v="1060527.49"/>
    <n v="-0.2371959185708393"/>
    <s v="CohortAvg"/>
    <n v="-3.470174661670134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51552.79"/>
    <n v="-36802.160000000003"/>
    <n v="44188.65"/>
    <n v="0"/>
    <n v="0"/>
    <n v="0"/>
    <n v="0"/>
    <n v="816361.19"/>
    <n v="2.8438999999999999E-2"/>
    <n v="0.97"/>
    <n v="2.7585999999999999E-2"/>
    <s v="DonorCohort:202101+Seasonal(0.970)"/>
    <n v="22519.84"/>
    <n v="20617.150000000001"/>
    <n v="1902.69"/>
    <x v="0"/>
    <n v="0"/>
    <n v="0.78500000000000003"/>
    <n v="0.24"/>
    <n v="0"/>
    <n v="0"/>
    <n v="0"/>
    <n v="20617.150000000001"/>
    <n v="1060527.49"/>
    <n v="1.9439999999999999E-2"/>
    <n v="1902.69"/>
    <n v="1902.69"/>
    <n v="0"/>
    <n v="1902.69"/>
    <n v="814458.5"/>
    <s v="Forecast"/>
  </r>
  <r>
    <x v="10"/>
    <x v="4"/>
    <s v="202101"/>
    <n v="65"/>
    <n v="731993.15"/>
    <n v="-0.13664754840039581"/>
    <s v="CohortAvg"/>
    <n v="-1.1382369368026781E-2"/>
    <s v="CohortAvg"/>
    <n v="0.12993075154136621"/>
    <s v="CohortAvg"/>
    <n v="4.7056148429388628E-2"/>
    <s v="CohortAvg_NonZero"/>
    <n v="0"/>
    <s v="CohortAvg"/>
    <n v="0"/>
    <s v="Zero"/>
    <n v="0"/>
    <s v="CohortAvg"/>
    <n v="0"/>
    <s v="CohortAvg"/>
    <n v="0"/>
    <n v="-100025.07"/>
    <n v="-8331.82"/>
    <n v="7925.7"/>
    <n v="0"/>
    <n v="0"/>
    <n v="0"/>
    <n v="0"/>
    <n v="631561.97"/>
    <n v="0.170154"/>
    <n v="1.0589"/>
    <n v="0.18018300000000001"/>
    <s v="CohortAvg+Seasonal(1.059)"/>
    <n v="113796.86"/>
    <n v="121999.57"/>
    <n v="-8202.7099999999991"/>
    <x v="0"/>
    <n v="0"/>
    <n v="0.78500000000000003"/>
    <n v="0.24"/>
    <n v="0"/>
    <n v="0"/>
    <n v="0"/>
    <n v="121999.57"/>
    <n v="731993.15"/>
    <n v="0.16666800000000001"/>
    <n v="-8202.7099999999991"/>
    <n v="-8202.7099999999991"/>
    <n v="0"/>
    <n v="-8202.7099999999991"/>
    <n v="639764.67000000004"/>
    <s v="Forecast"/>
  </r>
  <r>
    <x v="10"/>
    <x v="4"/>
    <s v="202201"/>
    <n v="47"/>
    <n v="39252.080000000002"/>
    <n v="-9.8006494164446248E-2"/>
    <s v="CohortAvg"/>
    <n v="-9.5644576173885172E-3"/>
    <s v="CohortAvg"/>
    <n v="9.9811171284921632E-2"/>
    <s v="CohortAvg"/>
    <n v="3.6021598747735563E-2"/>
    <s v="CohortAvg_NonZero"/>
    <n v="3.1456649827962219E-9"/>
    <s v="CohortAvg"/>
    <n v="0"/>
    <s v="Zero"/>
    <n v="0"/>
    <s v="CohortAvg"/>
    <n v="0"/>
    <s v="CohortAvg"/>
    <n v="0"/>
    <n v="-3846.96"/>
    <n v="-375.42"/>
    <n v="326.48"/>
    <n v="0"/>
    <n v="0"/>
    <n v="0"/>
    <n v="0"/>
    <n v="35356.18"/>
    <n v="3.8720999999999998E-2"/>
    <n v="1.0589"/>
    <n v="4.1002999999999998E-2"/>
    <s v="CohortAvg+Seasonal(1.059)"/>
    <n v="1449.71"/>
    <n v="1484.73"/>
    <n v="-35.020000000000003"/>
    <x v="0"/>
    <n v="0"/>
    <n v="0.78500000000000003"/>
    <n v="0.24"/>
    <n v="0"/>
    <n v="0"/>
    <n v="0"/>
    <n v="1484.73"/>
    <n v="39252.080000000002"/>
    <n v="3.7825999999999999E-2"/>
    <n v="-35.020000000000003"/>
    <n v="-35.020000000000003"/>
    <n v="0"/>
    <n v="-35.020000000000003"/>
    <n v="35391.199999999997"/>
    <s v="Forecast"/>
  </r>
  <r>
    <x v="10"/>
    <x v="4"/>
    <s v="202405"/>
    <n v="27"/>
    <n v="4073.38"/>
    <n v="-1.6726197296677899E-2"/>
    <s v="CohortAvg"/>
    <n v="-1.0457578892162809E-2"/>
    <s v="CohortAvg"/>
    <n v="0.1215746845634109"/>
    <s v="CohortAvg"/>
    <n v="0"/>
    <s v="CohortAvg_NoData_ERROR"/>
    <n v="0"/>
    <s v="CohortAvg"/>
    <n v="0"/>
    <s v="Zero"/>
    <n v="0"/>
    <s v="CohortAvg"/>
    <n v="0"/>
    <s v="CohortAvg"/>
    <n v="0"/>
    <n v="-68.13"/>
    <n v="-42.6"/>
    <n v="41.27"/>
    <n v="0"/>
    <n v="0"/>
    <n v="0"/>
    <n v="0"/>
    <n v="4003.91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4073.38"/>
    <n v="0"/>
    <n v="0"/>
    <n v="0"/>
    <n v="0"/>
    <n v="0"/>
    <n v="4003.91"/>
    <s v="Forecast"/>
  </r>
  <r>
    <x v="10"/>
    <x v="4"/>
    <s v="202407"/>
    <n v="25"/>
    <n v="1801.68"/>
    <n v="-5.3430417280460857E-2"/>
    <s v="CohortAvg"/>
    <n v="-1.049426696604211E-2"/>
    <s v="CohortAvg"/>
    <n v="0.1204681595308363"/>
    <s v="CohortAvg"/>
    <n v="0"/>
    <s v="CohortAvg_NoData_ERROR"/>
    <n v="0"/>
    <s v="CohortAvg"/>
    <n v="0"/>
    <s v="Zero"/>
    <n v="0"/>
    <s v="CohortAvg"/>
    <n v="0"/>
    <s v="CohortAvg"/>
    <n v="0"/>
    <n v="-96.26"/>
    <n v="-18.91"/>
    <n v="18.09"/>
    <n v="0"/>
    <n v="0"/>
    <n v="0"/>
    <n v="0"/>
    <n v="1704.59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1801.68"/>
    <n v="0"/>
    <n v="0"/>
    <n v="0"/>
    <n v="0"/>
    <n v="0"/>
    <n v="1704.59"/>
    <s v="Forecast"/>
  </r>
  <r>
    <x v="10"/>
    <x v="4"/>
    <s v="202409"/>
    <n v="23"/>
    <n v="6577.68"/>
    <n v="-4.3347463925927983E-2"/>
    <s v="CohortAvg"/>
    <n v="-1.0463936185748901E-2"/>
    <s v="CohortAvg"/>
    <n v="0.1208237698610086"/>
    <s v="CohortAvg"/>
    <n v="0"/>
    <s v="CohortAvg_NoData_ERROR"/>
    <n v="0"/>
    <s v="CohortAvg"/>
    <n v="0"/>
    <s v="Zero"/>
    <n v="0"/>
    <s v="CohortAvg"/>
    <n v="0"/>
    <s v="CohortAvg"/>
    <n v="0"/>
    <n v="-285.13"/>
    <n v="-68.83"/>
    <n v="66.23"/>
    <n v="0"/>
    <n v="0"/>
    <n v="0"/>
    <n v="0"/>
    <n v="6289.95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6577.68"/>
    <n v="0"/>
    <n v="0"/>
    <n v="0"/>
    <n v="0"/>
    <n v="0"/>
    <n v="6289.95"/>
    <s v="Forecast"/>
  </r>
  <r>
    <x v="10"/>
    <x v="4"/>
    <s v="202504"/>
    <n v="16"/>
    <n v="4089.62"/>
    <n v="-1.2977031595915831E-2"/>
    <s v="CohortAvg"/>
    <n v="-1.0430208007917659E-2"/>
    <s v="CohortAvg"/>
    <n v="0.12544795553494331"/>
    <s v="CohortAvg"/>
    <n v="0"/>
    <s v="CohortAvg_NoData_ERROR"/>
    <n v="0"/>
    <s v="CohortAvg"/>
    <n v="0"/>
    <s v="Zero"/>
    <n v="0"/>
    <s v="CohortAvg"/>
    <n v="0"/>
    <s v="CohortAvg"/>
    <n v="0"/>
    <n v="-53.07"/>
    <n v="-42.66"/>
    <n v="42.75"/>
    <n v="0"/>
    <n v="0"/>
    <n v="0"/>
    <n v="0"/>
    <n v="4036.64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4089.62"/>
    <n v="0"/>
    <n v="0"/>
    <n v="0"/>
    <n v="0"/>
    <n v="0"/>
    <n v="4036.64"/>
    <s v="Forecast"/>
  </r>
  <r>
    <x v="10"/>
    <x v="4"/>
    <s v="202507"/>
    <n v="13"/>
    <n v="9143.74"/>
    <n v="-1.1217634514014941E-2"/>
    <s v="CohortAvg"/>
    <n v="-1.108853007144189E-2"/>
    <s v="CohortAvg"/>
    <n v="0.13194474030965539"/>
    <s v="CohortAvg"/>
    <n v="0"/>
    <s v="CohortAvg_NoData_ERROR"/>
    <n v="0"/>
    <s v="CohortAvg"/>
    <n v="0"/>
    <s v="Zero"/>
    <n v="0"/>
    <s v="CohortAvg"/>
    <n v="0"/>
    <s v="CohortAvg"/>
    <n v="0"/>
    <n v="-102.57"/>
    <n v="-101.39"/>
    <n v="100.54"/>
    <n v="0"/>
    <n v="0"/>
    <n v="0"/>
    <n v="0"/>
    <n v="9040.31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9143.74"/>
    <n v="0"/>
    <n v="0"/>
    <n v="0"/>
    <n v="0"/>
    <n v="0"/>
    <n v="9040.31"/>
    <s v="Forecast"/>
  </r>
  <r>
    <x v="10"/>
    <x v="4"/>
    <s v="202508"/>
    <n v="12"/>
    <n v="30029.11"/>
    <n v="-7.1988363884216786E-3"/>
    <s v="CohortAvg"/>
    <n v="-3.7051402055015429E-3"/>
    <s v="CohortAvg"/>
    <n v="0.1291684262331261"/>
    <s v="CohortAvg"/>
    <n v="0"/>
    <s v="CohortAvg_NoData_ERROR"/>
    <n v="0"/>
    <s v="CohortAvg"/>
    <n v="0"/>
    <s v="Zero"/>
    <n v="0"/>
    <s v="CohortAvg"/>
    <n v="0"/>
    <s v="CohortAvg"/>
    <n v="0"/>
    <n v="-216.17"/>
    <n v="-111.26"/>
    <n v="323.23"/>
    <n v="0"/>
    <n v="0"/>
    <n v="0"/>
    <n v="0"/>
    <n v="30024.91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30029.11"/>
    <n v="0"/>
    <n v="0"/>
    <n v="0"/>
    <n v="0"/>
    <n v="0"/>
    <n v="30024.91"/>
    <s v="Forecast"/>
  </r>
  <r>
    <x v="10"/>
    <x v="4"/>
    <s v="202509"/>
    <n v="11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1"/>
    <x v="0"/>
    <s v="201912"/>
    <n v="81"/>
    <n v="331274.15000000002"/>
    <n v="-1.31148877990846E-4"/>
    <s v="CohortAvg"/>
    <n v="1.5025297266366071E-3"/>
    <s v="CohortAvg"/>
    <n v="0"/>
    <s v="CohortAvg"/>
    <n v="2.8416040024280189E-2"/>
    <s v="CohortAvg_NonZero"/>
    <n v="4.873664113652274E-5"/>
    <s v="CohortAvg"/>
    <n v="0"/>
    <s v="Zero"/>
    <n v="0"/>
    <s v="CohortAvg"/>
    <n v="0"/>
    <s v="CohortAvg"/>
    <n v="0"/>
    <n v="-43.45"/>
    <n v="497.75"/>
    <n v="0"/>
    <n v="9413.5"/>
    <n v="16.149999999999999"/>
    <n v="0"/>
    <n v="0"/>
    <n v="321303.31"/>
    <n v="0.99677400000000005"/>
    <n v="1.0038"/>
    <n v="1.000556"/>
    <s v="CohortAvg+Seasonal(1.004)"/>
    <n v="321481.96000000002"/>
    <n v="318830.38"/>
    <n v="2651.58"/>
    <x v="1"/>
    <n v="9413.5"/>
    <n v="0.78500000000000003"/>
    <n v="0.24"/>
    <n v="7389.6"/>
    <n v="7389.6"/>
    <n v="2259.2399999999998"/>
    <n v="311440.78999999998"/>
    <n v="321860.65000000002"/>
    <n v="0.96762599999999999"/>
    <n v="10041.18"/>
    <n v="10057.32"/>
    <n v="19062.34"/>
    <n v="29119.66"/>
    <n v="292183.65000000002"/>
    <s v="Forecast"/>
  </r>
  <r>
    <x v="11"/>
    <x v="0"/>
    <s v="202001"/>
    <n v="80"/>
    <n v="62446.06"/>
    <n v="3.8354907749490352E-2"/>
    <s v="CohortAvg"/>
    <n v="1.6473771052458511E-3"/>
    <s v="CohortAvg"/>
    <n v="0"/>
    <s v="CohortAvg"/>
    <n v="1.3213350246873741E-2"/>
    <s v="CohortAvg_NonZero"/>
    <n v="0"/>
    <s v="CohortAvg"/>
    <n v="0"/>
    <s v="Zero"/>
    <n v="0"/>
    <s v="CohortAvg"/>
    <n v="0"/>
    <s v="CohortAvg"/>
    <n v="0"/>
    <n v="2395.11"/>
    <n v="102.87"/>
    <n v="0"/>
    <n v="825.12"/>
    <n v="0"/>
    <n v="0"/>
    <n v="0"/>
    <n v="59122.95"/>
    <n v="0.99839"/>
    <n v="1.0038"/>
    <n v="1.002178"/>
    <s v="CohortAvg+Seasonal(1.004)"/>
    <n v="59251.75"/>
    <n v="60203.28"/>
    <n v="-951.54"/>
    <x v="1"/>
    <n v="825.12"/>
    <n v="0.78500000000000003"/>
    <n v="0.24"/>
    <n v="647.72"/>
    <n v="647.72"/>
    <n v="198.03"/>
    <n v="59555.56"/>
    <n v="61620.93"/>
    <n v="0.96648299999999998"/>
    <n v="-303.82"/>
    <n v="-303.82"/>
    <n v="1670.87"/>
    <n v="1367.05"/>
    <n v="57755.89"/>
    <s v="Forecast"/>
  </r>
  <r>
    <x v="11"/>
    <x v="0"/>
    <s v="202101"/>
    <n v="68"/>
    <n v="738896.8"/>
    <n v="-4.7656669677260972E-3"/>
    <s v="CohortAvg"/>
    <n v="-2.0026449366228171E-3"/>
    <s v="CohortAvg"/>
    <n v="0"/>
    <s v="CohortAvg"/>
    <n v="1.5435175566511829E-2"/>
    <s v="CohortAvg_NonZero"/>
    <n v="3.9728451570669302E-5"/>
    <s v="CohortAvg"/>
    <n v="0"/>
    <s v="Zero"/>
    <n v="0"/>
    <s v="CohortAvg"/>
    <n v="0"/>
    <s v="CohortAvg"/>
    <n v="0"/>
    <n v="-3521.34"/>
    <n v="-1479.75"/>
    <n v="0"/>
    <n v="11405"/>
    <n v="29.36"/>
    <n v="0"/>
    <n v="0"/>
    <n v="722461.36"/>
    <n v="0.94455100000000003"/>
    <n v="1.0038"/>
    <n v="0.94813499999999995"/>
    <s v="CohortAvg+Seasonal(1.004)"/>
    <n v="684990.91"/>
    <n v="674433.67"/>
    <n v="10557.24"/>
    <x v="1"/>
    <n v="11405"/>
    <n v="0.78500000000000003"/>
    <n v="0.24"/>
    <n v="8952.93"/>
    <n v="8952.93"/>
    <n v="2737.2"/>
    <n v="665480.74"/>
    <n v="727491.8"/>
    <n v="0.91476000000000002"/>
    <n v="19510.169999999998"/>
    <n v="19539.52"/>
    <n v="23095.13"/>
    <n v="42634.65"/>
    <n v="679826.7"/>
    <s v="Forecast"/>
  </r>
  <r>
    <x v="11"/>
    <x v="0"/>
    <s v="202201"/>
    <n v="48"/>
    <n v="273517.23"/>
    <n v="-0.1151353828349416"/>
    <s v="CohortAvg"/>
    <n v="-6.1210930389572864E-3"/>
    <s v="CohortAvg"/>
    <n v="2.7130929480458161E-2"/>
    <s v="CohortAvg"/>
    <n v="4.2254594274777867E-2"/>
    <s v="CohortAvg_NonZero"/>
    <n v="4.4600608373966764E-3"/>
    <s v="CohortAvg"/>
    <n v="0"/>
    <s v="Zero"/>
    <n v="-6.056503422002641E-5"/>
    <s v="CohortAvg"/>
    <n v="-1.336271386483209E-6"/>
    <s v="CohortAvg"/>
    <n v="0"/>
    <n v="-31491.51"/>
    <n v="-1674.22"/>
    <n v="618.4"/>
    <n v="11557.36"/>
    <n v="1219.9000000000001"/>
    <n v="-16.57"/>
    <n v="-0.37"/>
    <n v="228192.63"/>
    <n v="0.58512799999999998"/>
    <n v="1.0038"/>
    <n v="0.58734900000000001"/>
    <s v="CohortAvg+Seasonal(1.004)"/>
    <n v="134028.64000000001"/>
    <n v="154480.44"/>
    <n v="-20451.8"/>
    <x v="1"/>
    <n v="11557.36"/>
    <n v="0.78500000000000003"/>
    <n v="0.24"/>
    <n v="9072.5300000000007"/>
    <n v="9072.5300000000007"/>
    <n v="2773.77"/>
    <n v="145407.91"/>
    <n v="261959.87"/>
    <n v="0.55507700000000004"/>
    <n v="-11379.27"/>
    <n v="-10159.370000000001"/>
    <n v="23403.65"/>
    <n v="13244.29"/>
    <n v="214948.35"/>
    <s v="Forecast"/>
  </r>
  <r>
    <x v="11"/>
    <x v="0"/>
    <s v="202301"/>
    <n v="39"/>
    <n v="2612590.2200000002"/>
    <n v="-6.9530417313572221E-2"/>
    <s v="CohortAvg"/>
    <n v="-1.688810143039586E-2"/>
    <s v="CohortAvg"/>
    <n v="0.20597780653868661"/>
    <s v="CohortAvg"/>
    <n v="6.5569380101669725E-2"/>
    <s v="CohortAvg_NonZero"/>
    <n v="1.160565876586959E-4"/>
    <s v="CohortAvg"/>
    <n v="0"/>
    <s v="Zero"/>
    <n v="-5.1849599742709229E-3"/>
    <s v="CohortAvg"/>
    <n v="-7.2281853874143519E-5"/>
    <s v="CohortAvg"/>
    <n v="0"/>
    <n v="-181654.49"/>
    <n v="-44121.69"/>
    <n v="44844.63"/>
    <n v="171305.92"/>
    <n v="303.20999999999998"/>
    <n v="-13546.18"/>
    <n v="-188.84"/>
    <n v="2260049.5499999998"/>
    <n v="0.63638300000000003"/>
    <n v="1.0038"/>
    <n v="0.63879699999999995"/>
    <s v="CohortTrend+Seasonal(1.004)"/>
    <n v="1443713.88"/>
    <n v="1561552.09"/>
    <n v="-117838.21"/>
    <x v="1"/>
    <n v="171305.92"/>
    <n v="0.78500000000000003"/>
    <n v="0.24"/>
    <n v="134475.15"/>
    <n v="134475.15"/>
    <n v="41113.42"/>
    <n v="1427076.95"/>
    <n v="2441284.2999999998"/>
    <n v="0.58455999999999997"/>
    <n v="16636.93"/>
    <n v="16940.14"/>
    <n v="346894.49"/>
    <n v="363834.63"/>
    <n v="1896214.92"/>
    <s v="Forecast"/>
  </r>
  <r>
    <x v="11"/>
    <x v="0"/>
    <s v="202404"/>
    <n v="29"/>
    <n v="439231.19"/>
    <n v="-7.222160851608693E-2"/>
    <s v="CohortAvg"/>
    <n v="-2.4089653143186091E-2"/>
    <s v="CohortAvg"/>
    <n v="0.25351199429951599"/>
    <s v="CohortAvg"/>
    <n v="0.1088843231424732"/>
    <s v="CohortAvg_NonZero"/>
    <n v="9.6146122767917655E-5"/>
    <s v="CohortAvg"/>
    <n v="0"/>
    <s v="Zero"/>
    <n v="-7.7203559405742044E-3"/>
    <s v="CohortAvg"/>
    <n v="-1.3860466956866721E-4"/>
    <s v="CohortAvg"/>
    <n v="0"/>
    <n v="-31721.98"/>
    <n v="-10580.93"/>
    <n v="9279.2000000000007"/>
    <n v="47825.39"/>
    <n v="42.23"/>
    <n v="-3391.02"/>
    <n v="-60.88"/>
    <n v="358339.85"/>
    <n v="0.400897"/>
    <n v="1.0038"/>
    <n v="0.402418"/>
    <s v="CohortTrend+Seasonal(1.004)"/>
    <n v="144202.51"/>
    <n v="165813.72"/>
    <n v="-21611.21"/>
    <x v="1"/>
    <n v="47825.39"/>
    <n v="0.78500000000000003"/>
    <n v="0.24"/>
    <n v="37542.93"/>
    <n v="37542.93"/>
    <n v="11478.09"/>
    <n v="128270.79"/>
    <n v="391405.8"/>
    <n v="0.32771800000000001"/>
    <n v="15931.72"/>
    <n v="15973.95"/>
    <n v="96846.42"/>
    <n v="112820.37"/>
    <n v="245519.48"/>
    <s v="Forecast"/>
  </r>
  <r>
    <x v="11"/>
    <x v="0"/>
    <s v="202405"/>
    <n v="28"/>
    <n v="611907.48"/>
    <n v="-6.0834387750087419E-2"/>
    <s v="CohortAvg"/>
    <n v="-2.4312761015512531E-2"/>
    <s v="CohortAvg"/>
    <n v="0.26207401887697201"/>
    <s v="CohortAvg"/>
    <n v="0.1053218646260661"/>
    <s v="CohortAvg_NonZero"/>
    <n v="1.5093959778862559E-4"/>
    <s v="CohortAvg"/>
    <n v="0"/>
    <s v="Zero"/>
    <n v="-1.158514466268273E-2"/>
    <s v="CohortAvg"/>
    <n v="-2.0471650802619779E-4"/>
    <s v="CohortAvg"/>
    <n v="0"/>
    <n v="-37225.019999999997"/>
    <n v="-14877.16"/>
    <n v="13363.75"/>
    <n v="64447.24"/>
    <n v="92.36"/>
    <n v="-7089.04"/>
    <n v="-125.27"/>
    <n v="508629.46"/>
    <n v="0.354051"/>
    <n v="1.0038"/>
    <n v="0.35539399999999999"/>
    <s v="CohortTrend+Seasonal(1.004)"/>
    <n v="180764.09"/>
    <n v="204816.25"/>
    <n v="-24052.16"/>
    <x v="1"/>
    <n v="64447.24"/>
    <n v="0.78500000000000003"/>
    <n v="0.24"/>
    <n v="50591.08"/>
    <n v="50591.08"/>
    <n v="15467.34"/>
    <n v="154225.17000000001"/>
    <n v="547460.24"/>
    <n v="0.28171000000000002"/>
    <n v="26538.93"/>
    <n v="26631.29"/>
    <n v="130505.65"/>
    <n v="157136.94"/>
    <n v="351492.52"/>
    <s v="Forecast"/>
  </r>
  <r>
    <x v="11"/>
    <x v="0"/>
    <s v="202406"/>
    <n v="27"/>
    <n v="972265.29"/>
    <n v="-5.6013861969217073E-2"/>
    <s v="CohortAvg"/>
    <n v="-2.5482835596276551E-2"/>
    <s v="CohortAvg"/>
    <n v="0.28079497254700708"/>
    <s v="CohortAvg"/>
    <n v="6.6078393351657508E-2"/>
    <s v="CohortAvg_NonZero"/>
    <n v="1.6214030051946409E-5"/>
    <s v="CohortAvg"/>
    <n v="0"/>
    <s v="Zero"/>
    <n v="-9.7446173893163211E-3"/>
    <s v="CohortAvg"/>
    <n v="-2.1047198788073519E-4"/>
    <s v="CohortAvg"/>
    <n v="0"/>
    <n v="-54460.33"/>
    <n v="-24776.080000000002"/>
    <n v="22750.6"/>
    <n v="64245.73"/>
    <n v="15.76"/>
    <n v="-9474.35"/>
    <n v="-204.63"/>
    <n v="851517.99"/>
    <n v="0.31388500000000003"/>
    <n v="1.0038"/>
    <n v="0.31507600000000002"/>
    <s v="CohortTrend+Seasonal(1.004)"/>
    <n v="268292.67"/>
    <n v="287811.09999999998"/>
    <n v="-19518.43"/>
    <x v="1"/>
    <n v="64245.73"/>
    <n v="0.78500000000000003"/>
    <n v="0.24"/>
    <n v="50432.9"/>
    <n v="50432.9"/>
    <n v="15418.97"/>
    <n v="237378.2"/>
    <n v="908019.56"/>
    <n v="0.26142399999999999"/>
    <n v="30914.46"/>
    <n v="30930.23"/>
    <n v="130097.60000000001"/>
    <n v="161027.82999999999"/>
    <n v="690490.16"/>
    <s v="Forecast"/>
  </r>
  <r>
    <x v="11"/>
    <x v="0"/>
    <s v="202407"/>
    <n v="26"/>
    <n v="1026609.65"/>
    <n v="-5.304268797520887E-2"/>
    <s v="CohortAvg"/>
    <n v="-2.6784401721602871E-2"/>
    <s v="CohortAvg"/>
    <n v="0.28937679589327292"/>
    <s v="CohortAvg"/>
    <n v="7.3716732247733799E-2"/>
    <s v="CohortAvg_NonZero"/>
    <n v="2.1230318796683101E-5"/>
    <s v="CohortAvg"/>
    <n v="0"/>
    <s v="Zero"/>
    <n v="-1.2322689598473839E-2"/>
    <s v="CohortAvg"/>
    <n v="-7.1529282841984506E-5"/>
    <s v="CohortAvg"/>
    <n v="0"/>
    <n v="-54454.14"/>
    <n v="-27497.13"/>
    <n v="24756.42"/>
    <n v="75678.31"/>
    <n v="21.8"/>
    <n v="-12650.59"/>
    <n v="-73.430000000000007"/>
    <n v="893714.71"/>
    <n v="0.26980900000000002"/>
    <n v="1.0038"/>
    <n v="0.27083200000000002"/>
    <s v="CohortTrend+Seasonal(1.004)"/>
    <n v="242046.98"/>
    <n v="262362.71999999997"/>
    <n v="-20315.73"/>
    <x v="1"/>
    <n v="75678.31"/>
    <n v="0.78500000000000003"/>
    <n v="0.24"/>
    <n v="59407.47"/>
    <n v="59407.47"/>
    <n v="18162.79"/>
    <n v="202955.24"/>
    <n v="950931.34"/>
    <n v="0.21342800000000001"/>
    <n v="39091.74"/>
    <n v="39113.53"/>
    <n v="153248.57999999999"/>
    <n v="192362.11"/>
    <n v="701352.6"/>
    <s v="Forecast"/>
  </r>
  <r>
    <x v="11"/>
    <x v="0"/>
    <s v="202408"/>
    <n v="25"/>
    <n v="903165.33"/>
    <n v="-6.4866138121048564E-2"/>
    <s v="CohortAvg"/>
    <n v="-2.6162235055050161E-2"/>
    <s v="CohortAvg"/>
    <n v="0.27975687316760361"/>
    <s v="CohortAvg"/>
    <n v="9.6493823598977665E-2"/>
    <s v="CohortAvg_NonZero"/>
    <n v="1.23292317671398E-4"/>
    <s v="CohortAvg"/>
    <n v="0"/>
    <s v="Zero"/>
    <n v="-1.386614124012463E-2"/>
    <s v="CohortAvg"/>
    <n v="-3.1391238091328872E-4"/>
    <s v="CohortAvg"/>
    <n v="0"/>
    <n v="-58584.85"/>
    <n v="-23628.82"/>
    <n v="21055.56"/>
    <n v="87149.88"/>
    <n v="111.35"/>
    <n v="-12523.42"/>
    <n v="-283.51"/>
    <n v="754745.99"/>
    <n v="0.25028899999999998"/>
    <n v="1.0038"/>
    <n v="0.25123899999999999"/>
    <s v="CohortTrend+Seasonal(1.004)"/>
    <n v="189621.75"/>
    <n v="214398.27"/>
    <n v="-24776.52"/>
    <x v="1"/>
    <n v="87149.88"/>
    <n v="0.78500000000000003"/>
    <n v="0.24"/>
    <n v="68412.649999999994"/>
    <n v="68412.649999999994"/>
    <n v="20915.97"/>
    <n v="145985.62"/>
    <n v="816015.46"/>
    <n v="0.178901"/>
    <n v="43636.13"/>
    <n v="43747.48"/>
    <n v="176478.5"/>
    <n v="220225.98"/>
    <n v="534520.01"/>
    <s v="Forecast"/>
  </r>
  <r>
    <x v="11"/>
    <x v="0"/>
    <s v="202409"/>
    <n v="24"/>
    <n v="814636.51"/>
    <n v="-7.0333628396994086E-2"/>
    <s v="CohortAvg"/>
    <n v="-2.932981041924821E-2"/>
    <s v="CohortAvg"/>
    <n v="0.29691808691296268"/>
    <s v="CohortAvg"/>
    <n v="0.1008256952578888"/>
    <s v="CohortAvg_NonZero"/>
    <n v="3.3173250523519098E-4"/>
    <s v="CohortAvg"/>
    <n v="0"/>
    <s v="Zero"/>
    <n v="-1.6116607129555299E-2"/>
    <s v="CohortAvg"/>
    <n v="9.499049985386012E-4"/>
    <s v="CohortAvg"/>
    <n v="0"/>
    <n v="-57296.34"/>
    <n v="-23893.13"/>
    <n v="20156.689999999999"/>
    <n v="82136.289999999994"/>
    <n v="270.24"/>
    <n v="-13129.18"/>
    <n v="773.83"/>
    <n v="671197.19"/>
    <n v="0.233574"/>
    <n v="1.0038"/>
    <n v="0.234461"/>
    <s v="CohortTrend+Seasonal(1.004)"/>
    <n v="157369.39000000001"/>
    <n v="180365.21"/>
    <n v="-22995.82"/>
    <x v="1"/>
    <n v="82136.289999999994"/>
    <n v="0.78500000000000003"/>
    <n v="0.24"/>
    <n v="64476.99"/>
    <n v="64476.99"/>
    <n v="19712.71"/>
    <n v="115888.22"/>
    <n v="732500.22"/>
    <n v="0.15820899999999999"/>
    <n v="41481.17"/>
    <n v="41751.410000000003"/>
    <n v="166325.99"/>
    <n v="208077.41"/>
    <n v="463119.78"/>
    <s v="Forecast"/>
  </r>
  <r>
    <x v="11"/>
    <x v="0"/>
    <s v="202410"/>
    <n v="23"/>
    <n v="1181101.67"/>
    <n v="-6.4885633514890712E-2"/>
    <s v="CohortAvg"/>
    <n v="-2.9834840255513102E-2"/>
    <s v="CohortAvg"/>
    <n v="0.29674788000991192"/>
    <s v="CohortAvg"/>
    <n v="9.0423089188824732E-2"/>
    <s v="CohortAvg_NonZero"/>
    <n v="8.418466329676836E-5"/>
    <s v="CohortAvg"/>
    <n v="0"/>
    <s v="Zero"/>
    <n v="-1.963381337893336E-2"/>
    <s v="CohortAvg"/>
    <n v="-2.9063604107888908E-4"/>
    <s v="CohortAvg"/>
    <n v="0"/>
    <n v="-76636.53"/>
    <n v="-35237.980000000003"/>
    <n v="29207.45"/>
    <n v="106798.86"/>
    <n v="99.43"/>
    <n v="-23189.53"/>
    <n v="-343.27"/>
    <n v="991536.32"/>
    <n v="0.22181000000000001"/>
    <n v="1.0038"/>
    <n v="0.22265099999999999"/>
    <s v="CohortTrend+Seasonal(1.004)"/>
    <n v="220766.94"/>
    <n v="248658.67"/>
    <n v="-27891.73"/>
    <x v="1"/>
    <n v="106798.86"/>
    <n v="0.78500000000000003"/>
    <n v="0.24"/>
    <n v="83837.11"/>
    <n v="83837.11"/>
    <n v="25631.73"/>
    <n v="164821.56"/>
    <n v="1074302.81"/>
    <n v="0.153422"/>
    <n v="55945.38"/>
    <n v="56044.81"/>
    <n v="216267.7"/>
    <n v="272312.5"/>
    <n v="719223.82"/>
    <s v="Forecast"/>
  </r>
  <r>
    <x v="11"/>
    <x v="0"/>
    <s v="202411"/>
    <n v="22"/>
    <n v="1250538.78"/>
    <n v="-6.9424565319158818E-2"/>
    <s v="CohortAvg"/>
    <n v="-3.0823550312782361E-2"/>
    <s v="CohortAvg"/>
    <n v="0.31738219977743809"/>
    <s v="CohortAvg"/>
    <n v="8.0772943802955396E-2"/>
    <s v="CohortAvg_NonZero"/>
    <n v="1.337009979088658E-5"/>
    <s v="CohortAvg"/>
    <n v="0"/>
    <s v="Zero"/>
    <n v="-1.90122716077652E-2"/>
    <s v="CohortAvg"/>
    <n v="-3.808620789158652E-4"/>
    <s v="CohortAvg"/>
    <n v="0"/>
    <n v="-86818.11"/>
    <n v="-38546.04"/>
    <n v="33074.9"/>
    <n v="101009.7"/>
    <n v="16.72"/>
    <n v="-23775.58"/>
    <n v="-476.28"/>
    <n v="1057223.1000000001"/>
    <n v="0.21457499999999999"/>
    <n v="1.0038"/>
    <n v="0.215389"/>
    <s v="CohortTrend+Seasonal(1.004)"/>
    <n v="227714.33"/>
    <n v="254092.07"/>
    <n v="-26377.74"/>
    <x v="1"/>
    <n v="101009.7"/>
    <n v="0.78500000000000003"/>
    <n v="0.24"/>
    <n v="79292.61"/>
    <n v="79292.61"/>
    <n v="24242.33"/>
    <n v="174799.46"/>
    <n v="1149529.08"/>
    <n v="0.152062"/>
    <n v="52914.87"/>
    <n v="52931.59"/>
    <n v="204544.64000000001"/>
    <n v="257476.23"/>
    <n v="799746.87"/>
    <s v="Forecast"/>
  </r>
  <r>
    <x v="11"/>
    <x v="0"/>
    <s v="202412"/>
    <n v="21"/>
    <n v="1425602.57"/>
    <n v="-6.589296322800002E-2"/>
    <s v="CohortAvg"/>
    <n v="-3.2035509390486473E-2"/>
    <s v="CohortAvg"/>
    <n v="0.32715538623090001"/>
    <s v="CohortAvg"/>
    <n v="7.7016036414002023E-2"/>
    <s v="CohortAvg_NonZero"/>
    <n v="3.5665331365282142E-5"/>
    <s v="CohortAvg"/>
    <n v="0"/>
    <s v="Zero"/>
    <n v="-3.3405854210120538E-2"/>
    <s v="CohortAvg"/>
    <n v="-4.5166921777316482E-4"/>
    <s v="CohortAvg"/>
    <n v="0"/>
    <n v="-93937.18"/>
    <n v="-45669.9"/>
    <n v="38866.129999999997"/>
    <n v="109794.26"/>
    <n v="50.84"/>
    <n v="-47623.47"/>
    <n v="-643.9"/>
    <n v="1215016.52"/>
    <n v="0.214006"/>
    <n v="1.0038"/>
    <n v="0.21481800000000001"/>
    <s v="CohortTrend+Seasonal(1.004)"/>
    <n v="261007.22"/>
    <n v="286763.93"/>
    <n v="-25756.71"/>
    <x v="1"/>
    <n v="109794.26"/>
    <n v="0.78500000000000003"/>
    <n v="0.24"/>
    <n v="86188.49"/>
    <n v="86188.49"/>
    <n v="26350.62"/>
    <n v="200575.44"/>
    <n v="1315808.31"/>
    <n v="0.15243499999999999"/>
    <n v="60431.78"/>
    <n v="60482.62"/>
    <n v="222333.38"/>
    <n v="282816"/>
    <n v="932200.52"/>
    <s v="Forecast"/>
  </r>
  <r>
    <x v="11"/>
    <x v="0"/>
    <s v="202501"/>
    <n v="20"/>
    <n v="1719668.43"/>
    <n v="-6.344614972115882E-2"/>
    <s v="CohortAvg"/>
    <n v="-3.1444176613569567E-2"/>
    <s v="CohortAvg"/>
    <n v="0.33626983857514431"/>
    <s v="CohortAvg"/>
    <n v="6.7275193664969882E-2"/>
    <s v="CohortAvg_NonZero"/>
    <n v="8.226746831581903E-5"/>
    <s v="CohortAvg"/>
    <n v="0"/>
    <s v="Zero"/>
    <n v="-4.6250751793209581E-2"/>
    <s v="CohortAvg"/>
    <n v="-9.0988533926792596E-4"/>
    <s v="CohortAvg"/>
    <n v="0"/>
    <n v="-109106.34"/>
    <n v="-54073.56"/>
    <n v="48189.39"/>
    <n v="115691.03"/>
    <n v="141.47"/>
    <n v="-79535.960000000006"/>
    <n v="-1564.7"/>
    <n v="1488845.41"/>
    <n v="0.210449"/>
    <n v="1.0038"/>
    <n v="0.21124799999999999"/>
    <s v="CohortTrend+Seasonal(1.004)"/>
    <n v="314515.5"/>
    <n v="316763.86"/>
    <n v="-2248.36"/>
    <x v="1"/>
    <n v="115691.03"/>
    <n v="0.78500000000000003"/>
    <n v="0.24"/>
    <n v="90817.46"/>
    <n v="90817.46"/>
    <n v="27765.85"/>
    <n v="225946.4"/>
    <n v="1603977.4"/>
    <n v="0.14086599999999999"/>
    <n v="88569.09"/>
    <n v="88710.57"/>
    <n v="234274.33"/>
    <n v="322984.89"/>
    <n v="1165860.52"/>
    <s v="Forecast"/>
  </r>
  <r>
    <x v="11"/>
    <x v="0"/>
    <s v="202502"/>
    <n v="19"/>
    <n v="2566863.9300000002"/>
    <n v="-6.4546766241622602E-2"/>
    <s v="CohortAvg"/>
    <n v="-3.1846854282970648E-2"/>
    <s v="CohortAvg"/>
    <n v="0.35318458224373023"/>
    <s v="CohortAvg"/>
    <n v="3.9512908780498152E-2"/>
    <s v="CohortAvg_NonZero"/>
    <n v="1.1627518953007099E-4"/>
    <s v="CohortAvg"/>
    <n v="0"/>
    <s v="Zero"/>
    <n v="-9.8612875388396901E-2"/>
    <s v="CohortAvg"/>
    <n v="-2.1322331817991329E-3"/>
    <s v="CohortAvg"/>
    <n v="0"/>
    <n v="-165682.76999999999"/>
    <n v="-81746.539999999994"/>
    <n v="75548.06"/>
    <n v="101424.26"/>
    <n v="298.45999999999998"/>
    <n v="-253125.83"/>
    <n v="-5473.15"/>
    <n v="2293259.9700000002"/>
    <n v="0.190751"/>
    <n v="1.0038"/>
    <n v="0.19147500000000001"/>
    <s v="DonorCohort:202101+Seasonal(1.004)"/>
    <n v="439101.42"/>
    <n v="438149.91"/>
    <n v="951.5"/>
    <x v="1"/>
    <n v="101424.26"/>
    <n v="0.78500000000000003"/>
    <n v="0.24"/>
    <n v="79618.039999999994"/>
    <n v="79618.039999999994"/>
    <n v="24341.82"/>
    <n v="358531.87"/>
    <n v="2465439.67"/>
    <n v="0.145423"/>
    <n v="80569.55"/>
    <n v="80868.009999999995"/>
    <n v="205384.13"/>
    <n v="286252.14"/>
    <n v="2007007.83"/>
    <s v="Forecast"/>
  </r>
  <r>
    <x v="11"/>
    <x v="0"/>
    <s v="202503"/>
    <n v="18"/>
    <n v="3805071.5"/>
    <n v="-5.4825305285265573E-2"/>
    <s v="CohortAvg"/>
    <n v="-3.4946472203002753E-2"/>
    <s v="CohortAvg"/>
    <n v="0.42537340271446561"/>
    <s v="CohortAvg"/>
    <n v="2.337347755521255E-2"/>
    <s v="CohortAvg_NonZero"/>
    <n v="7.1535230640524263E-6"/>
    <s v="CohortAvg"/>
    <n v="0"/>
    <s v="Zero"/>
    <n v="0"/>
    <s v="CohortAvg"/>
    <n v="0"/>
    <s v="CohortAvg"/>
    <n v="0"/>
    <n v="-208614.21"/>
    <n v="-132973.82999999999"/>
    <n v="134881.35"/>
    <n v="88937.75"/>
    <n v="27.22"/>
    <n v="0"/>
    <n v="0"/>
    <n v="3509399.85"/>
    <n v="0.17676500000000001"/>
    <n v="1.0038"/>
    <n v="0.17743600000000001"/>
    <s v="DonorCohort:202101+Seasonal(1.004)"/>
    <n v="622692.13"/>
    <n v="658693.21"/>
    <n v="-36001.08"/>
    <x v="1"/>
    <n v="88937.75"/>
    <n v="0.78500000000000003"/>
    <n v="0.24"/>
    <n v="69816.14"/>
    <n v="69816.14"/>
    <n v="21345.06"/>
    <n v="588877.06999999995"/>
    <n v="3716133.75"/>
    <n v="0.15846499999999999"/>
    <n v="33815.06"/>
    <n v="33842.28"/>
    <n v="180098.95"/>
    <n v="213941.23"/>
    <n v="3295458.62"/>
    <s v="Forecast"/>
  </r>
  <r>
    <x v="11"/>
    <x v="0"/>
    <s v="202504"/>
    <n v="17"/>
    <n v="4901840.12"/>
    <n v="-5.360501719809093E-2"/>
    <s v="CohortAvg"/>
    <n v="-3.7382591413098423E-2"/>
    <s v="CohortAvg"/>
    <n v="0.43771696364190671"/>
    <s v="CohortAvg"/>
    <n v="1.013329171740706E-2"/>
    <s v="CohortAvg_NonZero"/>
    <n v="1.689736190039763E-6"/>
    <s v="CohortAvg"/>
    <n v="0"/>
    <s v="Zero"/>
    <n v="0"/>
    <s v="CohortAvg"/>
    <n v="0"/>
    <s v="CohortAvg"/>
    <n v="0"/>
    <n v="-262763.21999999997"/>
    <n v="-183243.49"/>
    <n v="178801.55"/>
    <n v="49671.78"/>
    <n v="8.2799999999999994"/>
    <n v="0"/>
    <n v="0"/>
    <n v="4584954.9000000004"/>
    <n v="0.17926500000000001"/>
    <n v="1.0038"/>
    <n v="0.17994599999999999"/>
    <s v="DonorCohort:202101+Seasonal(1.004)"/>
    <n v="825042.02"/>
    <n v="904042.48"/>
    <n v="-79000.45"/>
    <x v="1"/>
    <n v="49671.78"/>
    <n v="0.78500000000000003"/>
    <n v="0.24"/>
    <n v="38992.339999999997"/>
    <n v="38992.339999999997"/>
    <n v="11921.23"/>
    <n v="865050.13"/>
    <n v="4852168.34"/>
    <n v="0.178281"/>
    <n v="-40008.11"/>
    <n v="-39999.83"/>
    <n v="100585.35"/>
    <n v="60585.52"/>
    <n v="4524369.38"/>
    <s v="Forecast"/>
  </r>
  <r>
    <x v="11"/>
    <x v="0"/>
    <s v="202505"/>
    <n v="16"/>
    <n v="6600644.9199999999"/>
    <n v="-4.6009390401281977E-2"/>
    <s v="CohortAvg"/>
    <n v="-3.6170976449739878E-2"/>
    <s v="CohortAvg"/>
    <n v="0.43608564916170928"/>
    <s v="CohortAvg"/>
    <n v="0"/>
    <s v="CohortAvg_NoData_ERROR"/>
    <n v="9.1416601740554269E-7"/>
    <s v="CohortAvg"/>
    <n v="0"/>
    <s v="Zero"/>
    <n v="0"/>
    <s v="CohortAvg"/>
    <n v="0"/>
    <s v="CohortAvg"/>
    <n v="0"/>
    <n v="-303691.65000000002"/>
    <n v="-238751.77"/>
    <n v="239870.54"/>
    <n v="0"/>
    <n v="6.03"/>
    <n v="0"/>
    <n v="0"/>
    <n v="6298066.0099999998"/>
    <n v="0.19098799999999999"/>
    <n v="1.0038"/>
    <n v="0.19171199999999999"/>
    <s v="DonorCohort:202101+Seasonal(1.004)"/>
    <n v="1207417.71"/>
    <n v="1200659.04"/>
    <n v="6758.67"/>
    <x v="1"/>
    <n v="0"/>
    <n v="0.78500000000000003"/>
    <n v="0.24"/>
    <n v="0"/>
    <n v="0"/>
    <n v="0"/>
    <n v="1200659.04"/>
    <n v="6600644.9199999999"/>
    <n v="0.18190000000000001"/>
    <n v="6758.67"/>
    <n v="6764.7"/>
    <n v="0"/>
    <n v="6764.7"/>
    <n v="6291301.3099999996"/>
    <s v="Forecast"/>
  </r>
  <r>
    <x v="11"/>
    <x v="0"/>
    <s v="202506"/>
    <n v="15"/>
    <n v="7535065.6500000004"/>
    <n v="-4.4334251993507393E-2"/>
    <s v="CohortAvg"/>
    <n v="-3.7481450883280081E-2"/>
    <s v="CohortAvg"/>
    <n v="0.45061388658453699"/>
    <s v="CohortAvg"/>
    <n v="0"/>
    <s v="CohortAvg_NoData_ERROR"/>
    <n v="0"/>
    <s v="CohortAvg"/>
    <n v="0"/>
    <s v="Zero"/>
    <n v="0"/>
    <s v="CohortAvg"/>
    <n v="0"/>
    <s v="CohortAvg"/>
    <n v="0"/>
    <n v="-334061.5"/>
    <n v="-282425.19"/>
    <n v="282950.43"/>
    <n v="0"/>
    <n v="0"/>
    <n v="0"/>
    <n v="0"/>
    <n v="7201529.3899999997"/>
    <n v="0.18836900000000001"/>
    <n v="1.0038"/>
    <n v="0.189084"/>
    <s v="DonorCohort:202101+Seasonal(1.004)"/>
    <n v="1361691.42"/>
    <n v="1193285.26"/>
    <n v="168406.16"/>
    <x v="1"/>
    <n v="0"/>
    <n v="0.78500000000000003"/>
    <n v="0.24"/>
    <n v="0"/>
    <n v="0"/>
    <n v="0"/>
    <n v="1193285.26"/>
    <n v="7535065.6500000004"/>
    <n v="0.158364"/>
    <n v="168406.16"/>
    <n v="168406.16"/>
    <n v="0"/>
    <n v="168406.16"/>
    <n v="7033123.2300000004"/>
    <s v="Forecast"/>
  </r>
  <r>
    <x v="11"/>
    <x v="0"/>
    <s v="202507"/>
    <n v="14"/>
    <n v="9621604.4399999995"/>
    <n v="-4.231451966279598E-2"/>
    <s v="CohortAvg"/>
    <n v="-3.9873497142015803E-2"/>
    <s v="CohortAvg"/>
    <n v="0.44658028201140382"/>
    <s v="CohortAvg"/>
    <n v="0"/>
    <s v="CohortAvg_NoData_ERROR"/>
    <n v="1.294715795512051E-5"/>
    <s v="CohortAvg"/>
    <n v="0"/>
    <s v="Zero"/>
    <n v="0"/>
    <s v="CohortAvg"/>
    <n v="0"/>
    <s v="CohortAvg"/>
    <n v="0"/>
    <n v="-407133.57"/>
    <n v="-383647.02"/>
    <n v="358068.24"/>
    <n v="0"/>
    <n v="124.57"/>
    <n v="0"/>
    <n v="0"/>
    <n v="9188767.5199999996"/>
    <n v="0.163996"/>
    <n v="1.0038"/>
    <n v="0.16461799999999999"/>
    <s v="DonorCohort:202101+Seasonal(1.004)"/>
    <n v="1512638.46"/>
    <n v="1711969.03"/>
    <n v="-199330.58"/>
    <x v="1"/>
    <n v="0"/>
    <n v="0.78500000000000003"/>
    <n v="0.24"/>
    <n v="0"/>
    <n v="0"/>
    <n v="0"/>
    <n v="1711969.03"/>
    <n v="9621604.4399999995"/>
    <n v="0.17793"/>
    <n v="-199330.58"/>
    <n v="-199206"/>
    <n v="0"/>
    <n v="-199206"/>
    <n v="9387973.5199999996"/>
    <s v="Forecast"/>
  </r>
  <r>
    <x v="11"/>
    <x v="0"/>
    <s v="202508"/>
    <n v="13"/>
    <n v="8034962.0099999998"/>
    <n v="-4.7134451576840548E-2"/>
    <s v="CohortAvg"/>
    <n v="-3.1476877448996007E-2"/>
    <s v="CohortAvg"/>
    <n v="0.44299873051254918"/>
    <s v="CohortAvg"/>
    <n v="0"/>
    <s v="CohortAvg_NoData_ERROR"/>
    <n v="1.0983610423217889E-5"/>
    <s v="CohortAvg"/>
    <n v="0"/>
    <s v="Zero"/>
    <n v="0"/>
    <s v="CohortAvg"/>
    <n v="0"/>
    <s v="CohortAvg"/>
    <n v="0"/>
    <n v="-378723.53"/>
    <n v="-252915.51"/>
    <n v="296623.15999999997"/>
    <n v="0"/>
    <n v="88.25"/>
    <n v="0"/>
    <n v="0"/>
    <n v="7699857.8799999999"/>
    <n v="0.184257"/>
    <n v="1.0038"/>
    <n v="0.18495600000000001"/>
    <s v="DonorCohort:202101+Seasonal(1.004)"/>
    <n v="1424136.95"/>
    <n v="1386792.72"/>
    <n v="37344.230000000003"/>
    <x v="1"/>
    <n v="0"/>
    <n v="0.78500000000000003"/>
    <n v="0.24"/>
    <n v="0"/>
    <n v="0"/>
    <n v="0"/>
    <n v="1386792.72"/>
    <n v="8034962.0099999998"/>
    <n v="0.172595"/>
    <n v="37344.230000000003"/>
    <n v="37432.480000000003"/>
    <n v="0"/>
    <n v="37432.480000000003"/>
    <n v="7662425.4000000004"/>
    <s v="Forecast"/>
  </r>
  <r>
    <x v="11"/>
    <x v="0"/>
    <s v="202509"/>
    <n v="12"/>
    <n v="649900.18999999994"/>
    <n v="-0.38808433188520453"/>
    <s v="CohortAvg"/>
    <n v="-8.0662625049885986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52216.08"/>
    <n v="-52422.66"/>
    <n v="27079.17"/>
    <n v="0"/>
    <n v="0"/>
    <n v="0"/>
    <n v="0"/>
    <n v="372340.63"/>
    <n v="0.178732"/>
    <n v="1.0038"/>
    <n v="0.17941099999999999"/>
    <s v="DonorCohort:202101+Seasonal(1.004)"/>
    <n v="66801.899999999994"/>
    <n v="97215.67"/>
    <n v="-30413.77"/>
    <x v="1"/>
    <n v="0"/>
    <n v="0.78500000000000003"/>
    <n v="0.24"/>
    <n v="0"/>
    <n v="0"/>
    <n v="0"/>
    <n v="97215.67"/>
    <n v="649900.18999999994"/>
    <n v="0.149586"/>
    <n v="-30413.77"/>
    <n v="-30413.77"/>
    <n v="0"/>
    <n v="-30413.77"/>
    <n v="402754.4"/>
    <s v="Forecast"/>
  </r>
  <r>
    <x v="11"/>
    <x v="1"/>
    <s v="202301"/>
    <n v="34"/>
    <n v="932434.04"/>
    <n v="-8.9431472656776746E-3"/>
    <s v="CohortAvg"/>
    <n v="-4.7204287699825704E-3"/>
    <s v="CohortAvg"/>
    <n v="9.0105435508912257E-2"/>
    <s v="CohortAvg"/>
    <n v="2.3914207890708791E-2"/>
    <s v="CohortAvg_NonZero"/>
    <n v="0"/>
    <s v="CohortAvg"/>
    <n v="0"/>
    <s v="Zero"/>
    <n v="0"/>
    <s v="CohortAvg"/>
    <n v="0"/>
    <s v="CohortAvg"/>
    <n v="0"/>
    <n v="-8338.89"/>
    <n v="-4401.49"/>
    <n v="7001.45"/>
    <n v="22298.42"/>
    <n v="0"/>
    <n v="0"/>
    <n v="0"/>
    <n v="904396.68"/>
    <n v="0.35885899999999998"/>
    <n v="1.3635999999999999"/>
    <n v="0.48932599999999998"/>
    <s v="CohortTrend+Seasonal(1.364)"/>
    <n v="442545.04"/>
    <n v="411464.89"/>
    <n v="31080.16"/>
    <x v="1"/>
    <n v="22298.42"/>
    <n v="0.78500000000000003"/>
    <n v="0.24"/>
    <n v="17504.259999999998"/>
    <n v="17504.259999999998"/>
    <n v="5351.62"/>
    <n v="393960.62"/>
    <n v="910135.62"/>
    <n v="0.43285899999999999"/>
    <n v="48584.42"/>
    <n v="48584.42"/>
    <n v="45154.3"/>
    <n v="93738.72"/>
    <n v="810657.96"/>
    <s v="Forecast"/>
  </r>
  <r>
    <x v="11"/>
    <x v="1"/>
    <s v="202404"/>
    <n v="29"/>
    <n v="140995.45000000001"/>
    <n v="-6.2682442941080496E-2"/>
    <s v="CohortAvg"/>
    <n v="-1.52134815764435E-2"/>
    <s v="CohortAvg"/>
    <n v="0.15668105900666171"/>
    <s v="CohortAvg"/>
    <n v="5.0363372405440567E-2"/>
    <s v="CohortAvg_NonZero"/>
    <n v="0"/>
    <s v="CohortAvg"/>
    <n v="0"/>
    <s v="Zero"/>
    <n v="0"/>
    <s v="CohortAvg"/>
    <n v="0"/>
    <s v="CohortAvg"/>
    <n v="0"/>
    <n v="-8837.94"/>
    <n v="-2145.0300000000002"/>
    <n v="1840.94"/>
    <n v="7101.01"/>
    <n v="0"/>
    <n v="0"/>
    <n v="0"/>
    <n v="124752.42"/>
    <n v="0.205515"/>
    <n v="1.3635999999999999"/>
    <n v="0.28023199999999998"/>
    <s v="CohortTrend+Seasonal(1.364)"/>
    <n v="34959.65"/>
    <n v="35925.870000000003"/>
    <n v="-966.23"/>
    <x v="1"/>
    <n v="7101.01"/>
    <n v="0.78500000000000003"/>
    <n v="0.24"/>
    <n v="5574.29"/>
    <n v="5574.29"/>
    <n v="1704.24"/>
    <n v="30351.58"/>
    <n v="133894.45000000001"/>
    <n v="0.226683"/>
    <n v="4608.0600000000004"/>
    <n v="4608.0600000000004"/>
    <n v="14379.54"/>
    <n v="18987.599999999999"/>
    <n v="105764.82"/>
    <s v="Forecast"/>
  </r>
  <r>
    <x v="11"/>
    <x v="1"/>
    <s v="202405"/>
    <n v="28"/>
    <n v="307443.3"/>
    <n v="-1.2444227884625189E-2"/>
    <s v="CohortAvg"/>
    <n v="-1.2741444836006369E-2"/>
    <s v="CohortAvg"/>
    <n v="0.1475805819037023"/>
    <s v="CohortAvg"/>
    <n v="6.9329639283896807E-2"/>
    <s v="CohortAvg_NonZero"/>
    <n v="2.4766051522136232E-7"/>
    <s v="CohortAvg"/>
    <n v="0"/>
    <s v="Zero"/>
    <n v="0"/>
    <s v="CohortAvg"/>
    <n v="0"/>
    <s v="CohortAvg"/>
    <n v="0"/>
    <n v="-3825.89"/>
    <n v="-3917.27"/>
    <n v="3781.06"/>
    <n v="21314.93"/>
    <n v="0.08"/>
    <n v="0"/>
    <n v="0"/>
    <n v="282166.18"/>
    <n v="0.333208"/>
    <n v="1.3635999999999999"/>
    <n v="0.454349"/>
    <s v="CohortTrend+Seasonal(1.364)"/>
    <n v="128201.91"/>
    <n v="124254.53"/>
    <n v="3947.38"/>
    <x v="1"/>
    <n v="21314.93"/>
    <n v="0.78500000000000003"/>
    <n v="0.24"/>
    <n v="16732.22"/>
    <n v="16732.22"/>
    <n v="5115.58"/>
    <n v="107522.31"/>
    <n v="286128.36"/>
    <n v="0.37578299999999998"/>
    <n v="20679.599999999999"/>
    <n v="20679.68"/>
    <n v="43162.74"/>
    <n v="63842.42"/>
    <n v="218323.76"/>
    <s v="Forecast"/>
  </r>
  <r>
    <x v="11"/>
    <x v="1"/>
    <s v="202406"/>
    <n v="27"/>
    <n v="176805.83"/>
    <n v="-1.5786944000270139E-2"/>
    <s v="CohortAvg"/>
    <n v="-1.4898883835937279E-2"/>
    <s v="CohortAvg"/>
    <n v="0.17832018988543749"/>
    <s v="CohortAvg"/>
    <n v="5.620844502272148E-2"/>
    <s v="CohortAvg_NonZero"/>
    <n v="0"/>
    <s v="CohortAvg"/>
    <n v="0"/>
    <s v="Zero"/>
    <n v="0"/>
    <s v="CohortAvg"/>
    <n v="0"/>
    <s v="CohortAvg"/>
    <n v="0"/>
    <n v="-2791.22"/>
    <n v="-2634.21"/>
    <n v="2627.34"/>
    <n v="9937.98"/>
    <n v="0"/>
    <n v="0"/>
    <n v="0"/>
    <n v="164069.75"/>
    <n v="0.23411399999999999"/>
    <n v="1.3635999999999999"/>
    <n v="0.31922800000000001"/>
    <s v="CohortTrend+Seasonal(1.364)"/>
    <n v="52375.67"/>
    <n v="50392.42"/>
    <n v="1983.25"/>
    <x v="1"/>
    <n v="9937.98"/>
    <n v="0.78500000000000003"/>
    <n v="0.24"/>
    <n v="7801.31"/>
    <n v="7801.31"/>
    <n v="2385.12"/>
    <n v="42591.11"/>
    <n v="166867.85"/>
    <n v="0.25523899999999999"/>
    <n v="9784.56"/>
    <n v="9784.56"/>
    <n v="20124.41"/>
    <n v="29908.97"/>
    <n v="134160.78"/>
    <s v="Forecast"/>
  </r>
  <r>
    <x v="11"/>
    <x v="1"/>
    <s v="202407"/>
    <n v="26"/>
    <n v="225986.75"/>
    <n v="-4.2301127162429453E-2"/>
    <s v="CohortAvg"/>
    <n v="-1.532225078587387E-2"/>
    <s v="CohortAvg"/>
    <n v="0.16919352417898309"/>
    <s v="CohortAvg"/>
    <n v="8.2761551975630079E-2"/>
    <s v="CohortAvg_NonZero"/>
    <n v="0"/>
    <s v="CohortAvg"/>
    <n v="0"/>
    <s v="Zero"/>
    <n v="0"/>
    <s v="CohortAvg"/>
    <n v="0"/>
    <s v="CohortAvg"/>
    <n v="0"/>
    <n v="-9559.49"/>
    <n v="-3462.63"/>
    <n v="3186.29"/>
    <n v="18703.009999999998"/>
    <n v="0"/>
    <n v="0"/>
    <n v="0"/>
    <n v="197447.91"/>
    <n v="0.21746299999999999"/>
    <n v="1.3635999999999999"/>
    <n v="0.29652299999999998"/>
    <s v="CohortTrend+Seasonal(1.364)"/>
    <n v="58547.89"/>
    <n v="60289.919999999998"/>
    <n v="-1742.03"/>
    <x v="1"/>
    <n v="18703.009999999998"/>
    <n v="0.78500000000000003"/>
    <n v="0.24"/>
    <n v="14681.87"/>
    <n v="14681.87"/>
    <n v="4488.72"/>
    <n v="45608.05"/>
    <n v="207283.74"/>
    <n v="0.220027"/>
    <n v="12939.84"/>
    <n v="12939.84"/>
    <n v="37873.599999999999"/>
    <n v="50813.440000000002"/>
    <n v="146634.47"/>
    <s v="Forecast"/>
  </r>
  <r>
    <x v="11"/>
    <x v="1"/>
    <s v="202408"/>
    <n v="25"/>
    <n v="220486.84"/>
    <n v="-6.1368265817384637E-2"/>
    <s v="CohortAvg"/>
    <n v="-1.6575992008250159E-2"/>
    <s v="CohortAvg"/>
    <n v="0.1829678773961993"/>
    <s v="CohortAvg"/>
    <n v="0.1104761026857973"/>
    <s v="CohortAvg_NonZero"/>
    <n v="7.9163705882829918E-10"/>
    <s v="CohortAvg"/>
    <n v="0"/>
    <s v="Zero"/>
    <n v="0"/>
    <s v="CohortAvg"/>
    <n v="0"/>
    <s v="CohortAvg"/>
    <n v="0"/>
    <n v="-13530.9"/>
    <n v="-3654.79"/>
    <n v="3361.83"/>
    <n v="24358.53"/>
    <n v="0"/>
    <n v="0"/>
    <n v="0"/>
    <n v="182304.47"/>
    <n v="0.22250200000000001"/>
    <n v="1.3635999999999999"/>
    <n v="0.303394"/>
    <s v="CohortTrend+Seasonal(1.364)"/>
    <n v="55310.16"/>
    <n v="60059.82"/>
    <n v="-4749.66"/>
    <x v="1"/>
    <n v="24358.53"/>
    <n v="0.78500000000000003"/>
    <n v="0.24"/>
    <n v="19121.439999999999"/>
    <n v="19121.439999999999"/>
    <n v="5846.05"/>
    <n v="40938.379999999997"/>
    <n v="196128.31"/>
    <n v="0.208733"/>
    <n v="14371.79"/>
    <n v="14371.79"/>
    <n v="49326.02"/>
    <n v="63697.8"/>
    <n v="118606.66"/>
    <s v="Forecast"/>
  </r>
  <r>
    <x v="11"/>
    <x v="1"/>
    <s v="202409"/>
    <n v="24"/>
    <n v="372022.45"/>
    <n v="-4.0514081674926129E-2"/>
    <s v="CohortAvg"/>
    <n v="-1.508288526915332E-2"/>
    <s v="CohortAvg"/>
    <n v="0.18241411002303221"/>
    <s v="CohortAvg"/>
    <n v="3.1782391161728291E-2"/>
    <s v="CohortAvg_NonZero"/>
    <n v="0"/>
    <s v="CohortAvg"/>
    <n v="0"/>
    <s v="Zero"/>
    <n v="0"/>
    <s v="CohortAvg"/>
    <n v="0"/>
    <s v="CohortAvg"/>
    <n v="0"/>
    <n v="-15072.15"/>
    <n v="-5611.17"/>
    <n v="5655.18"/>
    <n v="11823.76"/>
    <n v="0"/>
    <n v="0"/>
    <n v="0"/>
    <n v="345170.55"/>
    <n v="0.24404300000000001"/>
    <n v="1.3635999999999999"/>
    <n v="0.33276699999999998"/>
    <s v="CohortTrend+Seasonal(1.364)"/>
    <n v="114861.48"/>
    <n v="109741.79"/>
    <n v="5119.6899999999996"/>
    <x v="1"/>
    <n v="11823.76"/>
    <n v="0.78500000000000003"/>
    <n v="0.24"/>
    <n v="9281.65"/>
    <n v="9281.65"/>
    <n v="2837.7"/>
    <n v="100460.13"/>
    <n v="360198.69"/>
    <n v="0.27890199999999998"/>
    <n v="14401.35"/>
    <n v="14401.35"/>
    <n v="23943.119999999999"/>
    <n v="38344.47"/>
    <n v="306826.08"/>
    <s v="Forecast"/>
  </r>
  <r>
    <x v="11"/>
    <x v="1"/>
    <s v="202410"/>
    <n v="23"/>
    <n v="335843.42"/>
    <n v="-1.294960818862932E-2"/>
    <s v="CohortAvg"/>
    <n v="-1.822310537120557E-2"/>
    <s v="CohortAvg"/>
    <n v="0.18767503514023801"/>
    <s v="CohortAvg"/>
    <n v="3.5386550292614748E-2"/>
    <s v="CohortAvg_NonZero"/>
    <n v="3.473206795747884E-7"/>
    <s v="CohortAvg"/>
    <n v="0"/>
    <s v="Zero"/>
    <n v="0"/>
    <s v="CohortAvg"/>
    <n v="0"/>
    <s v="CohortAvg"/>
    <n v="0"/>
    <n v="-4349.04"/>
    <n v="-6120.11"/>
    <n v="5252.45"/>
    <n v="11884.34"/>
    <n v="0.12"/>
    <n v="0"/>
    <n v="0"/>
    <n v="318742.26"/>
    <n v="0.23880399999999999"/>
    <n v="1.3635999999999999"/>
    <n v="0.325623"/>
    <s v="CohortTrend+Seasonal(1.364)"/>
    <n v="103789.88"/>
    <n v="96555.09"/>
    <n v="7234.79"/>
    <x v="1"/>
    <n v="11884.34"/>
    <n v="0.78500000000000003"/>
    <n v="0.24"/>
    <n v="9329.2099999999991"/>
    <n v="9329.2099999999991"/>
    <n v="2852.24"/>
    <n v="87225.89"/>
    <n v="323959.08"/>
    <n v="0.26924999999999999"/>
    <n v="16563.990000000002"/>
    <n v="16564.11"/>
    <n v="24065.79"/>
    <n v="40629.9"/>
    <n v="278112.36"/>
    <s v="Forecast"/>
  </r>
  <r>
    <x v="11"/>
    <x v="1"/>
    <s v="202411"/>
    <n v="22"/>
    <n v="342034.89"/>
    <n v="-4.4042188827748741E-2"/>
    <s v="CohortAvg"/>
    <n v="-1.4803433072677711E-2"/>
    <s v="CohortAvg"/>
    <n v="0.1734437146862029"/>
    <s v="CohortAvg"/>
    <n v="3.2640677939016711E-2"/>
    <s v="CohortAvg_NonZero"/>
    <n v="0"/>
    <s v="CohortAvg"/>
    <n v="0"/>
    <s v="Zero"/>
    <n v="0"/>
    <s v="CohortAvg"/>
    <n v="0"/>
    <s v="CohortAvg"/>
    <n v="0"/>
    <n v="-15063.97"/>
    <n v="-5063.29"/>
    <n v="4943.6499999999996"/>
    <n v="11164.25"/>
    <n v="0"/>
    <n v="0"/>
    <n v="0"/>
    <n v="315687.03999999998"/>
    <n v="0.20461299999999999"/>
    <n v="1.3635999999999999"/>
    <n v="0.27900199999999997"/>
    <s v="CohortTrend+Seasonal(1.364)"/>
    <n v="88077.42"/>
    <n v="85730.81"/>
    <n v="2346.61"/>
    <x v="1"/>
    <n v="11164.25"/>
    <n v="0.78500000000000003"/>
    <n v="0.24"/>
    <n v="8763.94"/>
    <n v="8763.94"/>
    <n v="2679.42"/>
    <n v="76966.87"/>
    <n v="330870.64"/>
    <n v="0.23261899999999999"/>
    <n v="11110.55"/>
    <n v="11110.55"/>
    <n v="22607.61"/>
    <n v="33718.160000000003"/>
    <n v="281968.88"/>
    <s v="Forecast"/>
  </r>
  <r>
    <x v="11"/>
    <x v="1"/>
    <s v="202412"/>
    <n v="21"/>
    <n v="24629.55"/>
    <n v="-8.5878240323151583E-3"/>
    <s v="CohortAvg"/>
    <n v="-1.242502690563446E-2"/>
    <s v="CohortAvg"/>
    <n v="0.14613011960919489"/>
    <s v="CohortAvg"/>
    <n v="0.2"/>
    <s v="CohortAvg_NonZero"/>
    <n v="0"/>
    <s v="CohortAvg"/>
    <n v="0"/>
    <s v="Zero"/>
    <n v="0"/>
    <s v="CohortAvg"/>
    <n v="0"/>
    <s v="CohortAvg"/>
    <n v="0"/>
    <n v="-211.51"/>
    <n v="-306.02"/>
    <n v="299.93"/>
    <n v="4925.91"/>
    <n v="0"/>
    <n v="0"/>
    <n v="0"/>
    <n v="19486.03"/>
    <n v="0.192021"/>
    <n v="1.3635999999999999"/>
    <n v="0.26183200000000001"/>
    <s v="CohortTrend+Seasonal(1.364)"/>
    <n v="5102.0600000000004"/>
    <n v="5808.58"/>
    <n v="-706.53"/>
    <x v="1"/>
    <n v="4925.91"/>
    <n v="0.78500000000000003"/>
    <n v="0.24"/>
    <n v="3866.84"/>
    <n v="3866.84"/>
    <n v="1182.22"/>
    <n v="1941.74"/>
    <n v="19703.64"/>
    <n v="9.8546999999999996E-2"/>
    <n v="3160.31"/>
    <n v="3160.31"/>
    <n v="9974.9699999999993"/>
    <n v="13135.28"/>
    <n v="6350.75"/>
    <s v="Forecast"/>
  </r>
  <r>
    <x v="11"/>
    <x v="1"/>
    <s v="202501"/>
    <n v="20"/>
    <n v="50888.25"/>
    <n v="-1.527747933754155E-2"/>
    <s v="CohortAvg"/>
    <n v="-1.7520792999087889E-2"/>
    <s v="CohortAvg"/>
    <n v="0.20437826549131929"/>
    <s v="CohortAvg"/>
    <n v="0"/>
    <s v="CohortAvg_NoData_ERROR"/>
    <n v="0"/>
    <s v="CohortAvg"/>
    <n v="0"/>
    <s v="Zero"/>
    <n v="0"/>
    <s v="CohortAvg"/>
    <n v="0"/>
    <s v="CohortAvg"/>
    <n v="0"/>
    <n v="-777.44"/>
    <n v="-891.6"/>
    <n v="866.7"/>
    <n v="0"/>
    <n v="0"/>
    <n v="0"/>
    <n v="0"/>
    <n v="50085.9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50888.25"/>
    <n v="0"/>
    <n v="0"/>
    <n v="0"/>
    <n v="0"/>
    <n v="0"/>
    <n v="50085.9"/>
    <s v="Forecast"/>
  </r>
  <r>
    <x v="11"/>
    <x v="1"/>
    <s v="202502"/>
    <n v="19"/>
    <n v="107508.76"/>
    <n v="-1.38196916987959E-2"/>
    <s v="CohortAvg"/>
    <n v="-1.888342428819751E-2"/>
    <s v="CohortAvg"/>
    <n v="0.19414693459887761"/>
    <s v="CohortAvg"/>
    <n v="0"/>
    <s v="CohortAvg_NoData_ERROR"/>
    <n v="0"/>
    <s v="CohortAvg"/>
    <n v="0"/>
    <s v="Zero"/>
    <n v="0"/>
    <s v="CohortAvg"/>
    <n v="0"/>
    <s v="CohortAvg"/>
    <n v="0"/>
    <n v="-1485.74"/>
    <n v="-2030.13"/>
    <n v="1739.37"/>
    <n v="0"/>
    <n v="0"/>
    <n v="0"/>
    <n v="0"/>
    <n v="105732.26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107508.76"/>
    <n v="0"/>
    <n v="0"/>
    <n v="0"/>
    <n v="0"/>
    <n v="0"/>
    <n v="105732.26"/>
    <s v="Forecast"/>
  </r>
  <r>
    <x v="11"/>
    <x v="1"/>
    <s v="202503"/>
    <n v="18"/>
    <n v="77257.81"/>
    <n v="-9.8309665730058182E-3"/>
    <s v="CohortAvg"/>
    <n v="-1.3854831948482331E-2"/>
    <s v="CohortAvg"/>
    <n v="0.20831612836527849"/>
    <s v="CohortAvg"/>
    <n v="0"/>
    <s v="CohortAvg_NoData_ERROR"/>
    <n v="0"/>
    <s v="CohortAvg"/>
    <n v="0"/>
    <s v="Zero"/>
    <n v="0"/>
    <s v="CohortAvg"/>
    <n v="0"/>
    <s v="CohortAvg"/>
    <n v="0"/>
    <n v="-759.52"/>
    <n v="-1070.3900000000001"/>
    <n v="1341.17"/>
    <n v="0"/>
    <n v="0"/>
    <n v="0"/>
    <n v="0"/>
    <n v="76769.070000000007"/>
    <n v="0.16040199999999999"/>
    <n v="1.3635999999999999"/>
    <n v="0.218718"/>
    <s v="DonorCohort:202301+Seasonal(1.364)"/>
    <n v="16790.79"/>
    <n v="21586.35"/>
    <n v="-4795.5600000000004"/>
    <x v="1"/>
    <n v="0"/>
    <n v="0.78500000000000003"/>
    <n v="0.24"/>
    <n v="0"/>
    <n v="0"/>
    <n v="0"/>
    <n v="21586.35"/>
    <n v="77257.81"/>
    <n v="0.27940700000000002"/>
    <n v="-4795.5600000000004"/>
    <n v="-4795.5600000000004"/>
    <n v="0"/>
    <n v="-4795.5600000000004"/>
    <n v="81564.62"/>
    <s v="Forecast"/>
  </r>
  <r>
    <x v="11"/>
    <x v="1"/>
    <s v="202504"/>
    <n v="17"/>
    <n v="49950.7"/>
    <n v="-2.070218578066034E-2"/>
    <s v="CohortAvg"/>
    <n v="-1.674772549235265E-2"/>
    <s v="CohortAvg"/>
    <n v="0.2022588751069449"/>
    <s v="CohortAvg"/>
    <n v="0"/>
    <s v="CohortAvg_NoData_ERROR"/>
    <n v="0"/>
    <s v="CohortAvg"/>
    <n v="0"/>
    <s v="Zero"/>
    <n v="0"/>
    <s v="CohortAvg"/>
    <n v="0"/>
    <s v="CohortAvg"/>
    <n v="0"/>
    <n v="-1034.0899999999999"/>
    <n v="-836.56"/>
    <n v="841.91"/>
    <n v="0"/>
    <n v="0"/>
    <n v="0"/>
    <n v="0"/>
    <n v="48921.97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49950.7"/>
    <n v="0"/>
    <n v="0"/>
    <n v="0"/>
    <n v="0"/>
    <n v="0"/>
    <n v="48921.97"/>
    <s v="Forecast"/>
  </r>
  <r>
    <x v="11"/>
    <x v="1"/>
    <s v="202505"/>
    <n v="16"/>
    <n v="15044.67"/>
    <n v="-1.008810039315383E-2"/>
    <s v="CohortAvg"/>
    <n v="-1.6473416802312901E-2"/>
    <s v="CohortAvg"/>
    <n v="0.1991571354926519"/>
    <s v="CohortAvg"/>
    <n v="0"/>
    <s v="CohortAvg_NoData_ERROR"/>
    <n v="0"/>
    <s v="CohortAvg"/>
    <n v="0"/>
    <s v="Zero"/>
    <n v="0"/>
    <s v="CohortAvg"/>
    <n v="0"/>
    <s v="CohortAvg"/>
    <n v="0"/>
    <n v="-151.77000000000001"/>
    <n v="-247.84"/>
    <n v="249.69"/>
    <n v="0"/>
    <n v="0"/>
    <n v="0"/>
    <n v="0"/>
    <n v="14894.75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15044.67"/>
    <n v="0"/>
    <n v="0"/>
    <n v="0"/>
    <n v="0"/>
    <n v="0"/>
    <n v="14894.75"/>
    <s v="Forecast"/>
  </r>
  <r>
    <x v="11"/>
    <x v="1"/>
    <s v="202506"/>
    <n v="15"/>
    <n v="26528.17"/>
    <n v="-1.4030308253356881E-2"/>
    <s v="CohortAvg"/>
    <n v="-1.6587095240670979E-2"/>
    <s v="CohortAvg"/>
    <n v="0.19271128429050949"/>
    <s v="CohortAvg"/>
    <n v="0"/>
    <s v="CohortAvg_NoData_ERROR"/>
    <n v="0"/>
    <s v="CohortAvg"/>
    <n v="0"/>
    <s v="Zero"/>
    <n v="0"/>
    <s v="CohortAvg"/>
    <n v="0"/>
    <s v="CohortAvg"/>
    <n v="0"/>
    <n v="-372.2"/>
    <n v="-440.03"/>
    <n v="426.02"/>
    <n v="0"/>
    <n v="0"/>
    <n v="0"/>
    <n v="0"/>
    <n v="26141.97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26528.17"/>
    <n v="0"/>
    <n v="0"/>
    <n v="0"/>
    <n v="0"/>
    <n v="0"/>
    <n v="26141.97"/>
    <s v="Forecast"/>
  </r>
  <r>
    <x v="11"/>
    <x v="1"/>
    <s v="202507"/>
    <n v="14"/>
    <n v="104045.6"/>
    <n v="-1.113923208938346E-2"/>
    <s v="CohortAvg"/>
    <n v="-1.7978827203853531E-2"/>
    <s v="CohortAvg"/>
    <n v="0.19916645474047659"/>
    <s v="CohortAvg"/>
    <n v="0"/>
    <s v="CohortAvg_NoData_ERROR"/>
    <n v="0"/>
    <s v="CohortAvg"/>
    <n v="0"/>
    <s v="Zero"/>
    <n v="0"/>
    <s v="CohortAvg"/>
    <n v="0"/>
    <s v="CohortAvg"/>
    <n v="0"/>
    <n v="-1158.99"/>
    <n v="-1870.62"/>
    <n v="1726.87"/>
    <n v="0"/>
    <n v="0"/>
    <n v="0"/>
    <n v="0"/>
    <n v="102742.86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104045.6"/>
    <n v="0"/>
    <n v="0"/>
    <n v="0"/>
    <n v="0"/>
    <n v="0"/>
    <n v="102742.86"/>
    <s v="Forecast"/>
  </r>
  <r>
    <x v="11"/>
    <x v="1"/>
    <s v="202508"/>
    <n v="13"/>
    <n v="42754.42"/>
    <n v="-1.4456062322297051E-2"/>
    <s v="CohortAvg"/>
    <n v="-1.452969834367193E-2"/>
    <s v="CohortAvg"/>
    <n v="0.1788628310970557"/>
    <s v="CohortAvg"/>
    <n v="0"/>
    <s v="CohortAvg_NoData_ERROR"/>
    <n v="0"/>
    <s v="CohortAvg"/>
    <n v="0"/>
    <s v="Zero"/>
    <n v="0"/>
    <s v="CohortAvg"/>
    <n v="0"/>
    <s v="CohortAvg"/>
    <n v="0"/>
    <n v="-618.05999999999995"/>
    <n v="-621.21"/>
    <n v="637.26"/>
    <n v="0"/>
    <n v="0"/>
    <n v="0"/>
    <n v="0"/>
    <n v="42152.42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42754.42"/>
    <n v="0"/>
    <n v="0"/>
    <n v="0"/>
    <n v="0"/>
    <n v="0"/>
    <n v="42152.42"/>
    <s v="Forecast"/>
  </r>
  <r>
    <x v="11"/>
    <x v="1"/>
    <s v="202509"/>
    <n v="12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1"/>
    <x v="2"/>
    <s v="202101"/>
    <n v="68"/>
    <n v="338731.47"/>
    <n v="-0.19180218819732719"/>
    <s v="CohortAvg"/>
    <n v="-1.4217848947998799E-2"/>
    <s v="CohortAvg"/>
    <n v="0.15545015012321661"/>
    <s v="CohortAvg"/>
    <n v="1.7930937795731551E-2"/>
    <s v="CohortAvg_NonZero"/>
    <n v="0"/>
    <s v="CohortAvg"/>
    <n v="0"/>
    <s v="Zero"/>
    <n v="0"/>
    <s v="CohortAvg"/>
    <n v="0"/>
    <s v="CohortAvg"/>
    <n v="0"/>
    <n v="-64969.440000000002"/>
    <n v="-4816.03"/>
    <n v="4387.99"/>
    <n v="6073.77"/>
    <n v="0"/>
    <n v="0"/>
    <n v="0"/>
    <n v="267260.21999999997"/>
    <n v="0.26066899999999998"/>
    <n v="1.0103"/>
    <n v="0.26336100000000001"/>
    <s v="CohortAvg+Seasonal(1.010)"/>
    <n v="70385.919999999998"/>
    <n v="88103.79"/>
    <n v="-17717.87"/>
    <x v="1"/>
    <n v="6073.77"/>
    <n v="0.78500000000000003"/>
    <n v="0.24"/>
    <n v="4767.91"/>
    <n v="4767.91"/>
    <n v="1457.71"/>
    <n v="83335.87"/>
    <n v="332657.7"/>
    <n v="0.25051499999999999"/>
    <n v="-12949.96"/>
    <n v="-12949.96"/>
    <n v="12299.39"/>
    <n v="-650.57000000000005"/>
    <n v="267910.78999999998"/>
    <s v="Forecast"/>
  </r>
  <r>
    <x v="11"/>
    <x v="2"/>
    <s v="202201"/>
    <n v="48"/>
    <n v="79198.97"/>
    <n v="-6.4774293598829955E-2"/>
    <s v="CohortAvg"/>
    <n v="-1.345475027464694E-2"/>
    <s v="CohortAvg"/>
    <n v="0.14975824298181969"/>
    <s v="CohortAvg"/>
    <n v="3.4157280297801337E-2"/>
    <s v="CohortAvg_NonZero"/>
    <n v="3.9393954832699982E-7"/>
    <s v="CohortAvg"/>
    <n v="0"/>
    <s v="Zero"/>
    <n v="-1.0408822891959871E-5"/>
    <s v="CohortAvg"/>
    <n v="-4.699396987662449E-8"/>
    <s v="CohortAvg"/>
    <n v="0"/>
    <n v="-5130.0600000000004"/>
    <n v="-1065.5999999999999"/>
    <n v="988.39"/>
    <n v="2705.22"/>
    <n v="0.03"/>
    <n v="-0.82"/>
    <n v="0"/>
    <n v="71286.45"/>
    <n v="0.186584"/>
    <n v="1.0103"/>
    <n v="0.18851000000000001"/>
    <s v="CohortAvg+Seasonal(1.010)"/>
    <n v="13438.23"/>
    <n v="14669.64"/>
    <n v="-1231.4000000000001"/>
    <x v="1"/>
    <n v="2705.22"/>
    <n v="0.78500000000000003"/>
    <n v="0.24"/>
    <n v="2123.6"/>
    <n v="2123.6"/>
    <n v="649.25"/>
    <n v="12546.04"/>
    <n v="76493.740000000005"/>
    <n v="0.16401399999999999"/>
    <n v="892.19"/>
    <n v="892.23"/>
    <n v="5478.07"/>
    <n v="6370.3"/>
    <n v="64916.15"/>
    <s v="Forecast"/>
  </r>
  <r>
    <x v="11"/>
    <x v="2"/>
    <s v="202301"/>
    <n v="39"/>
    <n v="7099109.9199999999"/>
    <n v="-3.6237563482435439E-2"/>
    <s v="CohortAvg"/>
    <n v="-1.533340839876533E-2"/>
    <s v="CohortAvg"/>
    <n v="0.17429514944691091"/>
    <s v="CohortAvg"/>
    <n v="1.8631486150172578E-2"/>
    <s v="CohortAvg_NonZero"/>
    <n v="7.2846237470658796E-8"/>
    <s v="CohortAvg"/>
    <n v="0"/>
    <s v="Zero"/>
    <n v="-2.109769522261695E-4"/>
    <s v="CohortAvg"/>
    <n v="-5.2121473896044026E-7"/>
    <s v="CohortAvg"/>
    <n v="0"/>
    <n v="-257254.45"/>
    <n v="-108853.55"/>
    <n v="103111.7"/>
    <n v="132266.97"/>
    <n v="0.52"/>
    <n v="-1497.75"/>
    <n v="-3.7"/>
    <n v="6703846.1399999997"/>
    <n v="0.23074900000000001"/>
    <n v="1.0103"/>
    <n v="0.23313200000000001"/>
    <s v="CohortTrend+Seasonal(1.010)"/>
    <n v="1562880.63"/>
    <n v="1584980.12"/>
    <n v="-22099.49"/>
    <x v="1"/>
    <n v="132266.97"/>
    <n v="0.78500000000000003"/>
    <n v="0.24"/>
    <n v="103829.57"/>
    <n v="103829.57"/>
    <n v="31744.07"/>
    <n v="1481150.55"/>
    <n v="6966842.9500000002"/>
    <n v="0.21260000000000001"/>
    <n v="81730.080000000002"/>
    <n v="81730.600000000006"/>
    <n v="267840.61"/>
    <n v="349571.21"/>
    <n v="6354274.9299999997"/>
    <s v="Forecast"/>
  </r>
  <r>
    <x v="11"/>
    <x v="2"/>
    <s v="202404"/>
    <n v="29"/>
    <n v="1745746.65"/>
    <n v="-4.2610831699466889E-2"/>
    <s v="CohortAvg"/>
    <n v="-1.6089492200854219E-2"/>
    <s v="CohortAvg"/>
    <n v="0.17594905045819409"/>
    <s v="CohortAvg"/>
    <n v="2.140740084845183E-2"/>
    <s v="CohortAvg_NonZero"/>
    <n v="3.090573684897711E-7"/>
    <s v="CohortAvg"/>
    <n v="0"/>
    <s v="Zero"/>
    <n v="-2.506607734196949E-3"/>
    <s v="CohortAvg"/>
    <n v="-1.2098619570439751E-5"/>
    <s v="CohortAvg"/>
    <n v="0"/>
    <n v="-74387.72"/>
    <n v="-28088.18"/>
    <n v="25596.87"/>
    <n v="37371.9"/>
    <n v="0.54"/>
    <n v="-4375.8999999999996"/>
    <n v="-21.12"/>
    <n v="1631495.19"/>
    <n v="0.17235400000000001"/>
    <n v="1.0103"/>
    <n v="0.17413400000000001"/>
    <s v="CohortTrend+Seasonal(1.010)"/>
    <n v="284099.05"/>
    <n v="290901.44"/>
    <n v="-6802.39"/>
    <x v="1"/>
    <n v="37371.9"/>
    <n v="0.78500000000000003"/>
    <n v="0.24"/>
    <n v="29336.94"/>
    <n v="29336.94"/>
    <n v="8969.26"/>
    <n v="261564.49"/>
    <n v="1708374.75"/>
    <n v="0.15310699999999999"/>
    <n v="22534.55"/>
    <n v="22535.09"/>
    <n v="75678.09"/>
    <n v="98213.19"/>
    <n v="1533282"/>
    <s v="Forecast"/>
  </r>
  <r>
    <x v="11"/>
    <x v="2"/>
    <s v="202405"/>
    <n v="28"/>
    <n v="1933871.83"/>
    <n v="-1.9311109163822181E-2"/>
    <s v="CohortAvg"/>
    <n v="-1.512084485136159E-2"/>
    <s v="CohortAvg"/>
    <n v="0.17337741322623271"/>
    <s v="CohortAvg"/>
    <n v="3.1436805809993973E-2"/>
    <s v="CohortAvg_NonZero"/>
    <n v="3.4879061321565791E-7"/>
    <s v="CohortAvg"/>
    <n v="0"/>
    <s v="Zero"/>
    <n v="-5.6668669600202339E-3"/>
    <s v="CohortAvg"/>
    <n v="-3.4476348025431058E-5"/>
    <s v="CohortAvg"/>
    <n v="0"/>
    <n v="-37345.21"/>
    <n v="-29241.78"/>
    <n v="27940.81"/>
    <n v="60794.75"/>
    <n v="0.67"/>
    <n v="-10958.99"/>
    <n v="-66.67"/>
    <n v="1834430.22"/>
    <n v="0.146283"/>
    <n v="1.0103"/>
    <n v="0.14779300000000001"/>
    <s v="CohortTrend+Seasonal(1.010)"/>
    <n v="271116.69"/>
    <n v="273484.77"/>
    <n v="-2368.0700000000002"/>
    <x v="1"/>
    <n v="60794.75"/>
    <n v="0.78500000000000003"/>
    <n v="0.24"/>
    <n v="47723.88"/>
    <n v="47723.88"/>
    <n v="14590.74"/>
    <n v="225760.88"/>
    <n v="1873077.07"/>
    <n v="0.120529"/>
    <n v="45355.81"/>
    <n v="45356.480000000003"/>
    <n v="123109.37"/>
    <n v="168465.86"/>
    <n v="1665964.36"/>
    <s v="Forecast"/>
  </r>
  <r>
    <x v="11"/>
    <x v="2"/>
    <s v="202406"/>
    <n v="27"/>
    <n v="1551207.23"/>
    <n v="-2.770249900770981E-2"/>
    <s v="CohortAvg"/>
    <n v="-1.5132693455421779E-2"/>
    <s v="CohortAvg"/>
    <n v="0.17199275785359699"/>
    <s v="CohortAvg"/>
    <n v="6.1964442306873403E-2"/>
    <s v="CohortAvg_NonZero"/>
    <n v="3.022346741927705E-7"/>
    <s v="CohortAvg"/>
    <n v="0"/>
    <s v="Zero"/>
    <n v="-3.5735071523050441E-3"/>
    <s v="CohortAvg"/>
    <n v="-5.4684767516315199E-5"/>
    <s v="CohortAvg"/>
    <n v="0"/>
    <n v="-42972.32"/>
    <n v="-23473.94"/>
    <n v="22233.03"/>
    <n v="96119.69"/>
    <n v="0.47"/>
    <n v="-5543.25"/>
    <n v="-84.83"/>
    <n v="1410873.85"/>
    <n v="0.151308"/>
    <n v="1.0103"/>
    <n v="0.15287000000000001"/>
    <s v="CohortTrend+Seasonal(1.010)"/>
    <n v="215680.87"/>
    <n v="227395.09"/>
    <n v="-11714.22"/>
    <x v="1"/>
    <n v="96119.69"/>
    <n v="0.78500000000000003"/>
    <n v="0.24"/>
    <n v="75453.960000000006"/>
    <n v="75453.960000000006"/>
    <n v="23068.73"/>
    <n v="151941.13"/>
    <n v="1455087.54"/>
    <n v="0.104421"/>
    <n v="63739.74"/>
    <n v="63740.21"/>
    <n v="194642.37"/>
    <n v="258382.58"/>
    <n v="1152491.26"/>
    <s v="Forecast"/>
  </r>
  <r>
    <x v="11"/>
    <x v="2"/>
    <s v="202407"/>
    <n v="26"/>
    <n v="2898483.4"/>
    <n v="-2.7287887826801221E-2"/>
    <s v="CohortAvg"/>
    <n v="-1.5647250235052031E-2"/>
    <s v="CohortAvg"/>
    <n v="0.17594312730212361"/>
    <s v="CohortAvg"/>
    <n v="3.1495679811395783E-2"/>
    <s v="CohortAvg_NonZero"/>
    <n v="6.6172407490718702E-6"/>
    <s v="CohortAvg"/>
    <n v="0"/>
    <s v="Zero"/>
    <n v="-4.9230617879402099E-3"/>
    <s v="CohortAvg"/>
    <n v="-4.1472622336566577E-5"/>
    <s v="CohortAvg"/>
    <n v="0"/>
    <n v="-79093.490000000005"/>
    <n v="-45353.3"/>
    <n v="42497.35"/>
    <n v="91289.7"/>
    <n v="19.18"/>
    <n v="-14269.41"/>
    <n v="-120.21"/>
    <n v="2725225.08"/>
    <n v="0.12885099999999999"/>
    <n v="1.0103"/>
    <n v="0.13018099999999999"/>
    <s v="CohortTrend+Seasonal(1.010)"/>
    <n v="354773.54"/>
    <n v="360510.94"/>
    <n v="-5737.4"/>
    <x v="1"/>
    <n v="91289.7"/>
    <n v="0.78500000000000003"/>
    <n v="0.24"/>
    <n v="71662.42"/>
    <n v="71662.42"/>
    <n v="21909.53"/>
    <n v="288848.52"/>
    <n v="2807193.69"/>
    <n v="0.102896"/>
    <n v="65925.02"/>
    <n v="65944.2"/>
    <n v="184861.65"/>
    <n v="250805.85"/>
    <n v="2474419.23"/>
    <s v="Forecast"/>
  </r>
  <r>
    <x v="11"/>
    <x v="2"/>
    <s v="202408"/>
    <n v="25"/>
    <n v="2099183.89"/>
    <n v="-2.4059399445902501E-2"/>
    <s v="CohortAvg"/>
    <n v="-1.648059507508207E-2"/>
    <s v="CohortAvg"/>
    <n v="0.18808369027041841"/>
    <s v="CohortAvg"/>
    <n v="2.147631927347831E-2"/>
    <s v="CohortAvg_NonZero"/>
    <n v="1.2222570024655879E-7"/>
    <s v="CohortAvg"/>
    <n v="0"/>
    <s v="Zero"/>
    <n v="-2.3589188978698299E-3"/>
    <s v="CohortAvg"/>
    <n v="-2.530381756992683E-5"/>
    <s v="CohortAvg"/>
    <n v="0"/>
    <n v="-50505.1"/>
    <n v="-34595.800000000003"/>
    <n v="32901.85"/>
    <n v="45082.74"/>
    <n v="0.26"/>
    <n v="-4951.8"/>
    <n v="-53.12"/>
    <n v="2001901.84"/>
    <n v="0.12756400000000001"/>
    <n v="1.0103"/>
    <n v="0.128881"/>
    <s v="CohortTrend+Seasonal(1.010)"/>
    <n v="258006.88"/>
    <n v="256755.8"/>
    <n v="1251.08"/>
    <x v="1"/>
    <n v="45082.74"/>
    <n v="0.78500000000000003"/>
    <n v="0.24"/>
    <n v="35389.949999999997"/>
    <n v="35389.949999999997"/>
    <n v="10819.86"/>
    <n v="221365.85"/>
    <n v="2054101.15"/>
    <n v="0.107768"/>
    <n v="36641.03"/>
    <n v="36641.29"/>
    <n v="91292.56"/>
    <n v="127933.84"/>
    <n v="1873968"/>
    <s v="Forecast"/>
  </r>
  <r>
    <x v="11"/>
    <x v="2"/>
    <s v="202409"/>
    <n v="24"/>
    <n v="1899958.07"/>
    <n v="-3.2584742830977252E-2"/>
    <s v="CohortAvg"/>
    <n v="-1.6750421037670538E-2"/>
    <s v="CohortAvg"/>
    <n v="0.18528091094472299"/>
    <s v="CohortAvg"/>
    <n v="3.4768928912398793E-2"/>
    <s v="CohortAvg_NonZero"/>
    <n v="7.5096860624980536E-6"/>
    <s v="CohortAvg"/>
    <n v="0"/>
    <s v="Zero"/>
    <n v="-1.1759559402983309E-2"/>
    <s v="CohortAvg"/>
    <n v="-9.5253070172636871E-5"/>
    <s v="CohortAvg"/>
    <n v="0"/>
    <n v="-61909.65"/>
    <n v="-31825.1"/>
    <n v="29335.5"/>
    <n v="66059.509999999995"/>
    <n v="14.27"/>
    <n v="-22342.67"/>
    <n v="-180.98"/>
    <n v="1769485.05"/>
    <n v="0.11186699999999999"/>
    <n v="1.0103"/>
    <n v="0.113022"/>
    <s v="CohortTrend+Seasonal(1.010)"/>
    <n v="199990.19"/>
    <n v="203794.61"/>
    <n v="-3804.42"/>
    <x v="1"/>
    <n v="66059.509999999995"/>
    <n v="0.78500000000000003"/>
    <n v="0.24"/>
    <n v="51856.71"/>
    <n v="51856.71"/>
    <n v="15854.28"/>
    <n v="151937.89000000001"/>
    <n v="1833898.56"/>
    <n v="8.2849999999999993E-2"/>
    <n v="48052.29"/>
    <n v="48066.559999999998"/>
    <n v="133770.5"/>
    <n v="181837.06"/>
    <n v="1587647.98"/>
    <s v="Forecast"/>
  </r>
  <r>
    <x v="11"/>
    <x v="2"/>
    <s v="202410"/>
    <n v="23"/>
    <n v="1770258.94"/>
    <n v="-4.0437414472348533E-2"/>
    <s v="CohortAvg"/>
    <n v="-1.6707295704713632E-2"/>
    <s v="CohortAvg"/>
    <n v="0.1821130576887614"/>
    <s v="CohortAvg"/>
    <n v="2.9048612762366751E-2"/>
    <s v="CohortAvg_NonZero"/>
    <n v="5.6157177061132796E-7"/>
    <s v="CohortAvg"/>
    <n v="0"/>
    <s v="Zero"/>
    <n v="-7.392931686448132E-3"/>
    <s v="CohortAvg"/>
    <n v="-1.116562693324118E-4"/>
    <s v="CohortAvg"/>
    <n v="0"/>
    <n v="-71584.69"/>
    <n v="-29576.240000000002"/>
    <n v="26865.61"/>
    <n v="51423.57"/>
    <n v="0.99"/>
    <n v="-13087.4"/>
    <n v="-197.66"/>
    <n v="1644539.05"/>
    <n v="0.103591"/>
    <n v="1.0103"/>
    <n v="0.104661"/>
    <s v="CohortTrend+Seasonal(1.010)"/>
    <n v="172118.78"/>
    <n v="176676.5"/>
    <n v="-4557.7299999999996"/>
    <x v="1"/>
    <n v="51423.57"/>
    <n v="0.78500000000000003"/>
    <n v="0.24"/>
    <n v="40367.5"/>
    <n v="40367.5"/>
    <n v="12341.66"/>
    <n v="136309"/>
    <n v="1718835.38"/>
    <n v="7.9302999999999998E-2"/>
    <n v="35809.769999999997"/>
    <n v="35810.769999999997"/>
    <n v="104132.72"/>
    <n v="139943.49"/>
    <n v="1504595.56"/>
    <s v="Forecast"/>
  </r>
  <r>
    <x v="11"/>
    <x v="2"/>
    <s v="202411"/>
    <n v="22"/>
    <n v="2035433.09"/>
    <n v="-3.6961031315886697E-2"/>
    <s v="CohortAvg"/>
    <n v="-1.7545487692340139E-2"/>
    <s v="CohortAvg"/>
    <n v="0.19020373144431041"/>
    <s v="CohortAvg"/>
    <n v="2.1556049680176451E-2"/>
    <s v="CohortAvg_NonZero"/>
    <n v="1.9755388226430119E-6"/>
    <s v="CohortAvg"/>
    <n v="0"/>
    <s v="Zero"/>
    <n v="-1.0978166839186031E-2"/>
    <s v="CohortAvg"/>
    <n v="-9.641120495546892E-5"/>
    <s v="CohortAvg"/>
    <n v="0"/>
    <n v="-75231.710000000006"/>
    <n v="-35712.67"/>
    <n v="32262.25"/>
    <n v="43875.9"/>
    <n v="4.0199999999999996"/>
    <n v="-22345.32"/>
    <n v="-196.24"/>
    <n v="1912871.04"/>
    <n v="0.100678"/>
    <n v="1.0103"/>
    <n v="0.101718"/>
    <s v="CohortTrend+Seasonal(1.010)"/>
    <n v="194573.11"/>
    <n v="195154.71"/>
    <n v="-581.6"/>
    <x v="1"/>
    <n v="43875.9"/>
    <n v="0.78500000000000003"/>
    <n v="0.24"/>
    <n v="34442.58"/>
    <n v="34442.58"/>
    <n v="10530.22"/>
    <n v="160712.14000000001"/>
    <n v="1991557.19"/>
    <n v="8.0697000000000005E-2"/>
    <n v="33860.980000000003"/>
    <n v="33865"/>
    <n v="88848.69"/>
    <n v="122713.69"/>
    <n v="1790157.35"/>
    <s v="Forecast"/>
  </r>
  <r>
    <x v="11"/>
    <x v="2"/>
    <s v="202412"/>
    <n v="21"/>
    <n v="1931346.07"/>
    <n v="-2.0204477770956721E-2"/>
    <s v="CohortAvg"/>
    <n v="-1.6653650523990361E-2"/>
    <s v="CohortAvg"/>
    <n v="0.18962870787771829"/>
    <s v="CohortAvg"/>
    <n v="2.803927030983892E-2"/>
    <s v="CohortAvg_NonZero"/>
    <n v="3.5445678258723469E-7"/>
    <s v="CohortAvg"/>
    <n v="0"/>
    <s v="Zero"/>
    <n v="-1.046361405078443E-2"/>
    <s v="CohortAvg"/>
    <n v="-7.2609646523382501E-5"/>
    <s v="CohortAvg"/>
    <n v="0"/>
    <n v="-39021.839999999997"/>
    <n v="-32163.96"/>
    <n v="30519.89"/>
    <n v="54153.53"/>
    <n v="0.68"/>
    <n v="-20208.86"/>
    <n v="-140.22999999999999"/>
    <n v="1836525.94"/>
    <n v="8.5464999999999999E-2"/>
    <n v="1.0103"/>
    <n v="8.6346999999999993E-2"/>
    <s v="CohortTrend+Seasonal(1.010)"/>
    <n v="158578.94"/>
    <n v="159463.39000000001"/>
    <n v="-884.46"/>
    <x v="1"/>
    <n v="54153.53"/>
    <n v="0.78500000000000003"/>
    <n v="0.24"/>
    <n v="42510.52"/>
    <n v="42510.52"/>
    <n v="12996.85"/>
    <n v="116952.87"/>
    <n v="1877192.53"/>
    <n v="6.2302000000000003E-2"/>
    <n v="41626.07"/>
    <n v="41626.75"/>
    <n v="109660.91"/>
    <n v="151287.66"/>
    <n v="1685238.27"/>
    <s v="Forecast"/>
  </r>
  <r>
    <x v="11"/>
    <x v="2"/>
    <s v="202501"/>
    <n v="20"/>
    <n v="3354273.56"/>
    <n v="-3.03800153631568E-2"/>
    <s v="CohortAvg"/>
    <n v="-1.752624506535478E-2"/>
    <s v="CohortAvg"/>
    <n v="0.19097264687561169"/>
    <s v="CohortAvg"/>
    <n v="1.542514305022665E-2"/>
    <s v="CohortAvg_NonZero"/>
    <n v="1.490963311743705E-5"/>
    <s v="CohortAvg"/>
    <n v="0"/>
    <s v="Zero"/>
    <n v="-1.8787616475940419E-2"/>
    <s v="CohortAvg"/>
    <n v="-1.537502680807911E-4"/>
    <s v="CohortAvg"/>
    <n v="0"/>
    <n v="-101902.88"/>
    <n v="-58787.82"/>
    <n v="53381.21"/>
    <n v="51740.15"/>
    <n v="50.01"/>
    <n v="-63018.81"/>
    <n v="-515.72"/>
    <n v="3195173.91"/>
    <n v="8.6395E-2"/>
    <n v="1.0103"/>
    <n v="8.7287000000000003E-2"/>
    <s v="CohortTrend+Seasonal(1.010)"/>
    <n v="278897.59000000003"/>
    <n v="321312.65999999997"/>
    <n v="-42415.07"/>
    <x v="1"/>
    <n v="51740.15"/>
    <n v="0.78500000000000003"/>
    <n v="0.24"/>
    <n v="40616.019999999997"/>
    <n v="40616.019999999997"/>
    <n v="12417.64"/>
    <n v="280696.64"/>
    <n v="3302533.41"/>
    <n v="8.4994E-2"/>
    <n v="-1799.05"/>
    <n v="-1749.04"/>
    <n v="104773.8"/>
    <n v="103024.76"/>
    <n v="3092149.14"/>
    <s v="Forecast"/>
  </r>
  <r>
    <x v="11"/>
    <x v="2"/>
    <s v="202502"/>
    <n v="19"/>
    <n v="3420453.7"/>
    <n v="-3.4024516110142893E-2"/>
    <s v="CohortAvg"/>
    <n v="-1.7636041333045541E-2"/>
    <s v="CohortAvg"/>
    <n v="0.19740950739397151"/>
    <s v="CohortAvg"/>
    <n v="7.9645373695133598E-3"/>
    <s v="CohortAvg_NonZero"/>
    <n v="0"/>
    <s v="CohortAvg"/>
    <n v="0"/>
    <s v="Zero"/>
    <n v="-3.4104904713666027E-2"/>
    <s v="CohortAvg"/>
    <n v="-3.1179142071256289E-4"/>
    <s v="CohortAvg"/>
    <n v="0"/>
    <n v="-116379.28"/>
    <n v="-60323.26"/>
    <n v="56269.17"/>
    <n v="27242.33"/>
    <n v="0"/>
    <n v="-116654.25"/>
    <n v="-1066.47"/>
    <n v="3272778"/>
    <n v="9.6042000000000002E-2"/>
    <n v="1.0103"/>
    <n v="9.7033999999999995E-2"/>
    <s v="DonorCohort:202101+Seasonal(1.010)"/>
    <n v="317570.34999999998"/>
    <n v="283146.53999999998"/>
    <n v="34423.81"/>
    <x v="1"/>
    <n v="27242.33"/>
    <n v="0.78500000000000003"/>
    <n v="0.24"/>
    <n v="21385.23"/>
    <n v="21385.23"/>
    <n v="6538.16"/>
    <n v="261761.31"/>
    <n v="3393211.37"/>
    <n v="7.7143000000000003E-2"/>
    <n v="55809.04"/>
    <n v="55809.04"/>
    <n v="55165.72"/>
    <n v="110974.76"/>
    <n v="3161803.24"/>
    <s v="Forecast"/>
  </r>
  <r>
    <x v="11"/>
    <x v="2"/>
    <s v="202503"/>
    <n v="18"/>
    <n v="4665651.22"/>
    <n v="-2.2745747103534442E-2"/>
    <s v="CohortAvg"/>
    <n v="-1.697916876897379E-2"/>
    <s v="CohortAvg"/>
    <n v="0.201176486911325"/>
    <s v="CohortAvg"/>
    <n v="7.1848262480383477E-3"/>
    <s v="CohortAvg_NonZero"/>
    <n v="2.0621250824251391E-8"/>
    <s v="CohortAvg"/>
    <n v="0"/>
    <s v="Zero"/>
    <n v="0"/>
    <s v="CohortAvg"/>
    <n v="0"/>
    <s v="CohortAvg"/>
    <n v="0"/>
    <n v="-106123.72"/>
    <n v="-79218.880000000005"/>
    <n v="78218.28"/>
    <n v="33521.89"/>
    <n v="0.1"/>
    <n v="0"/>
    <n v="0"/>
    <n v="4525004.9000000004"/>
    <n v="8.2997000000000001E-2"/>
    <n v="1.0103"/>
    <n v="8.3853999999999998E-2"/>
    <s v="DonorCohort:202101+Seasonal(1.010)"/>
    <n v="379437.84"/>
    <n v="360448.55"/>
    <n v="18989.29"/>
    <x v="1"/>
    <n v="33521.89"/>
    <n v="0.78500000000000003"/>
    <n v="0.24"/>
    <n v="26314.69"/>
    <n v="26314.69"/>
    <n v="8045.25"/>
    <n v="334133.86"/>
    <n v="4632129.33"/>
    <n v="7.2134000000000004E-2"/>
    <n v="45303.97"/>
    <n v="45304.07"/>
    <n v="67881.83"/>
    <n v="113185.9"/>
    <n v="4411819"/>
    <s v="Forecast"/>
  </r>
  <r>
    <x v="11"/>
    <x v="2"/>
    <s v="202504"/>
    <n v="17"/>
    <n v="5858907.2800000003"/>
    <n v="-2.460044385215587E-2"/>
    <s v="CohortAvg"/>
    <n v="-1.6898325859513359E-2"/>
    <s v="CohortAvg"/>
    <n v="0.1964124085178795"/>
    <s v="CohortAvg"/>
    <n v="3.260907177009143E-3"/>
    <s v="CohortAvg_NonZero"/>
    <n v="0"/>
    <s v="CohortAvg"/>
    <n v="0"/>
    <s v="Zero"/>
    <n v="0"/>
    <s v="CohortAvg"/>
    <n v="0"/>
    <s v="CohortAvg"/>
    <n v="0"/>
    <n v="-144131.72"/>
    <n v="-99005.72"/>
    <n v="95896.84"/>
    <n v="19105.349999999999"/>
    <n v="0"/>
    <n v="0"/>
    <n v="0"/>
    <n v="5692561.3200000003"/>
    <n v="7.7456999999999998E-2"/>
    <n v="1.0103"/>
    <n v="7.8256999999999993E-2"/>
    <s v="DonorCohort:202101+Seasonal(1.010)"/>
    <n v="445484.68"/>
    <n v="443832.47"/>
    <n v="1652.22"/>
    <x v="1"/>
    <n v="19105.349999999999"/>
    <n v="0.78500000000000003"/>
    <n v="0.24"/>
    <n v="14997.7"/>
    <n v="14997.7"/>
    <n v="4585.28"/>
    <n v="428834.76"/>
    <n v="5839801.9199999999"/>
    <n v="7.3432999999999998E-2"/>
    <n v="16649.919999999998"/>
    <n v="16649.919999999998"/>
    <n v="38688.339999999997"/>
    <n v="55338.26"/>
    <n v="5637223.0599999996"/>
    <s v="Forecast"/>
  </r>
  <r>
    <x v="11"/>
    <x v="2"/>
    <s v="202505"/>
    <n v="16"/>
    <n v="5695192.8700000001"/>
    <n v="-2.7050812669363059E-2"/>
    <s v="CohortAvg"/>
    <n v="-1.63430228307191E-2"/>
    <s v="CohortAvg"/>
    <n v="0.19119103149023789"/>
    <s v="CohortAvg"/>
    <n v="0"/>
    <s v="CohortAvg_NoData_ERROR"/>
    <n v="0"/>
    <s v="CohortAvg"/>
    <n v="0"/>
    <s v="Zero"/>
    <n v="0"/>
    <s v="CohortAvg"/>
    <n v="0"/>
    <s v="CohortAvg"/>
    <n v="0"/>
    <n v="-154059.6"/>
    <n v="-93076.67"/>
    <n v="90739.15"/>
    <n v="0"/>
    <n v="0"/>
    <n v="0"/>
    <n v="0"/>
    <n v="5538795.75"/>
    <n v="7.5951000000000005E-2"/>
    <n v="1.0103"/>
    <n v="7.6735999999999999E-2"/>
    <s v="DonorCohort:202101+Seasonal(1.010)"/>
    <n v="425022.42"/>
    <n v="387138.55"/>
    <n v="37883.870000000003"/>
    <x v="1"/>
    <n v="0"/>
    <n v="0.78500000000000003"/>
    <n v="0.24"/>
    <n v="0"/>
    <n v="0"/>
    <n v="0"/>
    <n v="387138.55"/>
    <n v="5695192.8700000001"/>
    <n v="6.7975999999999995E-2"/>
    <n v="37883.870000000003"/>
    <n v="37883.870000000003"/>
    <n v="0"/>
    <n v="37883.870000000003"/>
    <n v="5500911.8799999999"/>
    <s v="Forecast"/>
  </r>
  <r>
    <x v="11"/>
    <x v="2"/>
    <s v="202506"/>
    <n v="15"/>
    <n v="6015007.79"/>
    <n v="-1.9698527302712519E-2"/>
    <s v="CohortAvg"/>
    <n v="-1.5953533943262221E-2"/>
    <s v="CohortAvg"/>
    <n v="0.19393911470195679"/>
    <s v="CohortAvg"/>
    <n v="0"/>
    <s v="CohortAvg_NoData_ERROR"/>
    <n v="0"/>
    <s v="CohortAvg"/>
    <n v="0"/>
    <s v="Zero"/>
    <n v="0"/>
    <s v="CohortAvg"/>
    <n v="0"/>
    <s v="CohortAvg"/>
    <n v="0"/>
    <n v="-118486.8"/>
    <n v="-95960.63"/>
    <n v="97212.11"/>
    <n v="0"/>
    <n v="0"/>
    <n v="0"/>
    <n v="0"/>
    <n v="5897772.4699999997"/>
    <n v="6.8154000000000006E-2"/>
    <n v="1.0103"/>
    <n v="6.8858000000000003E-2"/>
    <s v="DonorCohort:202101+Seasonal(1.010)"/>
    <n v="406106.59"/>
    <n v="336095.54"/>
    <n v="70011.05"/>
    <x v="1"/>
    <n v="0"/>
    <n v="0.78500000000000003"/>
    <n v="0.24"/>
    <n v="0"/>
    <n v="0"/>
    <n v="0"/>
    <n v="336095.54"/>
    <n v="6015007.79"/>
    <n v="5.5876000000000002E-2"/>
    <n v="70011.05"/>
    <n v="70011.05"/>
    <n v="0"/>
    <n v="70011.05"/>
    <n v="5827761.4199999999"/>
    <s v="Forecast"/>
  </r>
  <r>
    <x v="11"/>
    <x v="2"/>
    <s v="202507"/>
    <n v="14"/>
    <n v="7633549.0499999998"/>
    <n v="-1.5875167356870439E-2"/>
    <s v="CohortAvg"/>
    <n v="-1.6684705201490801E-2"/>
    <s v="CohortAvg"/>
    <n v="0.18383663973138281"/>
    <s v="CohortAvg"/>
    <n v="0"/>
    <s v="CohortAvg_NoData_ERROR"/>
    <n v="0"/>
    <s v="CohortAvg"/>
    <n v="0"/>
    <s v="Zero"/>
    <n v="0"/>
    <s v="CohortAvg"/>
    <n v="0"/>
    <s v="CohortAvg"/>
    <n v="0"/>
    <n v="-121183.87"/>
    <n v="-127363.52"/>
    <n v="116943.83"/>
    <n v="0"/>
    <n v="0"/>
    <n v="0"/>
    <n v="0"/>
    <n v="7501945.5"/>
    <n v="5.6022000000000002E-2"/>
    <n v="1.0103"/>
    <n v="5.6600999999999999E-2"/>
    <s v="DonorCohort:202101+Seasonal(1.010)"/>
    <n v="424614.19"/>
    <n v="388093.61"/>
    <n v="36520.589999999997"/>
    <x v="1"/>
    <n v="0"/>
    <n v="0.78500000000000003"/>
    <n v="0.24"/>
    <n v="0"/>
    <n v="0"/>
    <n v="0"/>
    <n v="388093.61"/>
    <n v="7633549.0499999998"/>
    <n v="5.0840999999999997E-2"/>
    <n v="36520.589999999997"/>
    <n v="36520.589999999997"/>
    <n v="0"/>
    <n v="36520.589999999997"/>
    <n v="7465424.9100000001"/>
    <s v="Forecast"/>
  </r>
  <r>
    <x v="11"/>
    <x v="2"/>
    <s v="202508"/>
    <n v="13"/>
    <n v="6810674.3200000003"/>
    <n v="-1.9073327871361831E-2"/>
    <s v="CohortAvg"/>
    <n v="-1.166753521015353E-2"/>
    <s v="CohortAvg"/>
    <n v="0.183884798443498"/>
    <s v="CohortAvg"/>
    <n v="0"/>
    <s v="CohortAvg_NoData_ERROR"/>
    <n v="3.4023751140175967E-5"/>
    <s v="CohortAvg"/>
    <n v="0"/>
    <s v="Zero"/>
    <n v="0"/>
    <s v="CohortAvg"/>
    <n v="0"/>
    <s v="CohortAvg"/>
    <n v="0"/>
    <n v="-129902.22"/>
    <n v="-79463.78"/>
    <n v="104364.96"/>
    <n v="0"/>
    <n v="231.72"/>
    <n v="0"/>
    <n v="0"/>
    <n v="6705441.5499999998"/>
    <n v="5.0972999999999997E-2"/>
    <n v="1.0103"/>
    <n v="5.1499999999999997E-2"/>
    <s v="DonorCohort:202101+Seasonal(1.010)"/>
    <n v="345327.7"/>
    <n v="312514.77"/>
    <n v="32812.93"/>
    <x v="1"/>
    <n v="0"/>
    <n v="0.78500000000000003"/>
    <n v="0.24"/>
    <n v="0"/>
    <n v="0"/>
    <n v="0"/>
    <n v="312514.77"/>
    <n v="6810674.3200000003"/>
    <n v="4.5886000000000003E-2"/>
    <n v="32812.93"/>
    <n v="33044.65"/>
    <n v="0"/>
    <n v="33044.65"/>
    <n v="6672396.9000000004"/>
    <s v="Forecast"/>
  </r>
  <r>
    <x v="11"/>
    <x v="2"/>
    <s v="202509"/>
    <n v="12"/>
    <n v="2091506.15"/>
    <n v="-0.25105126001845579"/>
    <s v="CohortAvg"/>
    <n v="-3.080279919232448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525075.26"/>
    <n v="-64424.24"/>
    <n v="87146.09"/>
    <n v="0"/>
    <n v="0"/>
    <n v="0"/>
    <n v="0"/>
    <n v="1589152.74"/>
    <n v="4.6005999999999998E-2"/>
    <n v="1.0103"/>
    <n v="4.6481000000000001E-2"/>
    <s v="DonorCohort:202101+Seasonal(1.010)"/>
    <n v="73865.240000000005"/>
    <n v="82708.55"/>
    <n v="-8843.31"/>
    <x v="1"/>
    <n v="0"/>
    <n v="0.78500000000000003"/>
    <n v="0.24"/>
    <n v="0"/>
    <n v="0"/>
    <n v="0"/>
    <n v="82708.55"/>
    <n v="2091506.15"/>
    <n v="3.9544999999999997E-2"/>
    <n v="-8843.31"/>
    <n v="-8843.31"/>
    <n v="0"/>
    <n v="-8843.31"/>
    <n v="1597996.05"/>
    <s v="Forecast"/>
  </r>
  <r>
    <x v="11"/>
    <x v="3"/>
    <s v="201912"/>
    <n v="81"/>
    <n v="50745.04"/>
    <n v="-6.9219598419990314E-3"/>
    <s v="CohortAvg"/>
    <n v="-6.4451107859771813E-4"/>
    <s v="CohortAvg"/>
    <n v="0"/>
    <s v="CohortAvg"/>
    <n v="2.9730106175885122E-2"/>
    <s v="CohortAvg_NonZero"/>
    <n v="3.9464528802912429E-7"/>
    <s v="CohortAvg"/>
    <n v="0"/>
    <s v="Zero"/>
    <n v="0"/>
    <s v="CohortAvg"/>
    <n v="0"/>
    <s v="CohortAvg"/>
    <n v="0"/>
    <n v="-351.26"/>
    <n v="-32.71"/>
    <n v="0"/>
    <n v="1508.66"/>
    <n v="0.02"/>
    <n v="0"/>
    <n v="0"/>
    <n v="48852.4"/>
    <n v="0.98809899999999995"/>
    <n v="0.99860000000000004"/>
    <n v="0.98672300000000002"/>
    <s v="CohortAvg+Seasonal(0.999)"/>
    <n v="48203.81"/>
    <n v="48635.82"/>
    <n v="-432.01"/>
    <x v="1"/>
    <n v="1508.66"/>
    <n v="0.78500000000000003"/>
    <n v="0.24"/>
    <n v="1184.29"/>
    <n v="1184.29"/>
    <n v="362.08"/>
    <n v="47451.519999999997"/>
    <n v="49236.38"/>
    <n v="0.96374899999999997"/>
    <n v="752.29"/>
    <n v="752.31"/>
    <n v="3055.03"/>
    <n v="3807.33"/>
    <n v="45045.07"/>
    <s v="Forecast"/>
  </r>
  <r>
    <x v="11"/>
    <x v="3"/>
    <s v="202001"/>
    <n v="80"/>
    <n v="3.56"/>
    <n v="-0.5"/>
    <s v="CohortAvg"/>
    <n v="-1.063913398202573E-5"/>
    <s v="CohortAvg"/>
    <n v="0"/>
    <s v="CohortAvg"/>
    <n v="1.8004358230718769E-2"/>
    <s v="CohortAvg_NonZero"/>
    <n v="0"/>
    <s v="CohortAvg"/>
    <n v="0"/>
    <s v="Zero"/>
    <n v="0"/>
    <s v="CohortAvg"/>
    <n v="0"/>
    <s v="CohortAvg"/>
    <n v="0"/>
    <n v="-1.78"/>
    <n v="0"/>
    <n v="0"/>
    <n v="0.06"/>
    <n v="0"/>
    <n v="0"/>
    <n v="0"/>
    <n v="1.72"/>
    <n v="0.81897600000000004"/>
    <n v="0.99860000000000004"/>
    <n v="0.81783600000000001"/>
    <s v="CohortAvg+Seasonal(0.999)"/>
    <n v="1.4"/>
    <n v="2.84"/>
    <n v="-1.43"/>
    <x v="1"/>
    <n v="0.06"/>
    <n v="0.78500000000000003"/>
    <n v="0.24"/>
    <n v="0.05"/>
    <n v="0.05"/>
    <n v="0.02"/>
    <n v="2.79"/>
    <n v="3.5"/>
    <n v="0.796566"/>
    <n v="-1.38"/>
    <n v="-1.38"/>
    <n v="0.13"/>
    <n v="-1.25"/>
    <n v="2.97"/>
    <s v="Forecast"/>
  </r>
  <r>
    <x v="11"/>
    <x v="3"/>
    <s v="202101"/>
    <n v="68"/>
    <n v="636913.47"/>
    <n v="-0.1053309493843681"/>
    <s v="CohortAvg"/>
    <n v="-8.1849858517741014E-3"/>
    <s v="CohortAvg"/>
    <n v="0.1092151844669596"/>
    <s v="CohortAvg"/>
    <n v="6.201026287066278E-3"/>
    <s v="CohortAvg_NonZero"/>
    <n v="0"/>
    <s v="CohortAvg"/>
    <n v="0"/>
    <s v="Zero"/>
    <n v="-9.345710046355464E-5"/>
    <s v="CohortAvg"/>
    <n v="-9.9277633698637852E-7"/>
    <s v="CohortAvg"/>
    <n v="0"/>
    <n v="-67086.7"/>
    <n v="-5213.13"/>
    <n v="5796.72"/>
    <n v="3949.52"/>
    <n v="0"/>
    <n v="-59.52"/>
    <n v="-0.63"/>
    <n v="566460.84"/>
    <n v="0.27607799999999999"/>
    <n v="0.99860000000000004"/>
    <n v="0.27569300000000002"/>
    <s v="CohortAvg+Seasonal(0.999)"/>
    <n v="156169.46"/>
    <n v="170705.5"/>
    <n v="-14536.04"/>
    <x v="1"/>
    <n v="3949.52"/>
    <n v="0.78500000000000003"/>
    <n v="0.24"/>
    <n v="3100.37"/>
    <n v="3100.37"/>
    <n v="947.88"/>
    <n v="167605.13"/>
    <n v="632963.94999999995"/>
    <n v="0.26479399999999997"/>
    <n v="-11435.67"/>
    <n v="-11435.67"/>
    <n v="7997.77"/>
    <n v="-3437.9"/>
    <n v="569898.74"/>
    <s v="Forecast"/>
  </r>
  <r>
    <x v="11"/>
    <x v="3"/>
    <s v="202201"/>
    <n v="48"/>
    <n v="150085.89000000001"/>
    <n v="-8.8819361653983367E-2"/>
    <s v="CohortAvg"/>
    <n v="-1.03885353994672E-2"/>
    <s v="CohortAvg"/>
    <n v="0.1128016474065289"/>
    <s v="CohortAvg"/>
    <n v="3.3176349096302023E-2"/>
    <s v="CohortAvg_NonZero"/>
    <n v="8.9415432917805751E-4"/>
    <s v="CohortAvg"/>
    <n v="0"/>
    <s v="Zero"/>
    <n v="-9.8486556933280315E-5"/>
    <s v="CohortAvg"/>
    <n v="-8.3821017564542347E-7"/>
    <s v="CohortAvg"/>
    <n v="0"/>
    <n v="-13330.53"/>
    <n v="-1559.17"/>
    <n v="1410.83"/>
    <n v="4979.3"/>
    <n v="134.19999999999999"/>
    <n v="-14.78"/>
    <n v="-0.13"/>
    <n v="131493.51"/>
    <n v="0.30431000000000002"/>
    <n v="0.99860000000000004"/>
    <n v="0.30388599999999999"/>
    <s v="CohortAvg+Seasonal(0.999)"/>
    <n v="39959.1"/>
    <n v="44283.45"/>
    <n v="-4324.3500000000004"/>
    <x v="1"/>
    <n v="4979.3"/>
    <n v="0.78500000000000003"/>
    <n v="0.24"/>
    <n v="3908.75"/>
    <n v="3908.75"/>
    <n v="1195.03"/>
    <n v="40374.699999999997"/>
    <n v="145106.59"/>
    <n v="0.27824199999999999"/>
    <n v="-415.6"/>
    <n v="-281.39999999999998"/>
    <n v="10083.09"/>
    <n v="9801.68"/>
    <n v="121691.83"/>
    <s v="Forecast"/>
  </r>
  <r>
    <x v="11"/>
    <x v="3"/>
    <s v="202301"/>
    <n v="39"/>
    <n v="2005550.67"/>
    <n v="-6.9881077477289652E-2"/>
    <s v="CohortAvg"/>
    <n v="-1.6139925475498161E-2"/>
    <s v="CohortAvg"/>
    <n v="0.19084734291959421"/>
    <s v="CohortAvg"/>
    <n v="2.5072481309853321E-2"/>
    <s v="CohortAvg_NonZero"/>
    <n v="2.3334153867341591E-6"/>
    <s v="CohortAvg"/>
    <n v="0"/>
    <s v="Zero"/>
    <n v="-2.4225158219059692E-3"/>
    <s v="CohortAvg"/>
    <n v="-1.4821653508419381E-5"/>
    <s v="CohortAvg"/>
    <n v="0"/>
    <n v="-140150.04"/>
    <n v="-32369.439999999999"/>
    <n v="31896.17"/>
    <n v="50284.13"/>
    <n v="4.68"/>
    <n v="-4858.4799999999996"/>
    <n v="-29.73"/>
    <n v="1814638.55"/>
    <n v="0.29552400000000001"/>
    <n v="0.99860000000000004"/>
    <n v="0.29511199999999999"/>
    <s v="CohortTrend+Seasonal(0.999)"/>
    <n v="535521.63"/>
    <n v="558217.48"/>
    <n v="-22695.85"/>
    <x v="1"/>
    <n v="50284.13"/>
    <n v="0.78500000000000003"/>
    <n v="0.24"/>
    <n v="39473.040000000001"/>
    <n v="39473.040000000001"/>
    <n v="12068.19"/>
    <n v="518744.44"/>
    <n v="1955266.54"/>
    <n v="0.26530599999999999"/>
    <n v="16777.189999999999"/>
    <n v="16781.87"/>
    <n v="101825.37"/>
    <n v="118607.24"/>
    <n v="1696031.31"/>
    <s v="Forecast"/>
  </r>
  <r>
    <x v="11"/>
    <x v="3"/>
    <s v="202404"/>
    <n v="29"/>
    <n v="530922.68999999994"/>
    <n v="-4.9994077191489468E-2"/>
    <s v="CohortAvg"/>
    <n v="-1.7538972305553228E-2"/>
    <s v="CohortAvg"/>
    <n v="0.1913895029792797"/>
    <s v="CohortAvg"/>
    <n v="6.2911239211154504E-2"/>
    <s v="CohortAvg_NonZero"/>
    <n v="1.393214188846414E-6"/>
    <s v="CohortAvg"/>
    <n v="0"/>
    <s v="Zero"/>
    <n v="-1.0618406134824719E-2"/>
    <s v="CohortAvg"/>
    <n v="-1.1955006154649721E-4"/>
    <s v="CohortAvg"/>
    <n v="0"/>
    <n v="-26542.99"/>
    <n v="-9311.84"/>
    <n v="8467.75"/>
    <n v="33401"/>
    <n v="0.74"/>
    <n v="-5637.55"/>
    <n v="-63.47"/>
    <n v="470133.87"/>
    <n v="0.18498600000000001"/>
    <n v="0.99860000000000004"/>
    <n v="0.184729"/>
    <s v="CohortTrend+Seasonal(0.999)"/>
    <n v="86847.27"/>
    <n v="92680.58"/>
    <n v="-5833.3"/>
    <x v="1"/>
    <n v="33401"/>
    <n v="0.78500000000000003"/>
    <n v="0.24"/>
    <n v="26219.79"/>
    <n v="26219.79"/>
    <n v="8016.24"/>
    <n v="66460.789999999994"/>
    <n v="497521.69"/>
    <n v="0.13358400000000001"/>
    <n v="20386.48"/>
    <n v="20387.22"/>
    <n v="67637.03"/>
    <n v="88024.26"/>
    <n v="382109.61"/>
    <s v="Forecast"/>
  </r>
  <r>
    <x v="11"/>
    <x v="3"/>
    <s v="202405"/>
    <n v="28"/>
    <n v="481306.14"/>
    <n v="-5.210347349011147E-2"/>
    <s v="CohortAvg"/>
    <n v="-1.7933325497794871E-2"/>
    <s v="CohortAvg"/>
    <n v="0.19995354320958261"/>
    <s v="CohortAvg"/>
    <n v="4.5504491570263948E-2"/>
    <s v="CohortAvg_NonZero"/>
    <n v="9.2446610039179102E-7"/>
    <s v="CohortAvg"/>
    <n v="0"/>
    <s v="Zero"/>
    <n v="-1.207461368220264E-2"/>
    <s v="CohortAvg"/>
    <n v="-1.079118421924444E-4"/>
    <s v="CohortAvg"/>
    <n v="0"/>
    <n v="-25077.72"/>
    <n v="-8631.42"/>
    <n v="8019.91"/>
    <n v="21901.59"/>
    <n v="0.44"/>
    <n v="-5811.59"/>
    <n v="-51.94"/>
    <n v="433714.87"/>
    <n v="0.151251"/>
    <n v="0.99860000000000004"/>
    <n v="0.15104000000000001"/>
    <s v="CohortTrend+Seasonal(0.999)"/>
    <n v="65508.27"/>
    <n v="68977.64"/>
    <n v="-3469.37"/>
    <x v="1"/>
    <n v="21901.59"/>
    <n v="0.78500000000000003"/>
    <n v="0.24"/>
    <n v="17192.75"/>
    <n v="17192.75"/>
    <n v="5256.38"/>
    <n v="51784.89"/>
    <n v="459404.55"/>
    <n v="0.112722"/>
    <n v="13723.37"/>
    <n v="13723.82"/>
    <n v="44350.720000000001"/>
    <n v="58074.54"/>
    <n v="375640.33"/>
    <s v="Forecast"/>
  </r>
  <r>
    <x v="11"/>
    <x v="3"/>
    <s v="202406"/>
    <n v="27"/>
    <n v="609265.38"/>
    <n v="-4.8066557495598988E-2"/>
    <s v="CohortAvg"/>
    <n v="-1.8110817651660449E-2"/>
    <s v="CohortAvg"/>
    <n v="0.20258997176899671"/>
    <s v="CohortAvg"/>
    <n v="3.9257495646981951E-2"/>
    <s v="CohortAvg_NonZero"/>
    <n v="6.6456487759716545E-7"/>
    <s v="CohortAvg"/>
    <n v="0"/>
    <s v="Zero"/>
    <n v="-1.388608033507405E-2"/>
    <s v="CohortAvg"/>
    <n v="-1.0651734426072621E-4"/>
    <s v="CohortAvg"/>
    <n v="0"/>
    <n v="-29285.29"/>
    <n v="-11034.29"/>
    <n v="10285.92"/>
    <n v="23918.23"/>
    <n v="0.4"/>
    <n v="-8460.31"/>
    <n v="-64.900000000000006"/>
    <n v="555313.07999999996"/>
    <n v="0.119227"/>
    <n v="0.99860000000000004"/>
    <n v="0.119061"/>
    <s v="CohortTrend+Seasonal(0.999)"/>
    <n v="66116.27"/>
    <n v="68893.279999999999"/>
    <n v="-2777"/>
    <x v="1"/>
    <n v="23918.23"/>
    <n v="0.78500000000000003"/>
    <n v="0.24"/>
    <n v="18775.810000000001"/>
    <n v="18775.810000000001"/>
    <n v="5740.38"/>
    <n v="50117.46"/>
    <n v="585347.15"/>
    <n v="8.5620000000000002E-2"/>
    <n v="15998.81"/>
    <n v="15999.21"/>
    <n v="48434.42"/>
    <n v="64433.64"/>
    <n v="490879.45"/>
    <s v="Forecast"/>
  </r>
  <r>
    <x v="11"/>
    <x v="3"/>
    <s v="202407"/>
    <n v="26"/>
    <n v="518878.55"/>
    <n v="-6.7438272218556403E-2"/>
    <s v="CohortAvg"/>
    <n v="-1.8937056389824309E-2"/>
    <s v="CohortAvg"/>
    <n v="0.2068317541068006"/>
    <s v="CohortAvg"/>
    <n v="2.697066077832902E-2"/>
    <s v="CohortAvg_NonZero"/>
    <n v="5.1624939931017437E-6"/>
    <s v="CohortAvg"/>
    <n v="0"/>
    <s v="Zero"/>
    <n v="-1.6971946865513371E-2"/>
    <s v="CohortAvg"/>
    <n v="-2.012930043652048E-4"/>
    <s v="CohortAvg"/>
    <n v="0"/>
    <n v="-34992.269999999997"/>
    <n v="-9826.0300000000007"/>
    <n v="8943.3799999999992"/>
    <n v="13994.5"/>
    <n v="2.68"/>
    <n v="-8806.3799999999992"/>
    <n v="-104.45"/>
    <n v="469006.45"/>
    <n v="9.8006999999999997E-2"/>
    <n v="0.99860000000000004"/>
    <n v="9.7869999999999999E-2"/>
    <s v="CohortTrend+Seasonal(0.999)"/>
    <n v="45901.83"/>
    <n v="48379.97"/>
    <n v="-2478.15"/>
    <x v="1"/>
    <n v="13994.5"/>
    <n v="0.78500000000000003"/>
    <n v="0.24"/>
    <n v="10985.68"/>
    <n v="10985.68"/>
    <n v="3358.68"/>
    <n v="37394.29"/>
    <n v="504884.05"/>
    <n v="7.4065000000000006E-2"/>
    <n v="8507.5300000000007"/>
    <n v="8510.2099999999991"/>
    <n v="28338.86"/>
    <n v="36849.07"/>
    <n v="432157.38"/>
    <s v="Forecast"/>
  </r>
  <r>
    <x v="11"/>
    <x v="3"/>
    <s v="202408"/>
    <n v="25"/>
    <n v="681301.8"/>
    <n v="-4.9723627138593539E-2"/>
    <s v="CohortAvg"/>
    <n v="-1.9265127581771069E-2"/>
    <s v="CohortAvg"/>
    <n v="0.21392488502586751"/>
    <s v="CohortAvg"/>
    <n v="3.1969352939513418E-2"/>
    <s v="CohortAvg_NonZero"/>
    <n v="1.1999182884480459E-6"/>
    <s v="CohortAvg"/>
    <n v="0"/>
    <s v="Zero"/>
    <n v="-1.1649723270635799E-2"/>
    <s v="CohortAvg"/>
    <n v="-1.0121552514570979E-4"/>
    <s v="CohortAvg"/>
    <n v="0"/>
    <n v="-33876.800000000003"/>
    <n v="-13125.37"/>
    <n v="12145.62"/>
    <n v="21780.78"/>
    <n v="0.82"/>
    <n v="-7936.98"/>
    <n v="-68.959999999999994"/>
    <n v="624663.66"/>
    <n v="8.4950999999999999E-2"/>
    <n v="0.99860000000000004"/>
    <n v="8.4833000000000006E-2"/>
    <s v="CohortTrend+Seasonal(0.999)"/>
    <n v="52991.96"/>
    <n v="55271.03"/>
    <n v="-2279.0700000000002"/>
    <x v="1"/>
    <n v="21780.78"/>
    <n v="0.78500000000000003"/>
    <n v="0.24"/>
    <n v="17097.91"/>
    <n v="17097.91"/>
    <n v="5227.3900000000003"/>
    <n v="38173.120000000003"/>
    <n v="659521.02"/>
    <n v="5.7880000000000001E-2"/>
    <n v="14818.84"/>
    <n v="14819.65"/>
    <n v="44106.07"/>
    <n v="58925.73"/>
    <n v="565737.93000000005"/>
    <s v="Forecast"/>
  </r>
  <r>
    <x v="11"/>
    <x v="3"/>
    <s v="202409"/>
    <n v="24"/>
    <n v="491667.34"/>
    <n v="-7.3414968803902886E-2"/>
    <s v="CohortAvg"/>
    <n v="-2.0152633755300121E-2"/>
    <s v="CohortAvg"/>
    <n v="0.21057584717077449"/>
    <s v="CohortAvg"/>
    <n v="3.5439378889984698E-2"/>
    <s v="CohortAvg_NonZero"/>
    <n v="8.2968189360474355E-7"/>
    <s v="CohortAvg"/>
    <n v="0"/>
    <s v="Zero"/>
    <n v="-1.440521549345289E-2"/>
    <s v="CohortAvg"/>
    <n v="-1.14074732046223E-4"/>
    <s v="CohortAvg"/>
    <n v="0"/>
    <n v="-36095.74"/>
    <n v="-9908.39"/>
    <n v="8627.77"/>
    <n v="17424.39"/>
    <n v="0.41"/>
    <n v="-7082.57"/>
    <n v="-56.09"/>
    <n v="436866.18"/>
    <n v="7.1446999999999997E-2"/>
    <n v="0.99860000000000004"/>
    <n v="7.1346999999999994E-2"/>
    <s v="CohortTrend+Seasonal(0.999)"/>
    <n v="31169.16"/>
    <n v="33705.25"/>
    <n v="-2536.09"/>
    <x v="1"/>
    <n v="17424.39"/>
    <n v="0.78500000000000003"/>
    <n v="0.24"/>
    <n v="13678.14"/>
    <n v="13678.14"/>
    <n v="4181.8500000000004"/>
    <n v="20027.11"/>
    <n v="474242.95"/>
    <n v="4.2229999999999997E-2"/>
    <n v="11142.05"/>
    <n v="11142.46"/>
    <n v="35284.379999999997"/>
    <n v="46426.84"/>
    <n v="390439.35"/>
    <s v="Forecast"/>
  </r>
  <r>
    <x v="11"/>
    <x v="3"/>
    <s v="202410"/>
    <n v="23"/>
    <n v="580167.41"/>
    <n v="-4.8387205143660711E-2"/>
    <s v="CohortAvg"/>
    <n v="-1.9975368275587019E-2"/>
    <s v="CohortAvg"/>
    <n v="0.21328376844769861"/>
    <s v="CohortAvg"/>
    <n v="3.7348727770708058E-2"/>
    <s v="CohortAvg_NonZero"/>
    <n v="1.240923442688326E-6"/>
    <s v="CohortAvg"/>
    <n v="0"/>
    <s v="Zero"/>
    <n v="-1.9887561878155949E-2"/>
    <s v="CohortAvg"/>
    <n v="-1.6380836662993229E-4"/>
    <s v="CohortAvg"/>
    <n v="0"/>
    <n v="-28072.68"/>
    <n v="-11589.06"/>
    <n v="10311.69"/>
    <n v="21668.51"/>
    <n v="0.72"/>
    <n v="-11538.12"/>
    <n v="-95.04"/>
    <n v="529148.13"/>
    <n v="6.6413E-2"/>
    <n v="0.99860000000000004"/>
    <n v="6.6321000000000005E-2"/>
    <s v="CohortTrend+Seasonal(0.999)"/>
    <n v="35093.43"/>
    <n v="36998.35"/>
    <n v="-1904.92"/>
    <x v="1"/>
    <n v="21668.51"/>
    <n v="0.78500000000000003"/>
    <n v="0.24"/>
    <n v="17009.78"/>
    <n v="17009.78"/>
    <n v="5200.4399999999996"/>
    <n v="19988.57"/>
    <n v="558498.9"/>
    <n v="3.5790000000000002E-2"/>
    <n v="15104.86"/>
    <n v="15105.58"/>
    <n v="43878.74"/>
    <n v="58984.32"/>
    <n v="470163.81"/>
    <s v="Forecast"/>
  </r>
  <r>
    <x v="11"/>
    <x v="3"/>
    <s v="202411"/>
    <n v="22"/>
    <n v="650797.18999999994"/>
    <n v="-5.2182370602713989E-2"/>
    <s v="CohortAvg"/>
    <n v="-2.010852673981154E-2"/>
    <s v="CohortAvg"/>
    <n v="0.2231534096985463"/>
    <s v="CohortAvg"/>
    <n v="2.8604932600174039E-2"/>
    <s v="CohortAvg_NonZero"/>
    <n v="2.6977353914202751E-7"/>
    <s v="CohortAvg"/>
    <n v="0"/>
    <s v="Zero"/>
    <n v="-2.4733278940291849E-2"/>
    <s v="CohortAvg"/>
    <n v="-2.3012364449229039E-4"/>
    <s v="CohortAvg"/>
    <n v="0"/>
    <n v="-33960.14"/>
    <n v="-13086.57"/>
    <n v="12102.3"/>
    <n v="18616.009999999998"/>
    <n v="0.18"/>
    <n v="-16096.35"/>
    <n v="-149.76"/>
    <n v="597236.59"/>
    <n v="6.0987E-2"/>
    <n v="0.99860000000000004"/>
    <n v="6.0901999999999998E-2"/>
    <s v="CohortTrend+Seasonal(0.999)"/>
    <n v="36372.69"/>
    <n v="38014"/>
    <n v="-1641.31"/>
    <x v="1"/>
    <n v="18616.009999999998"/>
    <n v="0.78500000000000003"/>
    <n v="0.24"/>
    <n v="14613.57"/>
    <n v="14613.57"/>
    <n v="4467.84"/>
    <n v="23400.43"/>
    <n v="632181.18000000005"/>
    <n v="3.7014999999999999E-2"/>
    <n v="12972.26"/>
    <n v="12972.44"/>
    <n v="37697.42"/>
    <n v="50669.86"/>
    <n v="546566.74"/>
    <s v="Forecast"/>
  </r>
  <r>
    <x v="11"/>
    <x v="3"/>
    <s v="202412"/>
    <n v="21"/>
    <n v="692885.77"/>
    <n v="-5.0424231304181437E-2"/>
    <s v="CohortAvg"/>
    <n v="-2.060213842124356E-2"/>
    <s v="CohortAvg"/>
    <n v="0.222316054382522"/>
    <s v="CohortAvg"/>
    <n v="3.2655863148097777E-2"/>
    <s v="CohortAvg_NonZero"/>
    <n v="1.3726087848789611E-6"/>
    <s v="CohortAvg"/>
    <n v="0"/>
    <s v="Zero"/>
    <n v="-4.449982378162879E-2"/>
    <s v="CohortAvg"/>
    <n v="-4.6320823214194792E-4"/>
    <s v="CohortAvg"/>
    <n v="0"/>
    <n v="-34938.230000000003"/>
    <n v="-14274.93"/>
    <n v="12836.64"/>
    <n v="22626.78"/>
    <n v="0.95"/>
    <n v="-30833.29"/>
    <n v="-320.95"/>
    <n v="633881.51"/>
    <n v="6.0412E-2"/>
    <n v="0.99860000000000004"/>
    <n v="6.0328E-2"/>
    <s v="CohortTrend+Seasonal(0.999)"/>
    <n v="38240.92"/>
    <n v="39795.800000000003"/>
    <n v="-1554.88"/>
    <x v="1"/>
    <n v="22626.78"/>
    <n v="0.78500000000000003"/>
    <n v="0.24"/>
    <n v="17762.02"/>
    <n v="17762.02"/>
    <n v="5430.43"/>
    <n v="22033.78"/>
    <n v="670258.99"/>
    <n v="3.2874E-2"/>
    <n v="16207.14"/>
    <n v="16208.09"/>
    <n v="45819.24"/>
    <n v="62027.33"/>
    <n v="571854.18000000005"/>
    <s v="Forecast"/>
  </r>
  <r>
    <x v="11"/>
    <x v="3"/>
    <s v="202501"/>
    <n v="20"/>
    <n v="1157800.1299999999"/>
    <n v="-5.2465404895223743E-2"/>
    <s v="CohortAvg"/>
    <n v="-2.0817145929472348E-2"/>
    <s v="CohortAvg"/>
    <n v="0.22520540507740669"/>
    <s v="CohortAvg"/>
    <n v="1.4030851430499969E-2"/>
    <s v="CohortAvg_NonZero"/>
    <n v="1.5466238476867899E-5"/>
    <s v="CohortAvg"/>
    <n v="0"/>
    <s v="Zero"/>
    <n v="-4.3341218220014299E-2"/>
    <s v="CohortAvg"/>
    <n v="-4.6252519177577992E-4"/>
    <s v="CohortAvg"/>
    <n v="0"/>
    <n v="-60744.45"/>
    <n v="-24102.09"/>
    <n v="21728.57"/>
    <n v="16244.92"/>
    <n v="17.91"/>
    <n v="-50180.47"/>
    <n v="-535.51"/>
    <n v="1078419.33"/>
    <n v="5.9891E-2"/>
    <n v="0.99860000000000004"/>
    <n v="5.9806999999999999E-2"/>
    <s v="CohortTrend+Seasonal(0.999)"/>
    <n v="64497.15"/>
    <n v="80676.789999999994"/>
    <n v="-16179.64"/>
    <x v="1"/>
    <n v="16244.92"/>
    <n v="0.78500000000000003"/>
    <n v="0.24"/>
    <n v="12752.26"/>
    <n v="12752.26"/>
    <n v="3898.78"/>
    <n v="67924.53"/>
    <n v="1141555.21"/>
    <n v="5.9501999999999999E-2"/>
    <n v="-3427.38"/>
    <n v="-3409.47"/>
    <n v="32895.97"/>
    <n v="29486.5"/>
    <n v="1048932.83"/>
    <s v="Forecast"/>
  </r>
  <r>
    <x v="11"/>
    <x v="3"/>
    <s v="202502"/>
    <n v="19"/>
    <n v="1247620.17"/>
    <n v="-5.3281800353099512E-2"/>
    <s v="CohortAvg"/>
    <n v="-1.918328975754837E-2"/>
    <s v="CohortAvg"/>
    <n v="0.22723370364854251"/>
    <s v="CohortAvg"/>
    <n v="1.9263732678542929E-2"/>
    <s v="CohortAvg_NonZero"/>
    <n v="3.8256783729601578E-4"/>
    <s v="CohortAvg"/>
    <n v="0"/>
    <s v="Zero"/>
    <n v="-9.0375833931352956E-2"/>
    <s v="CohortAvg"/>
    <n v="-1.175173732554668E-3"/>
    <s v="CohortAvg"/>
    <n v="0"/>
    <n v="-66475.45"/>
    <n v="-23933.46"/>
    <n v="23625.11"/>
    <n v="24033.82"/>
    <n v="477.3"/>
    <n v="-112754.71"/>
    <n v="-1466.17"/>
    <n v="1156325.25"/>
    <n v="7.1835999999999997E-2"/>
    <n v="0.99860000000000004"/>
    <n v="7.1735999999999994E-2"/>
    <s v="DonorCohort:202101+Seasonal(0.999)"/>
    <n v="82950.100000000006"/>
    <n v="74638.05"/>
    <n v="8312.0499999999993"/>
    <x v="1"/>
    <n v="24033.82"/>
    <n v="0.78500000000000003"/>
    <n v="0.24"/>
    <n v="18866.55"/>
    <n v="18866.55"/>
    <n v="5768.12"/>
    <n v="55771.5"/>
    <n v="1223586.3500000001"/>
    <n v="4.5580000000000002E-2"/>
    <n v="27178.6"/>
    <n v="27655.9"/>
    <n v="48668.49"/>
    <n v="76324.39"/>
    <n v="1080000.8700000001"/>
    <s v="Forecast"/>
  </r>
  <r>
    <x v="11"/>
    <x v="3"/>
    <s v="202503"/>
    <n v="18"/>
    <n v="1532093.18"/>
    <n v="-4.5596202429004112E-2"/>
    <s v="CohortAvg"/>
    <n v="-2.195074063296007E-2"/>
    <s v="CohortAvg"/>
    <n v="0.25475195895880232"/>
    <s v="CohortAvg"/>
    <n v="4.6176837495393924E-3"/>
    <s v="CohortAvg_NonZero"/>
    <n v="9.1891688639623913E-8"/>
    <s v="CohortAvg"/>
    <n v="0"/>
    <s v="Zero"/>
    <n v="0"/>
    <s v="CohortAvg"/>
    <n v="0"/>
    <s v="CohortAvg"/>
    <n v="0"/>
    <n v="-69857.63"/>
    <n v="-33630.58"/>
    <n v="32525.31"/>
    <n v="7074.72"/>
    <n v="0.14000000000000001"/>
    <n v="0"/>
    <n v="0"/>
    <n v="1454055.42"/>
    <n v="6.1674E-2"/>
    <n v="0.99860000000000004"/>
    <n v="6.1588999999999998E-2"/>
    <s v="DonorCohort:202101+Seasonal(0.999)"/>
    <n v="89553.13"/>
    <n v="87296.57"/>
    <n v="2256.56"/>
    <x v="1"/>
    <n v="7074.72"/>
    <n v="0.78500000000000003"/>
    <n v="0.24"/>
    <n v="5553.66"/>
    <n v="5553.66"/>
    <n v="1697.93"/>
    <n v="81742.91"/>
    <n v="1525018.45"/>
    <n v="5.3601000000000003E-2"/>
    <n v="7810.22"/>
    <n v="7810.36"/>
    <n v="14326.31"/>
    <n v="22136.67"/>
    <n v="1431918.75"/>
    <s v="Forecast"/>
  </r>
  <r>
    <x v="11"/>
    <x v="3"/>
    <s v="202504"/>
    <n v="17"/>
    <n v="1256265.97"/>
    <n v="-5.5689002431866967E-2"/>
    <s v="CohortAvg"/>
    <n v="-2.200702567499014E-2"/>
    <s v="CohortAvg"/>
    <n v="0.25075704975943108"/>
    <s v="CohortAvg"/>
    <n v="2.1791689037598898E-3"/>
    <s v="CohortAvg_NonZero"/>
    <n v="7.3056022529665904E-8"/>
    <s v="CohortAvg"/>
    <n v="0"/>
    <s v="Zero"/>
    <n v="0"/>
    <s v="CohortAvg"/>
    <n v="0"/>
    <s v="CohortAvg"/>
    <n v="0"/>
    <n v="-69960.2"/>
    <n v="-27646.68"/>
    <n v="26251.46"/>
    <n v="2737.62"/>
    <n v="0.09"/>
    <n v="0"/>
    <n v="0"/>
    <n v="1182172.8500000001"/>
    <n v="5.8741000000000002E-2"/>
    <n v="0.99860000000000004"/>
    <n v="5.8659000000000003E-2"/>
    <s v="DonorCohort:202101+Seasonal(0.999)"/>
    <n v="69344.95"/>
    <n v="66884.75"/>
    <n v="2460.1999999999998"/>
    <x v="1"/>
    <n v="2737.62"/>
    <n v="0.78500000000000003"/>
    <n v="0.24"/>
    <n v="2149.0300000000002"/>
    <n v="2149.0300000000002"/>
    <n v="657.03"/>
    <n v="64735.72"/>
    <n v="1253528.3500000001"/>
    <n v="5.1643000000000001E-2"/>
    <n v="4609.2299999999996"/>
    <n v="4609.32"/>
    <n v="5543.67"/>
    <n v="10152.99"/>
    <n v="1172019.8500000001"/>
    <s v="Forecast"/>
  </r>
  <r>
    <x v="11"/>
    <x v="3"/>
    <s v="202505"/>
    <n v="16"/>
    <n v="1557299.21"/>
    <n v="-4.8679571098375743E-2"/>
    <s v="CohortAvg"/>
    <n v="-2.1204609904285521E-2"/>
    <s v="CohortAvg"/>
    <n v="0.23996566021559301"/>
    <s v="CohortAvg"/>
    <n v="0"/>
    <s v="CohortAvg_NoData_ERROR"/>
    <n v="0"/>
    <s v="CohortAvg"/>
    <n v="0"/>
    <s v="Zero"/>
    <n v="0"/>
    <s v="CohortAvg"/>
    <n v="0"/>
    <s v="CohortAvg"/>
    <n v="0"/>
    <n v="-75808.66"/>
    <n v="-33021.919999999998"/>
    <n v="31141.53"/>
    <n v="0"/>
    <n v="0"/>
    <n v="0"/>
    <n v="0"/>
    <n v="1479610.16"/>
    <n v="5.4886999999999998E-2"/>
    <n v="0.99860000000000004"/>
    <n v="5.4810999999999999E-2"/>
    <s v="DonorCohort:202101+Seasonal(0.999)"/>
    <n v="81098.850000000006"/>
    <n v="77162.84"/>
    <n v="3936.01"/>
    <x v="1"/>
    <n v="0"/>
    <n v="0.78500000000000003"/>
    <n v="0.24"/>
    <n v="0"/>
    <n v="0"/>
    <n v="0"/>
    <n v="77162.84"/>
    <n v="1557299.21"/>
    <n v="4.9549000000000003E-2"/>
    <n v="3936.01"/>
    <n v="3936.01"/>
    <n v="0"/>
    <n v="3936.01"/>
    <n v="1475674.15"/>
    <s v="Forecast"/>
  </r>
  <r>
    <x v="11"/>
    <x v="3"/>
    <s v="202506"/>
    <n v="15"/>
    <n v="1747293.44"/>
    <n v="-5.2655584383446169E-2"/>
    <s v="CohortAvg"/>
    <n v="-2.218428518379436E-2"/>
    <s v="CohortAvg"/>
    <n v="0.25111368940132811"/>
    <s v="CohortAvg"/>
    <n v="0"/>
    <s v="CohortAvg_NoData_ERROR"/>
    <n v="0"/>
    <s v="CohortAvg"/>
    <n v="0"/>
    <s v="Zero"/>
    <n v="0"/>
    <s v="CohortAvg"/>
    <n v="0"/>
    <s v="CohortAvg"/>
    <n v="0"/>
    <n v="-92004.76"/>
    <n v="-38762.46"/>
    <n v="36564.11"/>
    <n v="0"/>
    <n v="0"/>
    <n v="0"/>
    <n v="0"/>
    <n v="1653090.33"/>
    <n v="5.1081000000000001E-2"/>
    <n v="0.99860000000000004"/>
    <n v="5.101E-2"/>
    <s v="DonorCohort:202101+Seasonal(0.999)"/>
    <n v="84324.66"/>
    <n v="72978.789999999994"/>
    <n v="11345.87"/>
    <x v="1"/>
    <n v="0"/>
    <n v="0.78500000000000003"/>
    <n v="0.24"/>
    <n v="0"/>
    <n v="0"/>
    <n v="0"/>
    <n v="72978.789999999994"/>
    <n v="1747293.44"/>
    <n v="4.1766999999999999E-2"/>
    <n v="11345.87"/>
    <n v="11345.87"/>
    <n v="0"/>
    <n v="11345.87"/>
    <n v="1641744.47"/>
    <s v="Forecast"/>
  </r>
  <r>
    <x v="11"/>
    <x v="3"/>
    <s v="202507"/>
    <n v="14"/>
    <n v="2296689.81"/>
    <n v="-3.8628346828588803E-2"/>
    <s v="CohortAvg"/>
    <n v="-2.3196691678663971E-2"/>
    <s v="CohortAvg"/>
    <n v="0.25099374664131541"/>
    <s v="CohortAvg"/>
    <n v="0"/>
    <s v="CohortAvg_NoData_ERROR"/>
    <n v="0"/>
    <s v="CohortAvg"/>
    <n v="0"/>
    <s v="Zero"/>
    <n v="0"/>
    <s v="CohortAvg"/>
    <n v="0"/>
    <s v="CohortAvg"/>
    <n v="0"/>
    <n v="-88717.33"/>
    <n v="-53275.61"/>
    <n v="48037.9"/>
    <n v="0"/>
    <n v="0"/>
    <n v="0"/>
    <n v="0"/>
    <n v="2202734.7799999998"/>
    <n v="4.3057999999999999E-2"/>
    <n v="0.99860000000000004"/>
    <n v="4.2998000000000001E-2"/>
    <s v="DonorCohort:202101+Seasonal(0.999)"/>
    <n v="94714.15"/>
    <n v="84716.34"/>
    <n v="9997.82"/>
    <x v="1"/>
    <n v="0"/>
    <n v="0.78500000000000003"/>
    <n v="0.24"/>
    <n v="0"/>
    <n v="0"/>
    <n v="0"/>
    <n v="84716.34"/>
    <n v="2296689.81"/>
    <n v="3.6886000000000002E-2"/>
    <n v="9997.82"/>
    <n v="9997.82"/>
    <n v="0"/>
    <n v="9997.82"/>
    <n v="2192736.96"/>
    <s v="Forecast"/>
  </r>
  <r>
    <x v="11"/>
    <x v="3"/>
    <s v="202508"/>
    <n v="13"/>
    <n v="2571245.2400000002"/>
    <n v="-3.8300253844871013E-2"/>
    <s v="CohortAvg"/>
    <n v="-1.7564630724309589E-2"/>
    <s v="CohortAvg"/>
    <n v="0.2395294469372696"/>
    <s v="CohortAvg"/>
    <n v="0"/>
    <s v="CohortAvg_NoData_ERROR"/>
    <n v="0"/>
    <s v="CohortAvg"/>
    <n v="0"/>
    <s v="Zero"/>
    <n v="0"/>
    <s v="CohortAvg"/>
    <n v="0"/>
    <s v="CohortAvg"/>
    <n v="0"/>
    <n v="-98479.35"/>
    <n v="-45162.97"/>
    <n v="51324.08"/>
    <n v="0"/>
    <n v="0"/>
    <n v="0"/>
    <n v="0"/>
    <n v="2478927"/>
    <n v="3.8026999999999998E-2"/>
    <n v="0.99860000000000004"/>
    <n v="3.7974000000000001E-2"/>
    <s v="DonorCohort:202101+Seasonal(0.999)"/>
    <n v="94134.85"/>
    <n v="84389.49"/>
    <n v="9745.3700000000008"/>
    <x v="1"/>
    <n v="0"/>
    <n v="0.78500000000000003"/>
    <n v="0.24"/>
    <n v="0"/>
    <n v="0"/>
    <n v="0"/>
    <n v="84389.49"/>
    <n v="2571245.2400000002"/>
    <n v="3.2820000000000002E-2"/>
    <n v="9745.3700000000008"/>
    <n v="9745.3700000000008"/>
    <n v="0"/>
    <n v="9745.3700000000008"/>
    <n v="2469181.64"/>
    <s v="Forecast"/>
  </r>
  <r>
    <x v="11"/>
    <x v="3"/>
    <s v="202509"/>
    <n v="12"/>
    <n v="816361.19"/>
    <n v="-0.24241729022370151"/>
    <s v="CohortAvg"/>
    <n v="-3.546563293136042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97900.07"/>
    <n v="-28952.77"/>
    <n v="34015.050000000003"/>
    <n v="0"/>
    <n v="0"/>
    <n v="0"/>
    <n v="0"/>
    <n v="623523.41"/>
    <n v="3.3834999999999997E-2"/>
    <n v="0.99860000000000004"/>
    <n v="3.3787999999999999E-2"/>
    <s v="DonorCohort:202101+Seasonal(0.999)"/>
    <n v="21067.81"/>
    <n v="22519.84"/>
    <n v="-1452.03"/>
    <x v="1"/>
    <n v="0"/>
    <n v="0.78500000000000003"/>
    <n v="0.24"/>
    <n v="0"/>
    <n v="0"/>
    <n v="0"/>
    <n v="22519.84"/>
    <n v="816361.19"/>
    <n v="2.7585999999999999E-2"/>
    <n v="-1452.03"/>
    <n v="-1452.03"/>
    <n v="0"/>
    <n v="-1452.03"/>
    <n v="624975.43000000005"/>
    <s v="Forecast"/>
  </r>
  <r>
    <x v="11"/>
    <x v="4"/>
    <s v="202101"/>
    <n v="66"/>
    <n v="631561.97"/>
    <n v="-0.136886338438928"/>
    <s v="CohortAvg"/>
    <n v="-1.142647318281601E-2"/>
    <s v="CohortAvg"/>
    <n v="0.13051606507465"/>
    <s v="CohortAvg"/>
    <n v="4.6750120432497447E-2"/>
    <s v="CohortAvg_NonZero"/>
    <n v="0"/>
    <s v="CohortAvg"/>
    <n v="0"/>
    <s v="Zero"/>
    <n v="0"/>
    <s v="CohortAvg"/>
    <n v="0"/>
    <s v="CohortAvg"/>
    <n v="0"/>
    <n v="-86452.21"/>
    <n v="-7216.53"/>
    <n v="6869.08"/>
    <n v="29525.599999999999"/>
    <n v="0"/>
    <n v="0"/>
    <n v="0"/>
    <n v="515236.72"/>
    <n v="0.16999700000000001"/>
    <n v="1.1272"/>
    <n v="0.19162699999999999"/>
    <s v="CohortAvg+Seasonal(1.127)"/>
    <n v="98733.45"/>
    <n v="113796.86"/>
    <n v="-15063.41"/>
    <x v="1"/>
    <n v="29525.599999999999"/>
    <n v="0.78500000000000003"/>
    <n v="0.24"/>
    <n v="23177.59"/>
    <n v="23177.59"/>
    <n v="7086.14"/>
    <n v="90619.27"/>
    <n v="602036.37"/>
    <n v="0.15052099999999999"/>
    <n v="8114.19"/>
    <n v="8114.19"/>
    <n v="59789.34"/>
    <n v="67903.520000000004"/>
    <n v="447333.2"/>
    <s v="Forecast"/>
  </r>
  <r>
    <x v="11"/>
    <x v="4"/>
    <s v="202201"/>
    <n v="48"/>
    <n v="35356.18"/>
    <n v="-9.8277188672223958E-2"/>
    <s v="CohortAvg"/>
    <n v="-9.56679471934801E-3"/>
    <s v="CohortAvg"/>
    <n v="9.9746562190124857E-2"/>
    <s v="CohortAvg"/>
    <n v="3.6249086001514018E-2"/>
    <s v="CohortAvg_NonZero"/>
    <n v="2.3296411845797869E-9"/>
    <s v="CohortAvg"/>
    <n v="0"/>
    <s v="Zero"/>
    <n v="0"/>
    <s v="CohortAvg"/>
    <n v="0"/>
    <s v="CohortAvg"/>
    <n v="0"/>
    <n v="-3474.71"/>
    <n v="-338.25"/>
    <n v="293.89"/>
    <n v="1281.6300000000001"/>
    <n v="0"/>
    <n v="0"/>
    <n v="0"/>
    <n v="30555.49"/>
    <n v="3.9143999999999998E-2"/>
    <n v="1.1272"/>
    <n v="4.4123999999999997E-2"/>
    <s v="CohortAvg+Seasonal(1.127)"/>
    <n v="1348.24"/>
    <n v="1449.71"/>
    <n v="-101.46"/>
    <x v="1"/>
    <n v="1281.6300000000001"/>
    <n v="0.78500000000000003"/>
    <n v="0.24"/>
    <n v="1006.08"/>
    <n v="1006.08"/>
    <n v="307.58999999999997"/>
    <n v="443.63"/>
    <n v="34074.550000000003"/>
    <n v="1.3018999999999999E-2"/>
    <n v="904.61"/>
    <n v="904.61"/>
    <n v="2595.3000000000002"/>
    <n v="3499.91"/>
    <n v="27055.57"/>
    <s v="Forecast"/>
  </r>
  <r>
    <x v="11"/>
    <x v="4"/>
    <s v="202405"/>
    <n v="28"/>
    <n v="4003.91"/>
    <n v="-1.6733773936416681E-2"/>
    <s v="CohortAvg"/>
    <n v="-1.045846742113552E-2"/>
    <s v="CohortAvg"/>
    <n v="0.1215738662253522"/>
    <s v="CohortAvg"/>
    <n v="0"/>
    <s v="CohortAvg_NoData_ERROR"/>
    <n v="0"/>
    <s v="CohortAvg"/>
    <n v="0"/>
    <s v="Zero"/>
    <n v="0"/>
    <s v="CohortAvg"/>
    <n v="0"/>
    <s v="CohortAvg"/>
    <n v="0"/>
    <n v="-67"/>
    <n v="-41.87"/>
    <n v="40.56"/>
    <n v="0"/>
    <n v="0"/>
    <n v="0"/>
    <n v="0"/>
    <n v="3935.6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4003.91"/>
    <n v="0"/>
    <n v="0"/>
    <n v="0"/>
    <n v="0"/>
    <n v="0"/>
    <n v="3935.6"/>
    <s v="Forecast"/>
  </r>
  <r>
    <x v="11"/>
    <x v="4"/>
    <s v="202407"/>
    <n v="26"/>
    <n v="1704.59"/>
    <n v="-5.3487335344146042E-2"/>
    <s v="CohortAvg"/>
    <n v="-1.0495164092053611E-2"/>
    <s v="CohortAvg"/>
    <n v="0.1204651198181392"/>
    <s v="CohortAvg"/>
    <n v="0"/>
    <s v="CohortAvg_NoData_ERROR"/>
    <n v="0"/>
    <s v="CohortAvg"/>
    <n v="0"/>
    <s v="Zero"/>
    <n v="0"/>
    <s v="CohortAvg"/>
    <n v="0"/>
    <s v="CohortAvg"/>
    <n v="0"/>
    <n v="-91.17"/>
    <n v="-17.89"/>
    <n v="17.11"/>
    <n v="0"/>
    <n v="0"/>
    <n v="0"/>
    <n v="0"/>
    <n v="1612.64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1704.59"/>
    <n v="0"/>
    <n v="0"/>
    <n v="0"/>
    <n v="0"/>
    <n v="0"/>
    <n v="1612.64"/>
    <s v="Forecast"/>
  </r>
  <r>
    <x v="11"/>
    <x v="4"/>
    <s v="202409"/>
    <n v="24"/>
    <n v="6289.95"/>
    <n v="-4.3387004359926422E-2"/>
    <s v="CohortAvg"/>
    <n v="-1.046482812350016E-2"/>
    <s v="CohortAvg"/>
    <n v="0.1208219808349256"/>
    <s v="CohortAvg"/>
    <n v="0"/>
    <s v="CohortAvg_NoData_ERROR"/>
    <n v="0"/>
    <s v="CohortAvg"/>
    <n v="0"/>
    <s v="Zero"/>
    <n v="0"/>
    <s v="CohortAvg"/>
    <n v="0"/>
    <s v="CohortAvg"/>
    <n v="0"/>
    <n v="-272.89999999999998"/>
    <n v="-65.819999999999993"/>
    <n v="63.33"/>
    <n v="0"/>
    <n v="0"/>
    <n v="0"/>
    <n v="0"/>
    <n v="6014.56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6289.95"/>
    <n v="0"/>
    <n v="0"/>
    <n v="0"/>
    <n v="0"/>
    <n v="0"/>
    <n v="6014.56"/>
    <s v="Forecast"/>
  </r>
  <r>
    <x v="11"/>
    <x v="4"/>
    <s v="202504"/>
    <n v="17"/>
    <n v="4036.64"/>
    <n v="-1.2978795042458909E-2"/>
    <s v="CohortAvg"/>
    <n v="-1.043022608418501E-2"/>
    <s v="CohortAvg"/>
    <n v="0.1254944057499835"/>
    <s v="CohortAvg"/>
    <n v="0"/>
    <s v="CohortAvg_NoData_ERROR"/>
    <n v="0"/>
    <s v="CohortAvg"/>
    <n v="0"/>
    <s v="Zero"/>
    <n v="0"/>
    <s v="CohortAvg"/>
    <n v="0"/>
    <s v="CohortAvg"/>
    <n v="0"/>
    <n v="-52.39"/>
    <n v="-42.1"/>
    <n v="42.21"/>
    <n v="0"/>
    <n v="0"/>
    <n v="0"/>
    <n v="0"/>
    <n v="3984.37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4036.64"/>
    <n v="0"/>
    <n v="0"/>
    <n v="0"/>
    <n v="0"/>
    <n v="0"/>
    <n v="3984.37"/>
    <s v="Forecast"/>
  </r>
  <r>
    <x v="11"/>
    <x v="4"/>
    <s v="202507"/>
    <n v="14"/>
    <n v="9040.31"/>
    <n v="-1.135299369180723E-2"/>
    <s v="CohortAvg"/>
    <n v="-1.1222331392167779E-2"/>
    <s v="CohortAvg"/>
    <n v="0.1335368702315225"/>
    <s v="CohortAvg"/>
    <n v="0"/>
    <s v="CohortAvg_NoData_ERROR"/>
    <n v="0"/>
    <s v="CohortAvg"/>
    <n v="0"/>
    <s v="Zero"/>
    <n v="0"/>
    <s v="CohortAvg"/>
    <n v="0"/>
    <s v="CohortAvg"/>
    <n v="0"/>
    <n v="-102.63"/>
    <n v="-101.45"/>
    <n v="100.6"/>
    <n v="0"/>
    <n v="0"/>
    <n v="0"/>
    <n v="0"/>
    <n v="8936.83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9040.31"/>
    <n v="0"/>
    <n v="0"/>
    <n v="0"/>
    <n v="0"/>
    <n v="0"/>
    <n v="8936.83"/>
    <s v="Forecast"/>
  </r>
  <r>
    <x v="11"/>
    <x v="4"/>
    <s v="202508"/>
    <n v="13"/>
    <n v="30024.91"/>
    <n v="-7.3157753365825206E-3"/>
    <s v="CohortAvg"/>
    <n v="-3.7653270433517078E-3"/>
    <s v="CohortAvg"/>
    <n v="0.1312666569865833"/>
    <s v="CohortAvg"/>
    <n v="0"/>
    <s v="CohortAvg_NoData_ERROR"/>
    <n v="0"/>
    <s v="CohortAvg"/>
    <n v="0"/>
    <s v="Zero"/>
    <n v="0"/>
    <s v="CohortAvg"/>
    <n v="0"/>
    <s v="CohortAvg"/>
    <n v="0"/>
    <n v="-219.66"/>
    <n v="-113.05"/>
    <n v="328.44"/>
    <n v="0"/>
    <n v="0"/>
    <n v="0"/>
    <n v="0"/>
    <n v="30020.639999999999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30024.91"/>
    <n v="0"/>
    <n v="0"/>
    <n v="0"/>
    <n v="0"/>
    <n v="0"/>
    <n v="30020.639999999999"/>
    <s v="Forecast"/>
  </r>
  <r>
    <x v="11"/>
    <x v="4"/>
    <s v="202509"/>
    <n v="12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2"/>
    <x v="0"/>
    <s v="201912"/>
    <n v="82"/>
    <n v="321303.31"/>
    <n v="-2.420445275646195E-4"/>
    <s v="CohortAvg"/>
    <n v="1.4954228446988811E-3"/>
    <s v="CohortAvg"/>
    <n v="0"/>
    <s v="CohortAvg"/>
    <n v="2.8967266370044889E-2"/>
    <s v="CohortAvg_NonZero"/>
    <n v="3.4908396380718781E-5"/>
    <s v="CohortAvg"/>
    <n v="0"/>
    <s v="Zero"/>
    <n v="0"/>
    <s v="CohortAvg"/>
    <n v="0"/>
    <s v="CohortAvg"/>
    <n v="0"/>
    <n v="-77.77"/>
    <n v="480.48"/>
    <n v="0"/>
    <n v="0"/>
    <n v="11.22"/>
    <n v="0"/>
    <n v="0"/>
    <n v="320733.84000000003"/>
    <n v="0.99684300000000003"/>
    <n v="1.0468999999999999"/>
    <n v="1.0436430000000001"/>
    <s v="CohortAvg+Seasonal(1.047)"/>
    <n v="334731.61"/>
    <n v="321481.96000000002"/>
    <n v="13249.64"/>
    <x v="0"/>
    <n v="0"/>
    <n v="0.78500000000000003"/>
    <n v="0.24"/>
    <n v="0"/>
    <n v="0"/>
    <n v="0"/>
    <n v="321481.96000000002"/>
    <n v="321303.31"/>
    <n v="1.000556"/>
    <n v="13249.64"/>
    <n v="13260.86"/>
    <n v="0"/>
    <n v="13260.86"/>
    <n v="307472.98"/>
    <s v="Forecast"/>
  </r>
  <r>
    <x v="12"/>
    <x v="0"/>
    <s v="202001"/>
    <n v="81"/>
    <n v="59122.95"/>
    <n v="3.8418152413370273E-2"/>
    <s v="CohortAvg"/>
    <n v="1.649554490573743E-3"/>
    <s v="CohortAvg"/>
    <n v="0"/>
    <s v="CohortAvg"/>
    <n v="1.31367810648107E-2"/>
    <s v="CohortAvg_NonZero"/>
    <n v="0"/>
    <s v="CohortAvg"/>
    <n v="0"/>
    <s v="Zero"/>
    <n v="0"/>
    <s v="CohortAvg"/>
    <n v="0"/>
    <s v="CohortAvg"/>
    <n v="0"/>
    <n v="2271.39"/>
    <n v="97.53"/>
    <n v="0"/>
    <n v="0"/>
    <n v="0"/>
    <n v="0"/>
    <n v="0"/>
    <n v="56754.03"/>
    <n v="0.99843400000000004"/>
    <n v="1.0468999999999999"/>
    <n v="1.0453079999999999"/>
    <s v="CohortAvg+Seasonal(1.047)"/>
    <n v="59325.46"/>
    <n v="59251.75"/>
    <n v="73.709999999999994"/>
    <x v="0"/>
    <n v="0"/>
    <n v="0.78500000000000003"/>
    <n v="0.24"/>
    <n v="0"/>
    <n v="0"/>
    <n v="0"/>
    <n v="59251.75"/>
    <n v="59122.95"/>
    <n v="1.002178"/>
    <n v="73.709999999999994"/>
    <n v="73.709999999999994"/>
    <n v="0"/>
    <n v="73.709999999999994"/>
    <n v="56680.32"/>
    <s v="Forecast"/>
  </r>
  <r>
    <x v="12"/>
    <x v="0"/>
    <s v="202101"/>
    <n v="69"/>
    <n v="722461.36"/>
    <n v="-4.9092537933682337E-3"/>
    <s v="CohortAvg"/>
    <n v="-2.018463110488841E-3"/>
    <s v="CohortAvg"/>
    <n v="0"/>
    <s v="CohortAvg"/>
    <n v="1.5283219328398691E-2"/>
    <s v="CohortAvg_NonZero"/>
    <n v="2.904393917172327E-5"/>
    <s v="CohortAvg"/>
    <n v="0"/>
    <s v="Zero"/>
    <n v="0"/>
    <s v="CohortAvg"/>
    <n v="0"/>
    <s v="CohortAvg"/>
    <n v="0"/>
    <n v="-3546.75"/>
    <n v="-1458.26"/>
    <n v="0"/>
    <n v="0"/>
    <n v="20.98"/>
    <n v="0"/>
    <n v="0"/>
    <n v="717435.37"/>
    <n v="0.94430099999999995"/>
    <n v="1.0468999999999999"/>
    <n v="0.98863500000000004"/>
    <s v="CohortAvg+Seasonal(1.047)"/>
    <n v="709281.53"/>
    <n v="684990.91"/>
    <n v="24290.63"/>
    <x v="0"/>
    <n v="0"/>
    <n v="0.78500000000000003"/>
    <n v="0.24"/>
    <n v="0"/>
    <n v="0"/>
    <n v="0"/>
    <n v="684990.91"/>
    <n v="722461.36"/>
    <n v="0.94813499999999995"/>
    <n v="24290.63"/>
    <n v="24311.61"/>
    <n v="0"/>
    <n v="24311.61"/>
    <n v="693123.76"/>
    <s v="Forecast"/>
  </r>
  <r>
    <x v="12"/>
    <x v="0"/>
    <s v="202201"/>
    <n v="49"/>
    <n v="228192.63"/>
    <n v="-0.115157556496889"/>
    <s v="CohortAvg"/>
    <n v="-6.0601580473856808E-3"/>
    <s v="CohortAvg"/>
    <n v="2.6510453441200541E-2"/>
    <s v="CohortAvg"/>
    <n v="4.2390896857134347E-2"/>
    <s v="CohortAvg_NonZero"/>
    <n v="4.4859740289726899E-3"/>
    <s v="CohortAvg"/>
    <n v="0"/>
    <s v="Zero"/>
    <n v="-4.3699271843384333E-5"/>
    <s v="CohortAvg"/>
    <n v="-9.6253870330375088E-7"/>
    <s v="CohortAvg"/>
    <n v="0"/>
    <n v="-26278.11"/>
    <n v="-1382.88"/>
    <n v="504.12"/>
    <n v="0"/>
    <n v="1023.67"/>
    <n v="-9.9700000000000006"/>
    <n v="-0.22"/>
    <n v="200012.1"/>
    <n v="0.58482500000000004"/>
    <n v="1.0468999999999999"/>
    <n v="0.61228199999999999"/>
    <s v="CohortAvg+Seasonal(1.047)"/>
    <n v="122463.77"/>
    <n v="134028.64000000001"/>
    <n v="-11564.87"/>
    <x v="0"/>
    <n v="0"/>
    <n v="0.78500000000000003"/>
    <n v="0.24"/>
    <n v="0"/>
    <n v="0"/>
    <n v="0"/>
    <n v="134028.64000000001"/>
    <n v="228192.63"/>
    <n v="0.58734900000000001"/>
    <n v="-11564.87"/>
    <n v="-10541.21"/>
    <n v="0"/>
    <n v="-10541.21"/>
    <n v="210553.31"/>
    <s v="Forecast"/>
  </r>
  <r>
    <x v="12"/>
    <x v="0"/>
    <s v="202301"/>
    <n v="40"/>
    <n v="2260049.5499999998"/>
    <n v="-6.9481843861523437E-2"/>
    <s v="CohortAvg"/>
    <n v="-1.687297132149098E-2"/>
    <s v="CohortAvg"/>
    <n v="0.20597269331660839"/>
    <s v="CohortAvg"/>
    <n v="6.5815765003050974E-2"/>
    <s v="CohortAvg_NonZero"/>
    <n v="1.144887530015336E-4"/>
    <s v="CohortAvg"/>
    <n v="0"/>
    <s v="Zero"/>
    <n v="-5.18080461954491E-3"/>
    <s v="CohortAvg"/>
    <n v="-7.1877187154444723E-5"/>
    <s v="CohortAvg"/>
    <n v="0"/>
    <n v="-157032.41"/>
    <n v="-38133.75"/>
    <n v="38792.370000000003"/>
    <n v="0"/>
    <n v="258.75"/>
    <n v="-11708.88"/>
    <n v="-162.44999999999999"/>
    <n v="2103417.0099999998"/>
    <n v="0.59282000000000001"/>
    <n v="1.0468999999999999"/>
    <n v="0.62065199999999998"/>
    <s v="CohortAvg+Seasonal(1.047)"/>
    <n v="1305490.3999999999"/>
    <n v="1443713.88"/>
    <n v="-138223.48000000001"/>
    <x v="0"/>
    <n v="0"/>
    <n v="0.78500000000000003"/>
    <n v="0.24"/>
    <n v="0"/>
    <n v="0"/>
    <n v="0"/>
    <n v="1443713.88"/>
    <n v="2260049.5499999998"/>
    <n v="0.63879699999999995"/>
    <n v="-138223.48000000001"/>
    <n v="-137964.73000000001"/>
    <n v="0"/>
    <n v="-137964.73000000001"/>
    <n v="2241381.7400000002"/>
    <s v="Forecast"/>
  </r>
  <r>
    <x v="12"/>
    <x v="0"/>
    <s v="202404"/>
    <n v="30"/>
    <n v="358339.85"/>
    <n v="-7.2267102650667256E-2"/>
    <s v="CohortAvg"/>
    <n v="-2.4084900199517211E-2"/>
    <s v="CohortAvg"/>
    <n v="0.25334417873562259"/>
    <s v="CohortAvg"/>
    <n v="0.10911652639943201"/>
    <s v="CohortAvg_NonZero"/>
    <n v="9.5729429613806123E-5"/>
    <s v="CohortAvg"/>
    <n v="0"/>
    <s v="Zero"/>
    <n v="-7.6908022429792817E-3"/>
    <s v="CohortAvg"/>
    <n v="-1.450647939712954E-4"/>
    <s v="CohortAvg"/>
    <n v="0"/>
    <n v="-25896.18"/>
    <n v="-8630.58"/>
    <n v="7565.28"/>
    <n v="0"/>
    <n v="34.299999999999997"/>
    <n v="-2755.92"/>
    <n v="-51.98"/>
    <n v="331344.06"/>
    <n v="0.41086"/>
    <n v="1.0468999999999999"/>
    <n v="0.43014999999999998"/>
    <s v="CohortTrend+Seasonal(1.047)"/>
    <n v="142527.53"/>
    <n v="144202.51"/>
    <n v="-1674.98"/>
    <x v="0"/>
    <n v="0"/>
    <n v="0.78500000000000003"/>
    <n v="0.24"/>
    <n v="0"/>
    <n v="0"/>
    <n v="0"/>
    <n v="144202.51"/>
    <n v="358339.85"/>
    <n v="0.402418"/>
    <n v="-1674.98"/>
    <n v="-1640.68"/>
    <n v="0"/>
    <n v="-1640.68"/>
    <n v="332984.75"/>
    <s v="Forecast"/>
  </r>
  <r>
    <x v="12"/>
    <x v="0"/>
    <s v="202405"/>
    <n v="29"/>
    <n v="508629.46"/>
    <n v="-6.0860821280083077E-2"/>
    <s v="CohortAvg"/>
    <n v="-2.43105464689858E-2"/>
    <s v="CohortAvg"/>
    <n v="0.26192884186924048"/>
    <s v="CohortAvg"/>
    <n v="0.1054946280069271"/>
    <s v="CohortAvg_NonZero"/>
    <n v="1.5075389915198569E-4"/>
    <s v="CohortAvg"/>
    <n v="0"/>
    <s v="Zero"/>
    <n v="-1.1546186819766749E-2"/>
    <s v="CohortAvg"/>
    <n v="-2.0381009122809879E-4"/>
    <s v="CohortAvg"/>
    <n v="0"/>
    <n v="-30955.61"/>
    <n v="-12365.06"/>
    <n v="11102.06"/>
    <n v="0"/>
    <n v="76.680000000000007"/>
    <n v="-5872.73"/>
    <n v="-103.66"/>
    <n v="476334.17"/>
    <n v="0.361481"/>
    <n v="1.0468999999999999"/>
    <n v="0.37845200000000001"/>
    <s v="CohortTrend+Seasonal(1.047)"/>
    <n v="180269.74"/>
    <n v="180764.09"/>
    <n v="-494.35"/>
    <x v="0"/>
    <n v="0"/>
    <n v="0.78500000000000003"/>
    <n v="0.24"/>
    <n v="0"/>
    <n v="0"/>
    <n v="0"/>
    <n v="180764.09"/>
    <n v="508629.46"/>
    <n v="0.35539399999999999"/>
    <n v="-494.35"/>
    <n v="-417.67"/>
    <n v="0"/>
    <n v="-417.67"/>
    <n v="476751.85"/>
    <s v="Forecast"/>
  </r>
  <r>
    <x v="12"/>
    <x v="0"/>
    <s v="202406"/>
    <n v="28"/>
    <n v="851517.99"/>
    <n v="-5.6006877357424198E-2"/>
    <s v="CohortAvg"/>
    <n v="-2.5477776269320129E-2"/>
    <s v="CohortAvg"/>
    <n v="0.28065776180746238"/>
    <s v="CohortAvg"/>
    <n v="6.6124105432407085E-2"/>
    <s v="CohortAvg_NonZero"/>
    <n v="1.5654944581952769E-5"/>
    <s v="CohortAvg"/>
    <n v="0"/>
    <s v="Zero"/>
    <n v="-9.679775619274085E-3"/>
    <s v="CohortAvg"/>
    <n v="-2.0951931721472741E-4"/>
    <s v="CohortAvg"/>
    <n v="0"/>
    <n v="-47690.86"/>
    <n v="-21694.78"/>
    <n v="19915.43"/>
    <n v="0"/>
    <n v="13.33"/>
    <n v="-8242.5"/>
    <n v="-178.41"/>
    <n v="802034.43"/>
    <n v="0.32122099999999998"/>
    <n v="1.0468999999999999"/>
    <n v="0.33630199999999999"/>
    <s v="CohortTrend+Seasonal(1.047)"/>
    <n v="269725.89"/>
    <n v="268292.67"/>
    <n v="1433.22"/>
    <x v="0"/>
    <n v="0"/>
    <n v="0.78500000000000003"/>
    <n v="0.24"/>
    <n v="0"/>
    <n v="0"/>
    <n v="0"/>
    <n v="268292.67"/>
    <n v="851517.99"/>
    <n v="0.31507600000000002"/>
    <n v="1433.22"/>
    <n v="1446.55"/>
    <n v="0"/>
    <n v="1446.55"/>
    <n v="800587.89"/>
    <s v="Forecast"/>
  </r>
  <r>
    <x v="12"/>
    <x v="0"/>
    <s v="202407"/>
    <n v="27"/>
    <n v="893714.71"/>
    <n v="-5.2980711367382562E-2"/>
    <s v="CohortAvg"/>
    <n v="-2.6784250337226451E-2"/>
    <s v="CohortAvg"/>
    <n v="0.28924089320941071"/>
    <s v="CohortAvg"/>
    <n v="7.3781451537272946E-2"/>
    <s v="CohortAvg_NonZero"/>
    <n v="2.0420805685674339E-5"/>
    <s v="CohortAvg"/>
    <n v="0"/>
    <s v="Zero"/>
    <n v="-1.2260050365737241E-2"/>
    <s v="CohortAvg"/>
    <n v="-6.9385214145572396E-5"/>
    <s v="CohortAvg"/>
    <n v="0"/>
    <n v="-47349.64"/>
    <n v="-23937.48"/>
    <n v="21541.57"/>
    <n v="0"/>
    <n v="18.25"/>
    <n v="-10956.99"/>
    <n v="-62.01"/>
    <n v="843950.91"/>
    <n v="0.27496700000000002"/>
    <n v="1.0468999999999999"/>
    <n v="0.28787600000000002"/>
    <s v="CohortTrend+Seasonal(1.047)"/>
    <n v="242953.37"/>
    <n v="242046.98"/>
    <n v="906.39"/>
    <x v="0"/>
    <n v="0"/>
    <n v="0.78500000000000003"/>
    <n v="0.24"/>
    <n v="0"/>
    <n v="0"/>
    <n v="0"/>
    <n v="242046.98"/>
    <n v="893714.71"/>
    <n v="0.27083200000000002"/>
    <n v="906.39"/>
    <n v="924.64"/>
    <n v="0"/>
    <n v="924.64"/>
    <n v="843026.27"/>
    <s v="Forecast"/>
  </r>
  <r>
    <x v="12"/>
    <x v="0"/>
    <s v="202408"/>
    <n v="26"/>
    <n v="754745.99"/>
    <n v="-6.4861502275351007E-2"/>
    <s v="CohortAvg"/>
    <n v="-2.6154822924477669E-2"/>
    <s v="CohortAvg"/>
    <n v="0.27955399441164558"/>
    <s v="CohortAvg"/>
    <n v="9.677078344494161E-2"/>
    <s v="CohortAvg_NonZero"/>
    <n v="1.2299350270132491E-4"/>
    <s v="CohortAvg"/>
    <n v="0"/>
    <s v="Zero"/>
    <n v="-1.376965445210267E-2"/>
    <s v="CohortAvg"/>
    <n v="-3.1278365777528342E-4"/>
    <s v="CohortAvg"/>
    <n v="0"/>
    <n v="-48953.96"/>
    <n v="-19740.25"/>
    <n v="17582.689999999999"/>
    <n v="0"/>
    <n v="92.83"/>
    <n v="-10392.59"/>
    <n v="-236.07"/>
    <n v="703541.64"/>
    <n v="0.25475199999999998"/>
    <n v="1.0468999999999999"/>
    <n v="0.266712"/>
    <s v="CohortTrend+Seasonal(1.047)"/>
    <n v="187642.9"/>
    <n v="189621.75"/>
    <n v="-1978.85"/>
    <x v="0"/>
    <n v="0"/>
    <n v="0.78500000000000003"/>
    <n v="0.24"/>
    <n v="0"/>
    <n v="0"/>
    <n v="0"/>
    <n v="189621.75"/>
    <n v="754745.99"/>
    <n v="0.25123899999999999"/>
    <n v="-1978.85"/>
    <n v="-1886.02"/>
    <n v="0"/>
    <n v="-1886.02"/>
    <n v="705427.66"/>
    <s v="Forecast"/>
  </r>
  <r>
    <x v="12"/>
    <x v="0"/>
    <s v="202409"/>
    <n v="25"/>
    <n v="671197.19"/>
    <n v="-7.0372797234766124E-2"/>
    <s v="CohortAvg"/>
    <n v="-2.9342983350475062E-2"/>
    <s v="CohortAvg"/>
    <n v="0.2967587853428994"/>
    <s v="CohortAvg"/>
    <n v="0.1010563901988932"/>
    <s v="CohortAvg_NonZero"/>
    <n v="3.3173300196017802E-4"/>
    <s v="CohortAvg"/>
    <n v="0"/>
    <s v="Zero"/>
    <n v="-1.59527697896291E-2"/>
    <s v="CohortAvg"/>
    <n v="9.6071802489966051E-4"/>
    <s v="CohortAvg"/>
    <n v="0"/>
    <n v="-47234.02"/>
    <n v="-19694.93"/>
    <n v="16598.64"/>
    <n v="0"/>
    <n v="222.66"/>
    <n v="-10707.45"/>
    <n v="644.83000000000004"/>
    <n v="620644.22"/>
    <n v="0.23787"/>
    <n v="1.0468999999999999"/>
    <n v="0.24903700000000001"/>
    <s v="CohortTrend+Seasonal(1.047)"/>
    <n v="154563.5"/>
    <n v="157369.39000000001"/>
    <n v="-2805.89"/>
    <x v="0"/>
    <n v="0"/>
    <n v="0.78500000000000003"/>
    <n v="0.24"/>
    <n v="0"/>
    <n v="0"/>
    <n v="0"/>
    <n v="157369.39000000001"/>
    <n v="671197.19"/>
    <n v="0.234461"/>
    <n v="-2805.89"/>
    <n v="-2583.23"/>
    <n v="0"/>
    <n v="-2583.23"/>
    <n v="623227.44999999995"/>
    <s v="Forecast"/>
  </r>
  <r>
    <x v="12"/>
    <x v="0"/>
    <s v="202410"/>
    <n v="24"/>
    <n v="991536.32"/>
    <n v="-6.4917704125107847E-2"/>
    <s v="CohortAvg"/>
    <n v="-2.984325870753118E-2"/>
    <s v="CohortAvg"/>
    <n v="0.29648544618176359"/>
    <s v="CohortAvg"/>
    <n v="9.0678040156927833E-2"/>
    <s v="CohortAvg_NonZero"/>
    <n v="8.4144051776320508E-5"/>
    <s v="CohortAvg"/>
    <n v="0"/>
    <s v="Zero"/>
    <n v="-1.9500960475221769E-2"/>
    <s v="CohortAvg"/>
    <n v="-2.8774084278465378E-4"/>
    <s v="CohortAvg"/>
    <n v="0"/>
    <n v="-64368.26"/>
    <n v="-29590.67"/>
    <n v="24498.01"/>
    <n v="0"/>
    <n v="83.43"/>
    <n v="-19335.91"/>
    <n v="-285.31"/>
    <n v="921991.96"/>
    <n v="0.225602"/>
    <n v="1.0468999999999999"/>
    <n v="0.23619299999999999"/>
    <s v="CohortTrend+Seasonal(1.047)"/>
    <n v="217768.2"/>
    <n v="220766.94"/>
    <n v="-2998.75"/>
    <x v="0"/>
    <n v="0"/>
    <n v="0.78500000000000003"/>
    <n v="0.24"/>
    <n v="0"/>
    <n v="0"/>
    <n v="0"/>
    <n v="220766.94"/>
    <n v="991536.32"/>
    <n v="0.22265099999999999"/>
    <n v="-2998.75"/>
    <n v="-2915.31"/>
    <n v="0"/>
    <n v="-2915.31"/>
    <n v="924907.27"/>
    <s v="Forecast"/>
  </r>
  <r>
    <x v="12"/>
    <x v="0"/>
    <s v="202411"/>
    <n v="23"/>
    <n v="1057223.1000000001"/>
    <n v="-6.9477964322450111E-2"/>
    <s v="CohortAvg"/>
    <n v="-3.0834721497764759E-2"/>
    <s v="CohortAvg"/>
    <n v="0.31713151257062999"/>
    <s v="CohortAvg"/>
    <n v="8.0888733496521661E-2"/>
    <s v="CohortAvg_NonZero"/>
    <n v="1.253720219495429E-5"/>
    <s v="CohortAvg"/>
    <n v="0"/>
    <s v="Zero"/>
    <n v="-1.8811226556775432E-2"/>
    <s v="CohortAvg"/>
    <n v="-3.7671752870618679E-4"/>
    <s v="CohortAvg"/>
    <n v="0"/>
    <n v="-73453.710000000006"/>
    <n v="-32599.18"/>
    <n v="27939.9"/>
    <n v="0"/>
    <n v="13.25"/>
    <n v="-19887.66"/>
    <n v="-398.27"/>
    <n v="979096.85"/>
    <n v="0.21873799999999999"/>
    <n v="1.0468999999999999"/>
    <n v="0.22900799999999999"/>
    <s v="CohortTrend+Seasonal(1.047)"/>
    <n v="224220.53"/>
    <n v="227714.33"/>
    <n v="-3493.8"/>
    <x v="0"/>
    <n v="0"/>
    <n v="0.78500000000000003"/>
    <n v="0.24"/>
    <n v="0"/>
    <n v="0"/>
    <n v="0"/>
    <n v="227714.33"/>
    <n v="1057223.1000000001"/>
    <n v="0.215389"/>
    <n v="-3493.8"/>
    <n v="-3480.55"/>
    <n v="0"/>
    <n v="-3480.55"/>
    <n v="982577.4"/>
    <s v="Forecast"/>
  </r>
  <r>
    <x v="12"/>
    <x v="0"/>
    <s v="202412"/>
    <n v="22"/>
    <n v="1215016.52"/>
    <n v="-6.592372634401214E-2"/>
    <s v="CohortAvg"/>
    <n v="-3.2041944358242043E-2"/>
    <s v="CohortAvg"/>
    <n v="0.32684642764731081"/>
    <s v="CohortAvg"/>
    <n v="7.7220478342351365E-2"/>
    <s v="CohortAvg_NonZero"/>
    <n v="3.5518704221725592E-5"/>
    <s v="CohortAvg"/>
    <n v="0"/>
    <s v="Zero"/>
    <n v="-3.3306862193533328E-2"/>
    <s v="CohortAvg"/>
    <n v="-4.4828447750801682E-4"/>
    <s v="CohortAvg"/>
    <n v="0"/>
    <n v="-80098.42"/>
    <n v="-38931.49"/>
    <n v="33093.65"/>
    <n v="0"/>
    <n v="43.16"/>
    <n v="-40468.39"/>
    <n v="-544.66999999999996"/>
    <n v="1129037.1000000001"/>
    <n v="0.21970600000000001"/>
    <n v="1.0468999999999999"/>
    <n v="0.23002"/>
    <s v="CohortTrend+Seasonal(1.047)"/>
    <n v="259701.47"/>
    <n v="261007.22"/>
    <n v="-1305.75"/>
    <x v="0"/>
    <n v="0"/>
    <n v="0.78500000000000003"/>
    <n v="0.24"/>
    <n v="0"/>
    <n v="0"/>
    <n v="0"/>
    <n v="261007.22"/>
    <n v="1215016.52"/>
    <n v="0.21481800000000001"/>
    <n v="-1305.75"/>
    <n v="-1262.5899999999999"/>
    <n v="0"/>
    <n v="-1262.5899999999999"/>
    <n v="1130299.7"/>
    <s v="Forecast"/>
  </r>
  <r>
    <x v="12"/>
    <x v="0"/>
    <s v="202501"/>
    <n v="21"/>
    <n v="1488845.41"/>
    <n v="-6.3485875669297642E-2"/>
    <s v="CohortAvg"/>
    <n v="-3.1445854662183893E-2"/>
    <s v="CohortAvg"/>
    <n v="0.33601989134665411"/>
    <s v="CohortAvg"/>
    <n v="6.7524891085815428E-2"/>
    <s v="CohortAvg_NonZero"/>
    <n v="8.2439921744175237E-5"/>
    <s v="CohortAvg"/>
    <n v="0"/>
    <s v="Zero"/>
    <n v="-4.6181929401035382E-2"/>
    <s v="CohortAvg"/>
    <n v="-9.0878444138738719E-4"/>
    <s v="CohortAvg"/>
    <n v="0"/>
    <n v="-94520.65"/>
    <n v="-46818.02"/>
    <n v="41690.14"/>
    <n v="0"/>
    <n v="122.74"/>
    <n v="-68757.75"/>
    <n v="-1353.04"/>
    <n v="1389074.14"/>
    <n v="0.217223"/>
    <n v="1.0468999999999999"/>
    <n v="0.22742200000000001"/>
    <s v="CohortTrend+Seasonal(1.047)"/>
    <n v="315905.69"/>
    <n v="314515.5"/>
    <n v="1390.19"/>
    <x v="0"/>
    <n v="0"/>
    <n v="0.78500000000000003"/>
    <n v="0.24"/>
    <n v="0"/>
    <n v="0"/>
    <n v="0"/>
    <n v="314515.5"/>
    <n v="1488845.41"/>
    <n v="0.21124799999999999"/>
    <n v="1390.19"/>
    <n v="1512.93"/>
    <n v="0"/>
    <n v="1512.93"/>
    <n v="1387561.21"/>
    <s v="Forecast"/>
  </r>
  <r>
    <x v="12"/>
    <x v="0"/>
    <s v="202502"/>
    <n v="20"/>
    <n v="2293259.9700000002"/>
    <n v="-6.4604267576058902E-2"/>
    <s v="CohortAvg"/>
    <n v="-3.1833438817775173E-2"/>
    <s v="CohortAvg"/>
    <n v="0.3528269571763229"/>
    <s v="CohortAvg"/>
    <n v="3.9678741943839697E-2"/>
    <s v="CohortAvg_NonZero"/>
    <n v="1.168892079006369E-4"/>
    <s v="CohortAvg"/>
    <n v="0"/>
    <s v="Zero"/>
    <n v="-9.9213741368133282E-2"/>
    <s v="CohortAvg"/>
    <n v="-2.1452252619383861E-3"/>
    <s v="CohortAvg"/>
    <n v="0"/>
    <n v="-148154.38"/>
    <n v="-73002.350000000006"/>
    <n v="67426.990000000005"/>
    <n v="0"/>
    <n v="268.06"/>
    <n v="-227522.9"/>
    <n v="-4919.5600000000004"/>
    <n v="2139262.17"/>
    <n v="0.209288"/>
    <n v="1.0468999999999999"/>
    <n v="0.219113"/>
    <s v="CohortTrend+Seasonal(1.047)"/>
    <n v="468740.97"/>
    <n v="439101.42"/>
    <n v="29639.56"/>
    <x v="0"/>
    <n v="0"/>
    <n v="0.78500000000000003"/>
    <n v="0.24"/>
    <n v="0"/>
    <n v="0"/>
    <n v="0"/>
    <n v="439101.42"/>
    <n v="2293259.9700000002"/>
    <n v="0.19147500000000001"/>
    <n v="29639.56"/>
    <n v="29907.61"/>
    <n v="0"/>
    <n v="29907.61"/>
    <n v="2109354.56"/>
    <s v="Forecast"/>
  </r>
  <r>
    <x v="12"/>
    <x v="0"/>
    <s v="202503"/>
    <n v="19"/>
    <n v="3509399.85"/>
    <n v="-5.4832373829048979E-2"/>
    <s v="CohortAvg"/>
    <n v="-3.4948344487822608E-2"/>
    <s v="CohortAvg"/>
    <n v="0.42530751620702162"/>
    <s v="CohortAvg"/>
    <n v="2.337347755521255E-2"/>
    <s v="CohortAvg_NonZero"/>
    <n v="7.1294066767001642E-6"/>
    <s v="CohortAvg"/>
    <n v="0"/>
    <s v="Zero"/>
    <n v="0"/>
    <s v="CohortAvg"/>
    <n v="0"/>
    <s v="CohortAvg"/>
    <n v="0"/>
    <n v="-192428.72"/>
    <n v="-122647.71"/>
    <n v="124381.18"/>
    <n v="0"/>
    <n v="25.02"/>
    <n v="0"/>
    <n v="0"/>
    <n v="3318679.57"/>
    <n v="0.190751"/>
    <n v="1.0468999999999999"/>
    <n v="0.19970599999999999"/>
    <s v="DonorCohort:202101+Seasonal(1.047)"/>
    <n v="662761.48"/>
    <n v="622692.13"/>
    <n v="40069.35"/>
    <x v="0"/>
    <n v="0"/>
    <n v="0.78500000000000003"/>
    <n v="0.24"/>
    <n v="0"/>
    <n v="0"/>
    <n v="0"/>
    <n v="622692.13"/>
    <n v="3509399.85"/>
    <n v="0.17743600000000001"/>
    <n v="40069.35"/>
    <n v="40094.370000000003"/>
    <n v="0"/>
    <n v="40094.370000000003"/>
    <n v="3278585.2"/>
    <s v="Forecast"/>
  </r>
  <r>
    <x v="12"/>
    <x v="0"/>
    <s v="202504"/>
    <n v="18"/>
    <n v="4584954.9000000004"/>
    <n v="-5.362252580504346E-2"/>
    <s v="CohortAvg"/>
    <n v="-3.7395064921993737E-2"/>
    <s v="CohortAvg"/>
    <n v="0.43767502464117908"/>
    <s v="CohortAvg"/>
    <n v="1.013329171740706E-2"/>
    <s v="CohortAvg_NonZero"/>
    <n v="1.6730689208312801E-6"/>
    <s v="CohortAvg"/>
    <n v="0"/>
    <s v="Zero"/>
    <n v="0"/>
    <s v="CohortAvg"/>
    <n v="0"/>
    <s v="CohortAvg"/>
    <n v="0"/>
    <n v="-245856.86"/>
    <n v="-171454.69"/>
    <n v="167226.69"/>
    <n v="0"/>
    <n v="7.67"/>
    <n v="0"/>
    <n v="0"/>
    <n v="4334862.37"/>
    <n v="0.17676500000000001"/>
    <n v="1.0468999999999999"/>
    <n v="0.18506400000000001"/>
    <s v="DonorCohort:202101+Seasonal(1.047)"/>
    <n v="802225.06"/>
    <n v="825042.02"/>
    <n v="-22816.959999999999"/>
    <x v="0"/>
    <n v="0"/>
    <n v="0.78500000000000003"/>
    <n v="0.24"/>
    <n v="0"/>
    <n v="0"/>
    <n v="0"/>
    <n v="825042.02"/>
    <n v="4584954.9000000004"/>
    <n v="0.17994599999999999"/>
    <n v="-22816.959999999999"/>
    <n v="-22809.29"/>
    <n v="0"/>
    <n v="-22809.29"/>
    <n v="4357671.66"/>
    <s v="Forecast"/>
  </r>
  <r>
    <x v="12"/>
    <x v="0"/>
    <s v="202505"/>
    <n v="17"/>
    <n v="6298066.0099999998"/>
    <n v="-4.6219234520574137E-2"/>
    <s v="CohortAvg"/>
    <n v="-3.6335948570231653E-2"/>
    <s v="CohortAvg"/>
    <n v="0.43807459116216102"/>
    <s v="CohortAvg"/>
    <n v="0"/>
    <s v="CohortAvg_NoData_ERROR"/>
    <n v="9.1833543502086376E-7"/>
    <s v="CohortAvg"/>
    <n v="0"/>
    <s v="Zero"/>
    <n v="0"/>
    <s v="CohortAvg"/>
    <n v="0"/>
    <s v="CohortAvg"/>
    <n v="0"/>
    <n v="-291091.78999999998"/>
    <n v="-228846.2"/>
    <n v="229918.56"/>
    <n v="0"/>
    <n v="5.78"/>
    <n v="0"/>
    <n v="0"/>
    <n v="6008040.79"/>
    <n v="0.17926500000000001"/>
    <n v="1.0468999999999999"/>
    <n v="0.18768099999999999"/>
    <s v="DonorCohort:202101+Seasonal(1.047)"/>
    <n v="1127597.9099999999"/>
    <n v="1207417.71"/>
    <n v="-79819.8"/>
    <x v="0"/>
    <n v="0"/>
    <n v="0.78500000000000003"/>
    <n v="0.24"/>
    <n v="0"/>
    <n v="0"/>
    <n v="0"/>
    <n v="1207417.71"/>
    <n v="6298066.0099999998"/>
    <n v="0.19171199999999999"/>
    <n v="-79819.8"/>
    <n v="-79814.009999999995"/>
    <n v="0"/>
    <n v="-79814.009999999995"/>
    <n v="6087854.7999999998"/>
    <s v="Forecast"/>
  </r>
  <r>
    <x v="12"/>
    <x v="0"/>
    <s v="202506"/>
    <n v="16"/>
    <n v="7201529.3899999997"/>
    <n v="-4.4596845440176253E-2"/>
    <s v="CohortAvg"/>
    <n v="-3.7703454930512727E-2"/>
    <s v="CohortAvg"/>
    <n v="0.45328288963013752"/>
    <s v="CohortAvg"/>
    <n v="0"/>
    <s v="CohortAvg_NoData_ERROR"/>
    <n v="0"/>
    <s v="CohortAvg"/>
    <n v="0"/>
    <s v="Zero"/>
    <n v="0"/>
    <s v="CohortAvg"/>
    <n v="0"/>
    <s v="CohortAvg"/>
    <n v="0"/>
    <n v="-321165.49"/>
    <n v="-271522.53999999998"/>
    <n v="272027.5"/>
    <n v="0"/>
    <n v="0"/>
    <n v="0"/>
    <n v="0"/>
    <n v="6880868.8600000003"/>
    <n v="0.19098799999999999"/>
    <n v="1.0468999999999999"/>
    <n v="0.19995399999999999"/>
    <s v="DonorCohort:202101+Seasonal(1.047)"/>
    <n v="1375859.23"/>
    <n v="1361691.42"/>
    <n v="14167.82"/>
    <x v="0"/>
    <n v="0"/>
    <n v="0.78500000000000003"/>
    <n v="0.24"/>
    <n v="0"/>
    <n v="0"/>
    <n v="0"/>
    <n v="1361691.42"/>
    <n v="7201529.3899999997"/>
    <n v="0.189084"/>
    <n v="14167.82"/>
    <n v="14167.82"/>
    <n v="0"/>
    <n v="14167.82"/>
    <n v="6866701.0499999998"/>
    <s v="Forecast"/>
  </r>
  <r>
    <x v="12"/>
    <x v="0"/>
    <s v="202507"/>
    <n v="15"/>
    <n v="9188767.5199999996"/>
    <n v="-4.2657679684897483E-2"/>
    <s v="CohortAvg"/>
    <n v="-4.0196861090597939E-2"/>
    <s v="CohortAvg"/>
    <n v="0.45020193483096471"/>
    <s v="CohortAvg"/>
    <n v="0"/>
    <s v="CohortAvg_NoData_ERROR"/>
    <n v="1.305215612230843E-5"/>
    <s v="CohortAvg"/>
    <n v="0"/>
    <s v="Zero"/>
    <n v="0"/>
    <s v="CohortAvg"/>
    <n v="0"/>
    <s v="CohortAvg"/>
    <n v="0"/>
    <n v="-391971.5"/>
    <n v="-369359.61"/>
    <n v="344733.41"/>
    <n v="0"/>
    <n v="119.93"/>
    <n v="0"/>
    <n v="0"/>
    <n v="8772049.8800000008"/>
    <n v="0.18836900000000001"/>
    <n v="1.0468999999999999"/>
    <n v="0.197212"/>
    <s v="DonorCohort:202101+Seasonal(1.047)"/>
    <n v="1729957.54"/>
    <n v="1512638.46"/>
    <n v="217319.08"/>
    <x v="0"/>
    <n v="0"/>
    <n v="0.78500000000000003"/>
    <n v="0.24"/>
    <n v="0"/>
    <n v="0"/>
    <n v="0"/>
    <n v="1512638.46"/>
    <n v="9188767.5199999996"/>
    <n v="0.16461799999999999"/>
    <n v="217319.08"/>
    <n v="217439.02"/>
    <n v="0"/>
    <n v="217439.02"/>
    <n v="8554610.8599999994"/>
    <s v="Forecast"/>
  </r>
  <r>
    <x v="12"/>
    <x v="0"/>
    <s v="202508"/>
    <n v="14"/>
    <n v="7699857.8799999999"/>
    <n v="-4.7703206121585323E-2"/>
    <s v="CohortAvg"/>
    <n v="-3.1856697654908561E-2"/>
    <s v="CohortAvg"/>
    <n v="0.44834423752209662"/>
    <s v="CohortAvg"/>
    <n v="0"/>
    <s v="CohortAvg_NoData_ERROR"/>
    <n v="1.1116145716128361E-5"/>
    <s v="CohortAvg"/>
    <n v="0"/>
    <s v="Zero"/>
    <n v="0"/>
    <s v="CohortAvg"/>
    <n v="0"/>
    <s v="CohortAvg"/>
    <n v="0"/>
    <n v="-367307.91"/>
    <n v="-245292.04"/>
    <n v="287682.24"/>
    <n v="0"/>
    <n v="85.59"/>
    <n v="0"/>
    <n v="0"/>
    <n v="7374854.5800000001"/>
    <n v="0.163996"/>
    <n v="1.0468999999999999"/>
    <n v="0.17169499999999999"/>
    <s v="DonorCohort:202101+Seasonal(1.047)"/>
    <n v="1266227.45"/>
    <n v="1424136.95"/>
    <n v="-157909.5"/>
    <x v="0"/>
    <n v="0"/>
    <n v="0.78500000000000003"/>
    <n v="0.24"/>
    <n v="0"/>
    <n v="0"/>
    <n v="0"/>
    <n v="1424136.95"/>
    <n v="7699857.8799999999"/>
    <n v="0.18495600000000001"/>
    <n v="-157909.5"/>
    <n v="-157823.91"/>
    <n v="0"/>
    <n v="-157823.91"/>
    <n v="7532678.4900000002"/>
    <s v="Forecast"/>
  </r>
  <r>
    <x v="12"/>
    <x v="0"/>
    <s v="202509"/>
    <n v="13"/>
    <n v="372340.63"/>
    <n v="-0.3943884303699749"/>
    <s v="CohortAvg"/>
    <n v="-8.197292049491054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46846.84"/>
    <n v="-30521.85"/>
    <n v="15514.19"/>
    <n v="0"/>
    <n v="0"/>
    <n v="0"/>
    <n v="0"/>
    <n v="210486.14"/>
    <n v="0.184257"/>
    <n v="1.0468999999999999"/>
    <n v="0.192908"/>
    <s v="DonorCohort:202101+Seasonal(1.047)"/>
    <n v="40604.379999999997"/>
    <n v="66801.899999999994"/>
    <n v="-26197.51"/>
    <x v="0"/>
    <n v="0"/>
    <n v="0.78500000000000003"/>
    <n v="0.24"/>
    <n v="0"/>
    <n v="0"/>
    <n v="0"/>
    <n v="66801.899999999994"/>
    <n v="372340.63"/>
    <n v="0.17941099999999999"/>
    <n v="-26197.51"/>
    <n v="-26197.51"/>
    <n v="0"/>
    <n v="-26197.51"/>
    <n v="236683.65"/>
    <s v="Forecast"/>
  </r>
  <r>
    <x v="12"/>
    <x v="1"/>
    <s v="202301"/>
    <n v="35"/>
    <n v="904396.68"/>
    <n v="-8.7966931847167414E-3"/>
    <s v="CohortAvg"/>
    <n v="-4.6709587203161134E-3"/>
    <s v="CohortAvg"/>
    <n v="8.977846518076342E-2"/>
    <s v="CohortAvg"/>
    <n v="2.3844554834600979E-2"/>
    <s v="CohortAvg_NonZero"/>
    <n v="0"/>
    <s v="CohortAvg"/>
    <n v="0"/>
    <s v="Zero"/>
    <n v="0"/>
    <s v="CohortAvg"/>
    <n v="0"/>
    <s v="CohortAvg"/>
    <n v="0"/>
    <n v="-7955.7"/>
    <n v="-4224.3999999999996"/>
    <n v="6766.28"/>
    <n v="0"/>
    <n v="0"/>
    <n v="0"/>
    <n v="0"/>
    <n v="898982.86"/>
    <n v="0.37032199999999998"/>
    <n v="1.0333000000000001"/>
    <n v="0.38265500000000002"/>
    <s v="CohortTrend+Seasonal(1.033)"/>
    <n v="344000.33"/>
    <n v="442545.04"/>
    <n v="-98544.71"/>
    <x v="0"/>
    <n v="0"/>
    <n v="0.78500000000000003"/>
    <n v="0.24"/>
    <n v="0"/>
    <n v="0"/>
    <n v="0"/>
    <n v="442545.04"/>
    <n v="904396.68"/>
    <n v="0.48932599999999998"/>
    <n v="-98544.71"/>
    <n v="-98544.71"/>
    <n v="0"/>
    <n v="-98544.71"/>
    <n v="997527.58"/>
    <s v="Forecast"/>
  </r>
  <r>
    <x v="12"/>
    <x v="1"/>
    <s v="202404"/>
    <n v="30"/>
    <n v="124752.42"/>
    <n v="-6.2919955072969283E-2"/>
    <s v="CohortAvg"/>
    <n v="-1.521772180035936E-2"/>
    <s v="CohortAvg"/>
    <n v="0.15663904856434979"/>
    <s v="CohortAvg"/>
    <n v="5.032401003433145E-2"/>
    <s v="CohortAvg_NonZero"/>
    <n v="0"/>
    <s v="CohortAvg"/>
    <n v="0"/>
    <s v="Zero"/>
    <n v="0"/>
    <s v="CohortAvg"/>
    <n v="0"/>
    <s v="CohortAvg"/>
    <n v="0"/>
    <n v="-7849.42"/>
    <n v="-1898.45"/>
    <n v="1628.43"/>
    <n v="0"/>
    <n v="0"/>
    <n v="0"/>
    <n v="0"/>
    <n v="116632.98"/>
    <n v="0.21043799999999999"/>
    <n v="1.0333000000000001"/>
    <n v="0.217447"/>
    <s v="CohortTrend+Seasonal(1.033)"/>
    <n v="25361.46"/>
    <n v="34959.65"/>
    <n v="-9598.18"/>
    <x v="0"/>
    <n v="0"/>
    <n v="0.78500000000000003"/>
    <n v="0.24"/>
    <n v="0"/>
    <n v="0"/>
    <n v="0"/>
    <n v="34959.65"/>
    <n v="124752.42"/>
    <n v="0.28023199999999998"/>
    <n v="-9598.18"/>
    <n v="-9598.18"/>
    <n v="0"/>
    <n v="-9598.18"/>
    <n v="126231.16"/>
    <s v="Forecast"/>
  </r>
  <r>
    <x v="12"/>
    <x v="1"/>
    <s v="202405"/>
    <n v="29"/>
    <n v="282166.18"/>
    <n v="-1.222087393718763E-2"/>
    <s v="CohortAvg"/>
    <n v="-1.273680186198353E-2"/>
    <s v="CohortAvg"/>
    <n v="0.14747626104073289"/>
    <s v="CohortAvg"/>
    <n v="6.9494066005266641E-2"/>
    <s v="CohortAvg_NonZero"/>
    <n v="1.778693301705297E-7"/>
    <s v="CohortAvg"/>
    <n v="0"/>
    <s v="Zero"/>
    <n v="0"/>
    <s v="CohortAvg"/>
    <n v="0"/>
    <s v="CohortAvg"/>
    <n v="0"/>
    <n v="-3448.32"/>
    <n v="-3593.89"/>
    <n v="3467.73"/>
    <n v="0"/>
    <n v="0.05"/>
    <n v="0"/>
    <n v="0"/>
    <n v="278591.65000000002"/>
    <n v="0.34824699999999997"/>
    <n v="1.0333000000000001"/>
    <n v="0.359844"/>
    <s v="CohortTrend+Seasonal(1.033)"/>
    <n v="100249.64"/>
    <n v="128201.91"/>
    <n v="-27952.27"/>
    <x v="0"/>
    <n v="0"/>
    <n v="0.78500000000000003"/>
    <n v="0.24"/>
    <n v="0"/>
    <n v="0"/>
    <n v="0"/>
    <n v="128201.91"/>
    <n v="282166.18"/>
    <n v="0.454349"/>
    <n v="-27952.27"/>
    <n v="-27952.22"/>
    <n v="0"/>
    <n v="-27952.22"/>
    <n v="306543.87"/>
    <s v="Forecast"/>
  </r>
  <r>
    <x v="12"/>
    <x v="1"/>
    <s v="202406"/>
    <n v="28"/>
    <n v="164069.75"/>
    <n v="-1.569439312961091E-2"/>
    <s v="CohortAvg"/>
    <n v="-1.4893041140337491E-2"/>
    <s v="CohortAvg"/>
    <n v="0.178289323458271"/>
    <s v="CohortAvg"/>
    <n v="5.620844502272148E-2"/>
    <s v="CohortAvg_NonZero"/>
    <n v="0"/>
    <s v="CohortAvg"/>
    <n v="0"/>
    <s v="Zero"/>
    <n v="0"/>
    <s v="CohortAvg"/>
    <n v="0"/>
    <s v="CohortAvg"/>
    <n v="0"/>
    <n v="-2574.98"/>
    <n v="-2443.5"/>
    <n v="2437.66"/>
    <n v="0"/>
    <n v="0"/>
    <n v="0"/>
    <n v="0"/>
    <n v="161488.93"/>
    <n v="0.24385000000000001"/>
    <n v="1.0333000000000001"/>
    <n v="0.251971"/>
    <s v="CohortTrend+Seasonal(1.033)"/>
    <n v="40690.49"/>
    <n v="52375.67"/>
    <n v="-11685.18"/>
    <x v="0"/>
    <n v="0"/>
    <n v="0.78500000000000003"/>
    <n v="0.24"/>
    <n v="0"/>
    <n v="0"/>
    <n v="0"/>
    <n v="52375.67"/>
    <n v="164069.75"/>
    <n v="0.31922800000000001"/>
    <n v="-11685.18"/>
    <n v="-11685.18"/>
    <n v="0"/>
    <n v="-11685.18"/>
    <n v="173174.12"/>
    <s v="Forecast"/>
  </r>
  <r>
    <x v="12"/>
    <x v="1"/>
    <s v="202407"/>
    <n v="27"/>
    <n v="197447.91"/>
    <n v="-4.2341277615328618E-2"/>
    <s v="CohortAvg"/>
    <n v="-1.5324199006433061E-2"/>
    <s v="CohortAvg"/>
    <n v="0.16914383928277471"/>
    <s v="CohortAvg"/>
    <n v="8.2761551975630079E-2"/>
    <s v="CohortAvg_NonZero"/>
    <n v="0"/>
    <s v="CohortAvg"/>
    <n v="0"/>
    <s v="Zero"/>
    <n v="0"/>
    <s v="CohortAvg"/>
    <n v="0"/>
    <s v="CohortAvg"/>
    <n v="0"/>
    <n v="-8360.2000000000007"/>
    <n v="-3025.73"/>
    <n v="2783.09"/>
    <n v="0"/>
    <n v="0"/>
    <n v="0"/>
    <n v="0"/>
    <n v="188845.07"/>
    <n v="0.22489899999999999"/>
    <n v="1.0333000000000001"/>
    <n v="0.23238900000000001"/>
    <s v="CohortTrend+Seasonal(1.033)"/>
    <n v="43885.55"/>
    <n v="58547.89"/>
    <n v="-14662.34"/>
    <x v="0"/>
    <n v="0"/>
    <n v="0.78500000000000003"/>
    <n v="0.24"/>
    <n v="0"/>
    <n v="0"/>
    <n v="0"/>
    <n v="58547.89"/>
    <n v="197447.91"/>
    <n v="0.29652299999999998"/>
    <n v="-14662.34"/>
    <n v="-14662.34"/>
    <n v="0"/>
    <n v="-14662.34"/>
    <n v="203507.41"/>
    <s v="Forecast"/>
  </r>
  <r>
    <x v="12"/>
    <x v="1"/>
    <s v="202408"/>
    <n v="26"/>
    <n v="182304.47"/>
    <n v="-6.166097501250619E-2"/>
    <s v="CohortAvg"/>
    <n v="-1.658550168867114E-2"/>
    <s v="CohortAvg"/>
    <n v="0.18296200232318219"/>
    <s v="CohortAvg"/>
    <n v="0.1104761026857973"/>
    <s v="CohortAvg_NonZero"/>
    <n v="5.6855229129319115E-10"/>
    <s v="CohortAvg"/>
    <n v="0"/>
    <s v="Zero"/>
    <n v="0"/>
    <s v="CohortAvg"/>
    <n v="0"/>
    <s v="CohortAvg"/>
    <n v="0"/>
    <n v="-11241.07"/>
    <n v="-3023.61"/>
    <n v="2779.57"/>
    <n v="0"/>
    <n v="0"/>
    <n v="0"/>
    <n v="0"/>
    <n v="170819.35"/>
    <n v="0.23055999999999999"/>
    <n v="1.0333000000000001"/>
    <n v="0.23823900000000001"/>
    <s v="CohortTrend+Seasonal(1.033)"/>
    <n v="40695.78"/>
    <n v="55310.16"/>
    <n v="-14614.39"/>
    <x v="0"/>
    <n v="0"/>
    <n v="0.78500000000000003"/>
    <n v="0.24"/>
    <n v="0"/>
    <n v="0"/>
    <n v="0"/>
    <n v="55310.16"/>
    <n v="182304.47"/>
    <n v="0.303394"/>
    <n v="-14614.39"/>
    <n v="-14614.39"/>
    <n v="0"/>
    <n v="-14614.39"/>
    <n v="185433.74"/>
    <s v="Forecast"/>
  </r>
  <r>
    <x v="12"/>
    <x v="1"/>
    <s v="202409"/>
    <n v="25"/>
    <n v="345170.55"/>
    <n v="-4.0671769431580171E-2"/>
    <s v="CohortAvg"/>
    <n v="-1.5079812979391771E-2"/>
    <s v="CohortAvg"/>
    <n v="0.18238343692047279"/>
    <s v="CohortAvg"/>
    <n v="3.1798017493715407E-2"/>
    <s v="CohortAvg_NonZero"/>
    <n v="0"/>
    <s v="CohortAvg"/>
    <n v="0"/>
    <s v="Zero"/>
    <n v="0"/>
    <s v="CohortAvg"/>
    <n v="0"/>
    <s v="CohortAvg"/>
    <n v="0"/>
    <n v="-14038.7"/>
    <n v="-5205.1099999999997"/>
    <n v="5246.12"/>
    <n v="0"/>
    <n v="0"/>
    <n v="0"/>
    <n v="0"/>
    <n v="331172.86"/>
    <n v="0.255859"/>
    <n v="1.0333000000000001"/>
    <n v="0.26437899999999998"/>
    <s v="CohortTrend+Seasonal(1.033)"/>
    <n v="87555.29"/>
    <n v="114861.48"/>
    <n v="-27306.19"/>
    <x v="0"/>
    <n v="0"/>
    <n v="0.78500000000000003"/>
    <n v="0.24"/>
    <n v="0"/>
    <n v="0"/>
    <n v="0"/>
    <n v="114861.48"/>
    <n v="345170.55"/>
    <n v="0.33276699999999998"/>
    <n v="-27306.19"/>
    <n v="-27306.19"/>
    <n v="0"/>
    <n v="-27306.19"/>
    <n v="358479.04"/>
    <s v="Forecast"/>
  </r>
  <r>
    <x v="12"/>
    <x v="1"/>
    <s v="202410"/>
    <n v="24"/>
    <n v="318742.26"/>
    <n v="-1.2851189168158391E-2"/>
    <s v="CohortAvg"/>
    <n v="-1.8240659542448811E-2"/>
    <s v="CohortAvg"/>
    <n v="0.1876349377945872"/>
    <s v="CohortAvg"/>
    <n v="3.5380280876240407E-2"/>
    <s v="CohortAvg_NonZero"/>
    <n v="2.4944507837724178E-7"/>
    <s v="CohortAvg"/>
    <n v="0"/>
    <s v="Zero"/>
    <n v="0"/>
    <s v="CohortAvg"/>
    <n v="0"/>
    <s v="CohortAvg"/>
    <n v="0"/>
    <n v="-4096.22"/>
    <n v="-5814.07"/>
    <n v="4983.93"/>
    <n v="0"/>
    <n v="0.08"/>
    <n v="0"/>
    <n v="0"/>
    <n v="313815.83"/>
    <n v="0.251274"/>
    <n v="1.0333000000000001"/>
    <n v="0.25964199999999998"/>
    <s v="CohortTrend+Seasonal(1.033)"/>
    <n v="81479.759999999995"/>
    <n v="103789.88"/>
    <n v="-22310.11"/>
    <x v="0"/>
    <n v="0"/>
    <n v="0.78500000000000003"/>
    <n v="0.24"/>
    <n v="0"/>
    <n v="0"/>
    <n v="0"/>
    <n v="103789.88"/>
    <n v="318742.26"/>
    <n v="0.325623"/>
    <n v="-22310.11"/>
    <n v="-22310.03"/>
    <n v="0"/>
    <n v="-22310.03"/>
    <n v="336125.86"/>
    <s v="Forecast"/>
  </r>
  <r>
    <x v="12"/>
    <x v="1"/>
    <s v="202411"/>
    <n v="23"/>
    <n v="315687.03999999998"/>
    <n v="-4.4213342490047353E-2"/>
    <s v="CohortAvg"/>
    <n v="-1.480267847808874E-2"/>
    <s v="CohortAvg"/>
    <n v="0.17341589619512229"/>
    <s v="CohortAvg"/>
    <n v="3.2526309086145087E-2"/>
    <s v="CohortAvg_NonZero"/>
    <n v="0"/>
    <s v="CohortAvg"/>
    <n v="0"/>
    <s v="Zero"/>
    <n v="0"/>
    <s v="CohortAvg"/>
    <n v="0"/>
    <s v="CohortAvg"/>
    <n v="0"/>
    <n v="-13957.58"/>
    <n v="-4673.01"/>
    <n v="4562.1000000000004"/>
    <n v="0"/>
    <n v="0"/>
    <n v="0"/>
    <n v="0"/>
    <n v="301618.53999999998"/>
    <n v="0.21190400000000001"/>
    <n v="1.0333000000000001"/>
    <n v="0.21896099999999999"/>
    <s v="CohortTrend+Seasonal(1.033)"/>
    <n v="66042.570000000007"/>
    <n v="88077.42"/>
    <n v="-22034.86"/>
    <x v="0"/>
    <n v="0"/>
    <n v="0.78500000000000003"/>
    <n v="0.24"/>
    <n v="0"/>
    <n v="0"/>
    <n v="0"/>
    <n v="88077.42"/>
    <n v="315687.03999999998"/>
    <n v="0.27900199999999997"/>
    <n v="-22034.86"/>
    <n v="-22034.86"/>
    <n v="0"/>
    <n v="-22034.86"/>
    <n v="323653.40000000002"/>
    <s v="Forecast"/>
  </r>
  <r>
    <x v="12"/>
    <x v="1"/>
    <s v="202412"/>
    <n v="22"/>
    <n v="19486.03"/>
    <n v="-8.5866096392068648E-3"/>
    <s v="CohortAvg"/>
    <n v="-1.242200472658132E-2"/>
    <s v="CohortAvg"/>
    <n v="0.1458647287621723"/>
    <s v="CohortAvg"/>
    <n v="0.2"/>
    <s v="CohortAvg_NonZero"/>
    <n v="0"/>
    <s v="CohortAvg"/>
    <n v="0"/>
    <s v="Zero"/>
    <n v="0"/>
    <s v="CohortAvg"/>
    <n v="0"/>
    <s v="CohortAvg"/>
    <n v="0"/>
    <n v="-167.32"/>
    <n v="-242.06"/>
    <n v="236.86"/>
    <n v="0"/>
    <n v="0"/>
    <n v="0"/>
    <n v="0"/>
    <n v="19313.52"/>
    <n v="0.198378"/>
    <n v="1.0333000000000001"/>
    <n v="0.204985"/>
    <s v="CohortTrend+Seasonal(1.033)"/>
    <n v="3958.98"/>
    <n v="5102.0600000000004"/>
    <n v="-1143.08"/>
    <x v="0"/>
    <n v="0"/>
    <n v="0.78500000000000003"/>
    <n v="0.24"/>
    <n v="0"/>
    <n v="0"/>
    <n v="0"/>
    <n v="5102.0600000000004"/>
    <n v="19486.03"/>
    <n v="0.26183200000000001"/>
    <n v="-1143.08"/>
    <n v="-1143.08"/>
    <n v="0"/>
    <n v="-1143.08"/>
    <n v="20456.59"/>
    <s v="Forecast"/>
  </r>
  <r>
    <x v="12"/>
    <x v="1"/>
    <s v="202501"/>
    <n v="21"/>
    <n v="50085.9"/>
    <n v="-1.5282162311193091E-2"/>
    <s v="CohortAvg"/>
    <n v="-1.7522013145282931E-2"/>
    <s v="CohortAvg"/>
    <n v="0.20437491070694841"/>
    <s v="CohortAvg"/>
    <n v="0"/>
    <s v="CohortAvg_NoData_ERROR"/>
    <n v="0"/>
    <s v="CohortAvg"/>
    <n v="0"/>
    <s v="Zero"/>
    <n v="0"/>
    <s v="CohortAvg"/>
    <n v="0"/>
    <s v="CohortAvg"/>
    <n v="0"/>
    <n v="-765.42"/>
    <n v="-877.61"/>
    <n v="853.03"/>
    <n v="0"/>
    <n v="0"/>
    <n v="0"/>
    <n v="0"/>
    <n v="49295.9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50085.9"/>
    <n v="0"/>
    <n v="0"/>
    <n v="0"/>
    <n v="0"/>
    <n v="0"/>
    <n v="49295.9"/>
    <s v="Forecast"/>
  </r>
  <r>
    <x v="12"/>
    <x v="1"/>
    <s v="202502"/>
    <n v="20"/>
    <n v="105732.26"/>
    <n v="-1.3831786407838491E-2"/>
    <s v="CohortAvg"/>
    <n v="-1.890161431014151E-2"/>
    <s v="CohortAvg"/>
    <n v="0.1941286100873173"/>
    <s v="CohortAvg"/>
    <n v="0"/>
    <s v="CohortAvg_NoData_ERROR"/>
    <n v="0"/>
    <s v="CohortAvg"/>
    <n v="0"/>
    <s v="Zero"/>
    <n v="0"/>
    <s v="CohortAvg"/>
    <n v="0"/>
    <s v="CohortAvg"/>
    <n v="0"/>
    <n v="-1462.47"/>
    <n v="-1998.51"/>
    <n v="1710.47"/>
    <n v="0"/>
    <n v="0"/>
    <n v="0"/>
    <n v="0"/>
    <n v="103981.75999999999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05732.26"/>
    <n v="0"/>
    <n v="0"/>
    <n v="0"/>
    <n v="0"/>
    <n v="0"/>
    <n v="103981.75999999999"/>
    <s v="Forecast"/>
  </r>
  <r>
    <x v="12"/>
    <x v="1"/>
    <s v="202503"/>
    <n v="19"/>
    <n v="76769.070000000007"/>
    <n v="-9.8308074210932007E-3"/>
    <s v="CohortAvg"/>
    <n v="-1.382738112834617E-2"/>
    <s v="CohortAvg"/>
    <n v="0.2083312810063862"/>
    <s v="CohortAvg"/>
    <n v="0"/>
    <s v="CohortAvg_NoData_ERROR"/>
    <n v="0"/>
    <s v="CohortAvg"/>
    <n v="0"/>
    <s v="Zero"/>
    <n v="0"/>
    <s v="CohortAvg"/>
    <n v="0"/>
    <s v="CohortAvg"/>
    <n v="0"/>
    <n v="-754.7"/>
    <n v="-1061.52"/>
    <n v="1332.78"/>
    <n v="0"/>
    <n v="0"/>
    <n v="0"/>
    <n v="0"/>
    <n v="76285.63"/>
    <n v="0.18524499999999999"/>
    <n v="1.0333000000000001"/>
    <n v="0.191414"/>
    <s v="DonorCohort:202301+Seasonal(1.033)"/>
    <n v="14602.16"/>
    <n v="16790.79"/>
    <n v="-2188.63"/>
    <x v="0"/>
    <n v="0"/>
    <n v="0.78500000000000003"/>
    <n v="0.24"/>
    <n v="0"/>
    <n v="0"/>
    <n v="0"/>
    <n v="16790.79"/>
    <n v="76769.070000000007"/>
    <n v="0.218718"/>
    <n v="-2188.63"/>
    <n v="-2188.63"/>
    <n v="0"/>
    <n v="-2188.63"/>
    <n v="78474.27"/>
    <s v="Forecast"/>
  </r>
  <r>
    <x v="12"/>
    <x v="1"/>
    <s v="202504"/>
    <n v="18"/>
    <n v="48921.97"/>
    <n v="-2.0705341272575058E-2"/>
    <s v="CohortAvg"/>
    <n v="-1.6747620441634931E-2"/>
    <s v="CohortAvg"/>
    <n v="0.2022480083670212"/>
    <s v="CohortAvg"/>
    <n v="0"/>
    <s v="CohortAvg_NoData_ERROR"/>
    <n v="0"/>
    <s v="CohortAvg"/>
    <n v="0"/>
    <s v="Zero"/>
    <n v="0"/>
    <s v="CohortAvg"/>
    <n v="0"/>
    <s v="CohortAvg"/>
    <n v="0"/>
    <n v="-1012.95"/>
    <n v="-819.33"/>
    <n v="824.53"/>
    <n v="0"/>
    <n v="0"/>
    <n v="0"/>
    <n v="0"/>
    <n v="47914.2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48921.97"/>
    <n v="0"/>
    <n v="0"/>
    <n v="0"/>
    <n v="0"/>
    <n v="0"/>
    <n v="47914.23"/>
    <s v="Forecast"/>
  </r>
  <r>
    <x v="12"/>
    <x v="1"/>
    <s v="202505"/>
    <n v="17"/>
    <n v="14894.75"/>
    <n v="-1.013411118625213E-2"/>
    <s v="CohortAvg"/>
    <n v="-1.654855036984041E-2"/>
    <s v="CohortAvg"/>
    <n v="0.20006547079841669"/>
    <s v="CohortAvg"/>
    <n v="0"/>
    <s v="CohortAvg_NoData_ERROR"/>
    <n v="0"/>
    <s v="CohortAvg"/>
    <n v="0"/>
    <s v="Zero"/>
    <n v="0"/>
    <s v="CohortAvg"/>
    <n v="0"/>
    <s v="CohortAvg"/>
    <n v="0"/>
    <n v="-150.94999999999999"/>
    <n v="-246.49"/>
    <n v="248.33"/>
    <n v="0"/>
    <n v="0"/>
    <n v="0"/>
    <n v="0"/>
    <n v="14745.64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4894.75"/>
    <n v="0"/>
    <n v="0"/>
    <n v="0"/>
    <n v="0"/>
    <n v="0"/>
    <n v="14745.64"/>
    <s v="Forecast"/>
  </r>
  <r>
    <x v="12"/>
    <x v="1"/>
    <s v="202506"/>
    <n v="16"/>
    <n v="26141.97"/>
    <n v="-1.4113410298308831E-2"/>
    <s v="CohortAvg"/>
    <n v="-1.6685341231380608E-2"/>
    <s v="CohortAvg"/>
    <n v="0.19385272049566399"/>
    <s v="CohortAvg"/>
    <n v="0"/>
    <s v="CohortAvg_NoData_ERROR"/>
    <n v="0"/>
    <s v="CohortAvg"/>
    <n v="0"/>
    <s v="Zero"/>
    <n v="0"/>
    <s v="CohortAvg"/>
    <n v="0"/>
    <s v="CohortAvg"/>
    <n v="0"/>
    <n v="-368.95"/>
    <n v="-436.19"/>
    <n v="422.31"/>
    <n v="0"/>
    <n v="0"/>
    <n v="0"/>
    <n v="0"/>
    <n v="25759.1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26141.97"/>
    <n v="0"/>
    <n v="0"/>
    <n v="0"/>
    <n v="0"/>
    <n v="0"/>
    <n v="25759.13"/>
    <s v="Forecast"/>
  </r>
  <r>
    <x v="12"/>
    <x v="1"/>
    <s v="202507"/>
    <n v="15"/>
    <n v="102742.86"/>
    <n v="-1.122956843635013E-2"/>
    <s v="CohortAvg"/>
    <n v="-1.8124630932450689E-2"/>
    <s v="CohortAvg"/>
    <n v="0.20078164417321201"/>
    <s v="CohortAvg"/>
    <n v="0"/>
    <s v="CohortAvg_NoData_ERROR"/>
    <n v="0"/>
    <s v="CohortAvg"/>
    <n v="0"/>
    <s v="Zero"/>
    <n v="0"/>
    <s v="CohortAvg"/>
    <n v="0"/>
    <s v="CohortAvg"/>
    <n v="0"/>
    <n v="-1153.76"/>
    <n v="-1862.18"/>
    <n v="1719.07"/>
    <n v="0"/>
    <n v="0"/>
    <n v="0"/>
    <n v="0"/>
    <n v="101446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02742.86"/>
    <n v="0"/>
    <n v="0"/>
    <n v="0"/>
    <n v="0"/>
    <n v="0"/>
    <n v="101446"/>
    <s v="Forecast"/>
  </r>
  <r>
    <x v="12"/>
    <x v="1"/>
    <s v="202508"/>
    <n v="14"/>
    <n v="42152.42"/>
    <n v="-1.463049844852451E-2"/>
    <s v="CohortAvg"/>
    <n v="-1.470502300939466E-2"/>
    <s v="CohortAvg"/>
    <n v="0.18102110481551659"/>
    <s v="CohortAvg"/>
    <n v="0"/>
    <s v="CohortAvg_NoData_ERROR"/>
    <n v="0"/>
    <s v="CohortAvg"/>
    <n v="0"/>
    <s v="Zero"/>
    <n v="0"/>
    <s v="CohortAvg"/>
    <n v="0"/>
    <s v="CohortAvg"/>
    <n v="0"/>
    <n v="-616.71"/>
    <n v="-619.85"/>
    <n v="635.87"/>
    <n v="0"/>
    <n v="0"/>
    <n v="0"/>
    <n v="0"/>
    <n v="41551.73000000000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42152.42"/>
    <n v="0"/>
    <n v="0"/>
    <n v="0"/>
    <n v="0"/>
    <n v="0"/>
    <n v="41551.730000000003"/>
    <s v="Forecast"/>
  </r>
  <r>
    <x v="12"/>
    <x v="1"/>
    <s v="202509"/>
    <n v="13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2"/>
    <x v="2"/>
    <s v="202101"/>
    <n v="69"/>
    <n v="267260.21999999997"/>
    <n v="-0.19221149927311779"/>
    <s v="CohortAvg"/>
    <n v="-1.4242610549062191E-2"/>
    <s v="CohortAvg"/>
    <n v="0.1557839006756912"/>
    <s v="CohortAvg"/>
    <n v="1.7912633189178261E-2"/>
    <s v="CohortAvg_NonZero"/>
    <n v="0"/>
    <s v="CohortAvg"/>
    <n v="0"/>
    <s v="Zero"/>
    <n v="0"/>
    <s v="CohortAvg"/>
    <n v="0"/>
    <s v="CohortAvg"/>
    <n v="0"/>
    <n v="-51370.49"/>
    <n v="-3806.48"/>
    <n v="3469.57"/>
    <n v="0"/>
    <n v="0"/>
    <n v="0"/>
    <n v="0"/>
    <n v="215552.82"/>
    <n v="0.26062200000000002"/>
    <n v="1.0760000000000001"/>
    <n v="0.28043299999999999"/>
    <s v="CohortAvg+Seasonal(1.076)"/>
    <n v="60448.19"/>
    <n v="70385.919999999998"/>
    <n v="-9937.73"/>
    <x v="0"/>
    <n v="0"/>
    <n v="0.78500000000000003"/>
    <n v="0.24"/>
    <n v="0"/>
    <n v="0"/>
    <n v="0"/>
    <n v="70385.919999999998"/>
    <n v="267260.21999999997"/>
    <n v="0.26336100000000001"/>
    <n v="-9937.73"/>
    <n v="-9937.73"/>
    <n v="0"/>
    <n v="-9937.73"/>
    <n v="225490.54"/>
    <s v="Forecast"/>
  </r>
  <r>
    <x v="12"/>
    <x v="2"/>
    <s v="202201"/>
    <n v="49"/>
    <n v="71286.45"/>
    <n v="-6.464920672953467E-2"/>
    <s v="CohortAvg"/>
    <n v="-1.3458750635418419E-2"/>
    <s v="CohortAvg"/>
    <n v="0.14979090592077229"/>
    <s v="CohortAvg"/>
    <n v="3.423937845809797E-2"/>
    <s v="CohortAvg_NonZero"/>
    <n v="3.964580395551262E-7"/>
    <s v="CohortAvg"/>
    <n v="0"/>
    <s v="Zero"/>
    <n v="-7.475597609904683E-6"/>
    <s v="CohortAvg"/>
    <n v="-3.3750983423974758E-8"/>
    <s v="CohortAvg"/>
    <n v="0"/>
    <n v="-4608.6099999999997"/>
    <n v="-959.43"/>
    <n v="889.84"/>
    <n v="0"/>
    <n v="0.03"/>
    <n v="-0.53"/>
    <n v="0"/>
    <n v="66608.22"/>
    <n v="0.18687999999999999"/>
    <n v="1.0760000000000001"/>
    <n v="0.20108599999999999"/>
    <s v="CohortAvg+Seasonal(1.076)"/>
    <n v="13394"/>
    <n v="13438.23"/>
    <n v="-44.23"/>
    <x v="0"/>
    <n v="0"/>
    <n v="0.78500000000000003"/>
    <n v="0.24"/>
    <n v="0"/>
    <n v="0"/>
    <n v="0"/>
    <n v="13438.23"/>
    <n v="71286.45"/>
    <n v="0.18851000000000001"/>
    <n v="-44.23"/>
    <n v="-44.2"/>
    <n v="0"/>
    <n v="-44.2"/>
    <n v="66652.42"/>
    <s v="Forecast"/>
  </r>
  <r>
    <x v="12"/>
    <x v="2"/>
    <s v="202301"/>
    <n v="40"/>
    <n v="6703846.1399999997"/>
    <n v="-3.6116672799863303E-2"/>
    <s v="CohortAvg"/>
    <n v="-1.5331645857284139E-2"/>
    <s v="CohortAvg"/>
    <n v="0.1743129792490872"/>
    <s v="CohortAvg"/>
    <n v="1.8503879029739431E-2"/>
    <s v="CohortAvg_NonZero"/>
    <n v="5.231954272674304E-8"/>
    <s v="CohortAvg"/>
    <n v="0"/>
    <s v="Zero"/>
    <n v="-1.5088482432028491E-4"/>
    <s v="CohortAvg"/>
    <n v="-3.7716816081291359E-7"/>
    <s v="CohortAvg"/>
    <n v="0"/>
    <n v="-242120.62"/>
    <n v="-102780.99"/>
    <n v="97380.62"/>
    <n v="0"/>
    <n v="0.35"/>
    <n v="-1011.51"/>
    <n v="-2.5299999999999998"/>
    <n v="6456324.79"/>
    <n v="0.21349499999999999"/>
    <n v="1.0760000000000001"/>
    <n v="0.22972400000000001"/>
    <s v="CohortAvg+Seasonal(1.076)"/>
    <n v="1483174.32"/>
    <n v="1562880.63"/>
    <n v="-79706.3"/>
    <x v="0"/>
    <n v="0"/>
    <n v="0.78500000000000003"/>
    <n v="0.24"/>
    <n v="0"/>
    <n v="0"/>
    <n v="0"/>
    <n v="1562880.63"/>
    <n v="6703846.1399999997"/>
    <n v="0.23313200000000001"/>
    <n v="-79706.3"/>
    <n v="-79705.95"/>
    <n v="0"/>
    <n v="-79705.95"/>
    <n v="6536030.7400000002"/>
    <s v="Forecast"/>
  </r>
  <r>
    <x v="12"/>
    <x v="2"/>
    <s v="202404"/>
    <n v="30"/>
    <n v="1631495.19"/>
    <n v="-4.2672608266766748E-2"/>
    <s v="CohortAvg"/>
    <n v="-1.609798427226045E-2"/>
    <s v="CohortAvg"/>
    <n v="0.1759308575973749"/>
    <s v="CohortAvg"/>
    <n v="2.137376367496982E-2"/>
    <s v="CohortAvg_NonZero"/>
    <n v="2.3164940891877011E-7"/>
    <s v="CohortAvg"/>
    <n v="0"/>
    <s v="Zero"/>
    <n v="-2.4743507330118901E-3"/>
    <s v="CohortAvg"/>
    <n v="-1.172828655000424E-5"/>
    <s v="CohortAvg"/>
    <n v="0"/>
    <n v="-69620.160000000003"/>
    <n v="-26263.78"/>
    <n v="23919.200000000001"/>
    <n v="0"/>
    <n v="0.38"/>
    <n v="-4036.89"/>
    <n v="-19.13"/>
    <n v="1559530.07"/>
    <n v="0.17763899999999999"/>
    <n v="1.0760000000000001"/>
    <n v="0.19114300000000001"/>
    <s v="CohortTrend+Seasonal(1.076)"/>
    <n v="298092.99"/>
    <n v="284099.05"/>
    <n v="13993.94"/>
    <x v="0"/>
    <n v="0"/>
    <n v="0.78500000000000003"/>
    <n v="0.24"/>
    <n v="0"/>
    <n v="0"/>
    <n v="0"/>
    <n v="284099.05"/>
    <n v="1631495.19"/>
    <n v="0.17413400000000001"/>
    <n v="13993.94"/>
    <n v="13994.32"/>
    <n v="0"/>
    <n v="13994.32"/>
    <n v="1545535.75"/>
    <s v="Forecast"/>
  </r>
  <r>
    <x v="12"/>
    <x v="2"/>
    <s v="202405"/>
    <n v="29"/>
    <n v="1834430.22"/>
    <n v="-1.9236006881376329E-2"/>
    <s v="CohortAvg"/>
    <n v="-1.5119471259277571E-2"/>
    <s v="CohortAvg"/>
    <n v="0.17332844833662789"/>
    <s v="CohortAvg"/>
    <n v="3.1518772767873293E-2"/>
    <s v="CohortAvg_NonZero"/>
    <n v="2.5085562852269718E-7"/>
    <s v="CohortAvg"/>
    <n v="0"/>
    <s v="Zero"/>
    <n v="-5.6627911911848374E-3"/>
    <s v="CohortAvg"/>
    <n v="-3.4332680556884152E-5"/>
    <s v="CohortAvg"/>
    <n v="0"/>
    <n v="-35287.11"/>
    <n v="-27735.61"/>
    <n v="26496.58"/>
    <n v="0"/>
    <n v="0.46"/>
    <n v="-10388"/>
    <n v="-62.98"/>
    <n v="1797903.61"/>
    <n v="0.150778"/>
    <n v="1.0760000000000001"/>
    <n v="0.16224"/>
    <s v="CohortTrend+Seasonal(1.076)"/>
    <n v="291691.63"/>
    <n v="271116.69"/>
    <n v="20574.939999999999"/>
    <x v="0"/>
    <n v="0"/>
    <n v="0.78500000000000003"/>
    <n v="0.24"/>
    <n v="0"/>
    <n v="0"/>
    <n v="0"/>
    <n v="271116.69"/>
    <n v="1834430.22"/>
    <n v="0.14779300000000001"/>
    <n v="20574.939999999999"/>
    <n v="20575.400000000001"/>
    <n v="0"/>
    <n v="20575.400000000001"/>
    <n v="1777328.21"/>
    <s v="Forecast"/>
  </r>
  <r>
    <x v="12"/>
    <x v="2"/>
    <s v="202406"/>
    <n v="28"/>
    <n v="1410873.85"/>
    <n v="-2.7672220572262159E-2"/>
    <s v="CohortAvg"/>
    <n v="-1.5137206488432871E-2"/>
    <s v="CohortAvg"/>
    <n v="0.1719446197133809"/>
    <s v="CohortAvg"/>
    <n v="6.2236911997030332E-2"/>
    <s v="CohortAvg_NonZero"/>
    <n v="2.1754354633562939E-7"/>
    <s v="CohortAvg"/>
    <n v="0"/>
    <s v="Zero"/>
    <n v="-3.5420276976541021E-3"/>
    <s v="CohortAvg"/>
    <n v="-5.4610738367244192E-5"/>
    <s v="CohortAvg"/>
    <n v="0"/>
    <n v="-39042.01"/>
    <n v="-21356.69"/>
    <n v="20216.009999999998"/>
    <n v="0"/>
    <n v="0.31"/>
    <n v="-4997.3500000000004"/>
    <n v="-77.05"/>
    <n v="1370690.85"/>
    <n v="0.155641"/>
    <n v="1.0760000000000001"/>
    <n v="0.16747200000000001"/>
    <s v="CohortTrend+Seasonal(1.076)"/>
    <n v="229552.53"/>
    <n v="215680.87"/>
    <n v="13871.66"/>
    <x v="0"/>
    <n v="0"/>
    <n v="0.78500000000000003"/>
    <n v="0.24"/>
    <n v="0"/>
    <n v="0"/>
    <n v="0"/>
    <n v="215680.87"/>
    <n v="1410873.85"/>
    <n v="0.15287000000000001"/>
    <n v="13871.66"/>
    <n v="13871.97"/>
    <n v="0"/>
    <n v="13871.97"/>
    <n v="1356818.88"/>
    <s v="Forecast"/>
  </r>
  <r>
    <x v="12"/>
    <x v="2"/>
    <s v="202407"/>
    <n v="27"/>
    <n v="2725225.08"/>
    <n v="-2.728402346414378E-2"/>
    <s v="CohortAvg"/>
    <n v="-1.5649629875122469E-2"/>
    <s v="CohortAvg"/>
    <n v="0.17590791305183201"/>
    <s v="CohortAvg"/>
    <n v="3.1584164547788902E-2"/>
    <s v="CohortAvg_NonZero"/>
    <n v="6.6019358688569834E-6"/>
    <s v="CohortAvg"/>
    <n v="0"/>
    <s v="Zero"/>
    <n v="-4.9116859360825386E-3"/>
    <s v="CohortAvg"/>
    <n v="-4.1291778943723462E-5"/>
    <s v="CohortAvg"/>
    <n v="0"/>
    <n v="-74355.11"/>
    <n v="-42648.76"/>
    <n v="39949.050000000003"/>
    <n v="0"/>
    <n v="17.989999999999998"/>
    <n v="-13385.45"/>
    <n v="-112.53"/>
    <n v="2648152.27"/>
    <n v="0.13299800000000001"/>
    <n v="1.0760000000000001"/>
    <n v="0.14310800000000001"/>
    <s v="CohortTrend+Seasonal(1.076)"/>
    <n v="378971.16"/>
    <n v="354773.54"/>
    <n v="24197.62"/>
    <x v="0"/>
    <n v="0"/>
    <n v="0.78500000000000003"/>
    <n v="0.24"/>
    <n v="0"/>
    <n v="0"/>
    <n v="0"/>
    <n v="354773.54"/>
    <n v="2725225.08"/>
    <n v="0.13018099999999999"/>
    <n v="24197.62"/>
    <n v="24215.61"/>
    <n v="0"/>
    <n v="24215.61"/>
    <n v="2623936.66"/>
    <s v="Forecast"/>
  </r>
  <r>
    <x v="12"/>
    <x v="2"/>
    <s v="202408"/>
    <n v="26"/>
    <n v="2001901.84"/>
    <n v="-2.4020933327737921E-2"/>
    <s v="CohortAvg"/>
    <n v="-1.648303741763843E-2"/>
    <s v="CohortAvg"/>
    <n v="0.18805055390043071"/>
    <s v="CohortAvg"/>
    <n v="2.1549768873169589E-2"/>
    <s v="CohortAvg_NonZero"/>
    <n v="8.7689731419974066E-8"/>
    <s v="CohortAvg"/>
    <n v="0"/>
    <s v="Zero"/>
    <n v="-2.2776372596412342E-3"/>
    <s v="CohortAvg"/>
    <n v="-2.4524274911112871E-5"/>
    <s v="CohortAvg"/>
    <n v="0"/>
    <n v="-48087.55"/>
    <n v="-32997.42"/>
    <n v="31371.56"/>
    <n v="0"/>
    <n v="0.18"/>
    <n v="-4559.6099999999997"/>
    <n v="-49.1"/>
    <n v="1952188.26"/>
    <n v="0.132496"/>
    <n v="1.0760000000000001"/>
    <n v="0.142568"/>
    <s v="CohortTrend+Seasonal(1.076)"/>
    <n v="278318.73"/>
    <n v="258006.88"/>
    <n v="20311.86"/>
    <x v="0"/>
    <n v="0"/>
    <n v="0.78500000000000003"/>
    <n v="0.24"/>
    <n v="0"/>
    <n v="0"/>
    <n v="0"/>
    <n v="258006.88"/>
    <n v="2001901.84"/>
    <n v="0.128881"/>
    <n v="20311.86"/>
    <n v="20312.03"/>
    <n v="0"/>
    <n v="20312.03"/>
    <n v="1931876.22"/>
    <s v="Forecast"/>
  </r>
  <r>
    <x v="12"/>
    <x v="2"/>
    <s v="202409"/>
    <n v="25"/>
    <n v="1769485.05"/>
    <n v="-3.2597186603534688E-2"/>
    <s v="CohortAvg"/>
    <n v="-1.6755351215815052E-2"/>
    <s v="CohortAvg"/>
    <n v="0.18523214799625209"/>
    <s v="CohortAvg"/>
    <n v="3.4906357192400088E-2"/>
    <s v="CohortAvg_NonZero"/>
    <n v="7.4456791019950867E-6"/>
    <s v="CohortAvg"/>
    <n v="0"/>
    <s v="Zero"/>
    <n v="-1.1711542337256379E-2"/>
    <s v="CohortAvg"/>
    <n v="-9.475370501293454E-5"/>
    <s v="CohortAvg"/>
    <n v="0"/>
    <n v="-57680.23"/>
    <n v="-29648.34"/>
    <n v="27313.79"/>
    <n v="0"/>
    <n v="13.18"/>
    <n v="-20723.400000000001"/>
    <n v="-167.67"/>
    <n v="1709457.09"/>
    <n v="0.11619"/>
    <n v="1.0760000000000001"/>
    <n v="0.125023"/>
    <s v="CohortTrend+Seasonal(1.076)"/>
    <n v="213720.93"/>
    <n v="199990.19"/>
    <n v="13730.74"/>
    <x v="0"/>
    <n v="0"/>
    <n v="0.78500000000000003"/>
    <n v="0.24"/>
    <n v="0"/>
    <n v="0"/>
    <n v="0"/>
    <n v="199990.19"/>
    <n v="1769485.05"/>
    <n v="0.113022"/>
    <n v="13730.74"/>
    <n v="13743.91"/>
    <n v="0"/>
    <n v="13743.91"/>
    <n v="1695713.17"/>
    <s v="Forecast"/>
  </r>
  <r>
    <x v="12"/>
    <x v="2"/>
    <s v="202410"/>
    <n v="24"/>
    <n v="1644539.05"/>
    <n v="-4.0516343662664933E-2"/>
    <s v="CohortAvg"/>
    <n v="-1.6712509167306541E-2"/>
    <s v="CohortAvg"/>
    <n v="0.1820624111498674"/>
    <s v="CohortAvg"/>
    <n v="2.9195391289362028E-2"/>
    <s v="CohortAvg_NonZero"/>
    <n v="4.0369107457302278E-7"/>
    <s v="CohortAvg"/>
    <n v="0"/>
    <s v="Zero"/>
    <n v="-7.3284887987887029E-3"/>
    <s v="CohortAvg"/>
    <n v="-1.113122358607031E-4"/>
    <s v="CohortAvg"/>
    <n v="0"/>
    <n v="-66630.710000000006"/>
    <n v="-27484.37"/>
    <n v="24950.73"/>
    <n v="0"/>
    <n v="0.66"/>
    <n v="-12051.99"/>
    <n v="-183.06"/>
    <n v="1575374.03"/>
    <n v="0.10711900000000001"/>
    <n v="1.0760000000000001"/>
    <n v="0.115262"/>
    <s v="CohortTrend+Seasonal(1.076)"/>
    <n v="181580.43"/>
    <n v="172118.78"/>
    <n v="9461.65"/>
    <x v="0"/>
    <n v="0"/>
    <n v="0.78500000000000003"/>
    <n v="0.24"/>
    <n v="0"/>
    <n v="0"/>
    <n v="0"/>
    <n v="172118.78"/>
    <n v="1644539.05"/>
    <n v="0.104661"/>
    <n v="9461.65"/>
    <n v="9462.32"/>
    <n v="0"/>
    <n v="9462.32"/>
    <n v="1565911.72"/>
    <s v="Forecast"/>
  </r>
  <r>
    <x v="12"/>
    <x v="2"/>
    <s v="202411"/>
    <n v="23"/>
    <n v="1912871.04"/>
    <n v="-3.699269253072715E-2"/>
    <s v="CohortAvg"/>
    <n v="-1.755234489107959E-2"/>
    <s v="CohortAvg"/>
    <n v="0.19015168252031009"/>
    <s v="CohortAvg"/>
    <n v="2.1609210509829269E-2"/>
    <s v="CohortAvg_NonZero"/>
    <n v="1.8964801334966921E-6"/>
    <s v="CohortAvg"/>
    <n v="0"/>
    <s v="Zero"/>
    <n v="-1.093289628095577E-2"/>
    <s v="CohortAvg"/>
    <n v="-9.5918745593842985E-5"/>
    <s v="CohortAvg"/>
    <n v="0"/>
    <n v="-70762.25"/>
    <n v="-33575.370000000003"/>
    <n v="30311.3"/>
    <n v="0"/>
    <n v="3.63"/>
    <n v="-20913.22"/>
    <n v="-183.48"/>
    <n v="1838841.1"/>
    <n v="0.105227"/>
    <n v="1.0760000000000001"/>
    <n v="0.11322599999999999"/>
    <s v="CohortTrend+Seasonal(1.076)"/>
    <n v="208205.34"/>
    <n v="194573.11"/>
    <n v="13632.23"/>
    <x v="0"/>
    <n v="0"/>
    <n v="0.78500000000000003"/>
    <n v="0.24"/>
    <n v="0"/>
    <n v="0"/>
    <n v="0"/>
    <n v="194573.11"/>
    <n v="1912871.04"/>
    <n v="0.101718"/>
    <n v="13632.23"/>
    <n v="13635.86"/>
    <n v="0"/>
    <n v="13635.86"/>
    <n v="1825205.24"/>
    <s v="Forecast"/>
  </r>
  <r>
    <x v="12"/>
    <x v="2"/>
    <s v="202412"/>
    <n v="22"/>
    <n v="1836525.94"/>
    <n v="-2.013576796029895E-2"/>
    <s v="CohortAvg"/>
    <n v="-1.665461689384018E-2"/>
    <s v="CohortAvg"/>
    <n v="0.18956653538721241"/>
    <s v="CohortAvg"/>
    <n v="2.809756383147359E-2"/>
    <s v="CohortAvg_NonZero"/>
    <n v="2.5499180928615349E-7"/>
    <s v="CohortAvg"/>
    <n v="0"/>
    <s v="Zero"/>
    <n v="-1.03741655794588E-2"/>
    <s v="CohortAvg"/>
    <n v="-7.1459936728394079E-5"/>
    <s v="CohortAvg"/>
    <n v="0"/>
    <n v="-36979.86"/>
    <n v="-30586.639999999999"/>
    <n v="29011.99"/>
    <n v="0"/>
    <n v="0.47"/>
    <n v="-19052.419999999998"/>
    <n v="-131.24"/>
    <n v="1797970.96"/>
    <n v="8.8148000000000004E-2"/>
    <n v="1.0760000000000001"/>
    <n v="9.4849000000000003E-2"/>
    <s v="CohortTrend+Seasonal(1.076)"/>
    <n v="170535.03"/>
    <n v="158578.94"/>
    <n v="11956.09"/>
    <x v="0"/>
    <n v="0"/>
    <n v="0.78500000000000003"/>
    <n v="0.24"/>
    <n v="0"/>
    <n v="0"/>
    <n v="0"/>
    <n v="158578.94"/>
    <n v="1836525.94"/>
    <n v="8.6346999999999993E-2"/>
    <n v="11956.09"/>
    <n v="11956.56"/>
    <n v="0"/>
    <n v="11956.56"/>
    <n v="1786014.4"/>
    <s v="Forecast"/>
  </r>
  <r>
    <x v="12"/>
    <x v="2"/>
    <s v="202501"/>
    <n v="21"/>
    <n v="3195173.91"/>
    <n v="-3.0404414913100291E-2"/>
    <s v="CohortAvg"/>
    <n v="-1.753230681555655E-2"/>
    <s v="CohortAvg"/>
    <n v="0.19090192204735509"/>
    <s v="CohortAvg"/>
    <n v="1.547392292142318E-2"/>
    <s v="CohortAvg_NonZero"/>
    <n v="1.062290989749671E-5"/>
    <s v="CohortAvg"/>
    <n v="0"/>
    <s v="Zero"/>
    <n v="-1.8823269031602769E-2"/>
    <s v="CohortAvg"/>
    <n v="-1.538887705469532E-4"/>
    <s v="CohortAvg"/>
    <n v="0"/>
    <n v="-97147.39"/>
    <n v="-56018.77"/>
    <n v="50830.400000000001"/>
    <n v="0"/>
    <n v="33.94"/>
    <n v="-60143.62"/>
    <n v="-491.7"/>
    <n v="3092804.2"/>
    <n v="9.0229000000000004E-2"/>
    <n v="1.0760000000000001"/>
    <n v="9.7087999999999994E-2"/>
    <s v="CohortTrend+Seasonal(1.076)"/>
    <n v="300274.95"/>
    <n v="278897.59000000003"/>
    <n v="21377.35"/>
    <x v="0"/>
    <n v="0"/>
    <n v="0.78500000000000003"/>
    <n v="0.24"/>
    <n v="0"/>
    <n v="0"/>
    <n v="0"/>
    <n v="278897.59000000003"/>
    <n v="3195173.91"/>
    <n v="8.7287000000000003E-2"/>
    <n v="21377.35"/>
    <n v="21411.3"/>
    <n v="0"/>
    <n v="21411.3"/>
    <n v="3071392.91"/>
    <s v="Forecast"/>
  </r>
  <r>
    <x v="12"/>
    <x v="2"/>
    <s v="202502"/>
    <n v="20"/>
    <n v="3272778"/>
    <n v="-3.4039740925831688E-2"/>
    <s v="CohortAvg"/>
    <n v="-1.763769562069907E-2"/>
    <s v="CohortAvg"/>
    <n v="0.19733736230456331"/>
    <s v="CohortAvg"/>
    <n v="7.9645373695133598E-3"/>
    <s v="CohortAvg_NonZero"/>
    <n v="0"/>
    <s v="CohortAvg"/>
    <n v="0"/>
    <s v="Zero"/>
    <n v="-3.4312712029940733E-2"/>
    <s v="CohortAvg"/>
    <n v="-3.136912218971646E-4"/>
    <s v="CohortAvg"/>
    <n v="0"/>
    <n v="-111404.52"/>
    <n v="-57724.26"/>
    <n v="53820.11"/>
    <n v="0"/>
    <n v="0"/>
    <n v="-112297.89"/>
    <n v="-1026.6400000000001"/>
    <n v="3157469.34"/>
    <n v="9.0621999999999994E-2"/>
    <n v="1.0760000000000001"/>
    <n v="9.7511E-2"/>
    <s v="CohortTrend+Seasonal(1.076)"/>
    <n v="307886.82"/>
    <n v="317570.34999999998"/>
    <n v="-9683.5300000000007"/>
    <x v="0"/>
    <n v="0"/>
    <n v="0.78500000000000003"/>
    <n v="0.24"/>
    <n v="0"/>
    <n v="0"/>
    <n v="0"/>
    <n v="317570.34999999998"/>
    <n v="3272778"/>
    <n v="9.7033999999999995E-2"/>
    <n v="-9683.5300000000007"/>
    <n v="-9683.5300000000007"/>
    <n v="0"/>
    <n v="-9683.5300000000007"/>
    <n v="3167152.86"/>
    <s v="Forecast"/>
  </r>
  <r>
    <x v="12"/>
    <x v="2"/>
    <s v="202503"/>
    <n v="19"/>
    <n v="4525004.9000000004"/>
    <n v="-2.2746102838389601E-2"/>
    <s v="CohortAvg"/>
    <n v="-1.6981060716757129E-2"/>
    <s v="CohortAvg"/>
    <n v="0.20118557533011419"/>
    <s v="CohortAvg"/>
    <n v="7.1848262480383477E-3"/>
    <s v="CohortAvg_NonZero"/>
    <n v="1.5022974703464959E-8"/>
    <s v="CohortAvg"/>
    <n v="0"/>
    <s v="Zero"/>
    <n v="0"/>
    <s v="CohortAvg"/>
    <n v="0"/>
    <s v="CohortAvg"/>
    <n v="0"/>
    <n v="-102926.23"/>
    <n v="-76839.38"/>
    <n v="75863.81"/>
    <n v="0"/>
    <n v="7.0000000000000007E-2"/>
    <n v="0"/>
    <n v="0"/>
    <n v="4421103.04"/>
    <n v="9.6042000000000002E-2"/>
    <n v="1.0760000000000001"/>
    <n v="0.103343"/>
    <s v="DonorCohort:202101+Seasonal(1.076)"/>
    <n v="456889.64"/>
    <n v="379437.84"/>
    <n v="77451.8"/>
    <x v="0"/>
    <n v="0"/>
    <n v="0.78500000000000003"/>
    <n v="0.24"/>
    <n v="0"/>
    <n v="0"/>
    <n v="0"/>
    <n v="379437.84"/>
    <n v="4525004.9000000004"/>
    <n v="8.3853999999999998E-2"/>
    <n v="77451.8"/>
    <n v="77451.87"/>
    <n v="0"/>
    <n v="77451.87"/>
    <n v="4343651.17"/>
    <s v="Forecast"/>
  </r>
  <r>
    <x v="12"/>
    <x v="2"/>
    <s v="202504"/>
    <n v="18"/>
    <n v="5692561.3200000003"/>
    <n v="-2.460798715168739E-2"/>
    <s v="CohortAvg"/>
    <n v="-1.690161584986101E-2"/>
    <s v="CohortAvg"/>
    <n v="0.19641538948353371"/>
    <s v="CohortAvg"/>
    <n v="3.260907177009143E-3"/>
    <s v="CohortAvg_NonZero"/>
    <n v="0"/>
    <s v="CohortAvg"/>
    <n v="0"/>
    <s v="Zero"/>
    <n v="0"/>
    <s v="CohortAvg"/>
    <n v="0"/>
    <s v="CohortAvg"/>
    <n v="0"/>
    <n v="-140082.48000000001"/>
    <n v="-96213.48"/>
    <n v="93175.55"/>
    <n v="0"/>
    <n v="0"/>
    <n v="0"/>
    <n v="0"/>
    <n v="5549440.9199999999"/>
    <n v="8.2997000000000001E-2"/>
    <n v="1.0760000000000001"/>
    <n v="8.9305999999999996E-2"/>
    <s v="DonorCohort:202101+Seasonal(1.076)"/>
    <n v="495596.33"/>
    <n v="445484.68"/>
    <n v="50111.65"/>
    <x v="0"/>
    <n v="0"/>
    <n v="0.78500000000000003"/>
    <n v="0.24"/>
    <n v="0"/>
    <n v="0"/>
    <n v="0"/>
    <n v="445484.68"/>
    <n v="5692561.3200000003"/>
    <n v="7.8256999999999993E-2"/>
    <n v="50111.65"/>
    <n v="50111.65"/>
    <n v="0"/>
    <n v="50111.65"/>
    <n v="5499329.2699999996"/>
    <s v="Forecast"/>
  </r>
  <r>
    <x v="12"/>
    <x v="2"/>
    <s v="202505"/>
    <n v="17"/>
    <n v="5538795.75"/>
    <n v="-2.7174188656552439E-2"/>
    <s v="CohortAvg"/>
    <n v="-1.6417561684691578E-2"/>
    <s v="CohortAvg"/>
    <n v="0.19206303421119791"/>
    <s v="CohortAvg"/>
    <n v="0"/>
    <s v="CohortAvg_NoData_ERROR"/>
    <n v="0"/>
    <s v="CohortAvg"/>
    <n v="0"/>
    <s v="Zero"/>
    <n v="0"/>
    <s v="CohortAvg"/>
    <n v="0"/>
    <s v="CohortAvg"/>
    <n v="0"/>
    <n v="-150512.28"/>
    <n v="-90933.52"/>
    <n v="88649.83"/>
    <n v="0"/>
    <n v="0"/>
    <n v="0"/>
    <n v="0"/>
    <n v="5385999.7800000003"/>
    <n v="7.7456999999999998E-2"/>
    <n v="1.0760000000000001"/>
    <n v="8.3346000000000003E-2"/>
    <s v="DonorCohort:202101+Seasonal(1.076)"/>
    <n v="448899.02"/>
    <n v="425022.42"/>
    <n v="23876.6"/>
    <x v="0"/>
    <n v="0"/>
    <n v="0.78500000000000003"/>
    <n v="0.24"/>
    <n v="0"/>
    <n v="0"/>
    <n v="0"/>
    <n v="425022.42"/>
    <n v="5538795.75"/>
    <n v="7.6735999999999999E-2"/>
    <n v="23876.6"/>
    <n v="23876.6"/>
    <n v="0"/>
    <n v="23876.6"/>
    <n v="5362123.18"/>
    <s v="Forecast"/>
  </r>
  <r>
    <x v="12"/>
    <x v="2"/>
    <s v="202506"/>
    <n v="16"/>
    <n v="5897772.4699999997"/>
    <n v="-1.981520242287645E-2"/>
    <s v="CohortAvg"/>
    <n v="-1.604802732651189E-2"/>
    <s v="CohortAvg"/>
    <n v="0.19508782339294711"/>
    <s v="CohortAvg"/>
    <n v="0"/>
    <s v="CohortAvg_NoData_ERROR"/>
    <n v="0"/>
    <s v="CohortAvg"/>
    <n v="0"/>
    <s v="Zero"/>
    <n v="0"/>
    <s v="CohortAvg"/>
    <n v="0"/>
    <s v="CohortAvg"/>
    <n v="0"/>
    <n v="-116865.56"/>
    <n v="-94647.61"/>
    <n v="95881.97"/>
    <n v="0"/>
    <n v="0"/>
    <n v="0"/>
    <n v="0"/>
    <n v="5782141.2699999996"/>
    <n v="7.5951000000000005E-2"/>
    <n v="1.0760000000000001"/>
    <n v="8.1725000000000006E-2"/>
    <s v="DonorCohort:202101+Seasonal(1.076)"/>
    <n v="472544.22"/>
    <n v="406106.59"/>
    <n v="66437.63"/>
    <x v="0"/>
    <n v="0"/>
    <n v="0.78500000000000003"/>
    <n v="0.24"/>
    <n v="0"/>
    <n v="0"/>
    <n v="0"/>
    <n v="406106.59"/>
    <n v="5897772.4699999997"/>
    <n v="6.8858000000000003E-2"/>
    <n v="66437.63"/>
    <n v="66437.63"/>
    <n v="0"/>
    <n v="66437.63"/>
    <n v="5715703.6399999997"/>
    <s v="Forecast"/>
  </r>
  <r>
    <x v="12"/>
    <x v="2"/>
    <s v="202507"/>
    <n v="15"/>
    <n v="7501945.5"/>
    <n v="-1.6003910937666382E-2"/>
    <s v="CohortAvg"/>
    <n v="-1.6820013928881002E-2"/>
    <s v="CohortAvg"/>
    <n v="0.18532750825254329"/>
    <s v="CohortAvg"/>
    <n v="0"/>
    <s v="CohortAvg_NoData_ERROR"/>
    <n v="0"/>
    <s v="CohortAvg"/>
    <n v="0"/>
    <s v="Zero"/>
    <n v="0"/>
    <s v="CohortAvg"/>
    <n v="0"/>
    <s v="CohortAvg"/>
    <n v="0"/>
    <n v="-120060.47"/>
    <n v="-126182.83"/>
    <n v="115859.74"/>
    <n v="0"/>
    <n v="0"/>
    <n v="0"/>
    <n v="0"/>
    <n v="7371561.9400000004"/>
    <n v="6.8154000000000006E-2"/>
    <n v="1.0760000000000001"/>
    <n v="7.3334999999999997E-2"/>
    <s v="DonorCohort:202101+Seasonal(1.076)"/>
    <n v="540591"/>
    <n v="424614.19"/>
    <n v="115976.81"/>
    <x v="0"/>
    <n v="0"/>
    <n v="0.78500000000000003"/>
    <n v="0.24"/>
    <n v="0"/>
    <n v="0"/>
    <n v="0"/>
    <n v="424614.19"/>
    <n v="7501945.5"/>
    <n v="5.6600999999999999E-2"/>
    <n v="115976.81"/>
    <n v="115976.81"/>
    <n v="0"/>
    <n v="115976.81"/>
    <n v="7255585.1399999997"/>
    <s v="Forecast"/>
  </r>
  <r>
    <x v="12"/>
    <x v="2"/>
    <s v="202508"/>
    <n v="14"/>
    <n v="6705441.5499999998"/>
    <n v="-1.93034788871758E-2"/>
    <s v="CohortAvg"/>
    <n v="-1.180832317850246E-2"/>
    <s v="CohortAvg"/>
    <n v="0.18610367044317991"/>
    <s v="CohortAvg"/>
    <n v="0"/>
    <s v="CohortAvg_NoData_ERROR"/>
    <n v="3.4434303558690753E-5"/>
    <s v="CohortAvg"/>
    <n v="0"/>
    <s v="Zero"/>
    <n v="0"/>
    <s v="CohortAvg"/>
    <n v="0"/>
    <s v="CohortAvg"/>
    <n v="0"/>
    <n v="-129438.35"/>
    <n v="-79180.02"/>
    <n v="103992.27"/>
    <n v="0"/>
    <n v="230.9"/>
    <n v="0"/>
    <n v="0"/>
    <n v="6600584.5499999998"/>
    <n v="5.6022000000000002E-2"/>
    <n v="1.0760000000000001"/>
    <n v="6.0281000000000001E-2"/>
    <s v="DonorCohort:202101+Seasonal(1.076)"/>
    <n v="397887.48"/>
    <n v="345327.7"/>
    <n v="52559.78"/>
    <x v="0"/>
    <n v="0"/>
    <n v="0.78500000000000003"/>
    <n v="0.24"/>
    <n v="0"/>
    <n v="0"/>
    <n v="0"/>
    <n v="345327.7"/>
    <n v="6705441.5499999998"/>
    <n v="5.1499999999999997E-2"/>
    <n v="52559.78"/>
    <n v="52790.68"/>
    <n v="0"/>
    <n v="52790.68"/>
    <n v="6547793.8799999999"/>
    <s v="Forecast"/>
  </r>
  <r>
    <x v="12"/>
    <x v="2"/>
    <s v="202509"/>
    <n v="13"/>
    <n v="1589152.74"/>
    <n v="-0.25512937329912838"/>
    <s v="CohortAvg"/>
    <n v="-3.130316435463786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05439.54"/>
    <n v="-49745.51"/>
    <n v="66214.7"/>
    <n v="0"/>
    <n v="0"/>
    <n v="0"/>
    <n v="0"/>
    <n v="1200182.3899999999"/>
    <n v="5.0972999999999997E-2"/>
    <n v="1.0760000000000001"/>
    <n v="5.4848000000000001E-2"/>
    <s v="DonorCohort:202101+Seasonal(1.076)"/>
    <n v="65827.679999999993"/>
    <n v="73865.240000000005"/>
    <n v="-8037.56"/>
    <x v="0"/>
    <n v="0"/>
    <n v="0.78500000000000003"/>
    <n v="0.24"/>
    <n v="0"/>
    <n v="0"/>
    <n v="0"/>
    <n v="73865.240000000005"/>
    <n v="1589152.74"/>
    <n v="4.6481000000000001E-2"/>
    <n v="-8037.56"/>
    <n v="-8037.56"/>
    <n v="0"/>
    <n v="-8037.56"/>
    <n v="1208219.95"/>
    <s v="Forecast"/>
  </r>
  <r>
    <x v="12"/>
    <x v="3"/>
    <s v="201912"/>
    <n v="82"/>
    <n v="48852.4"/>
    <n v="-6.8972113533383892E-3"/>
    <s v="CohortAvg"/>
    <n v="-6.4400472541779733E-4"/>
    <s v="CohortAvg"/>
    <n v="0"/>
    <s v="CohortAvg"/>
    <n v="3.011757909383482E-2"/>
    <s v="CohortAvg_NonZero"/>
    <n v="2.8396655560817952E-7"/>
    <s v="CohortAvg"/>
    <n v="0"/>
    <s v="Zero"/>
    <n v="0"/>
    <s v="CohortAvg"/>
    <n v="0"/>
    <s v="CohortAvg"/>
    <n v="0"/>
    <n v="-336.95"/>
    <n v="-31.46"/>
    <n v="0"/>
    <n v="0"/>
    <n v="0.01"/>
    <n v="0"/>
    <n v="0"/>
    <n v="48483.98"/>
    <n v="0.98821700000000001"/>
    <n v="0.99670000000000003"/>
    <n v="0.98491300000000004"/>
    <s v="CohortAvg+Seasonal(0.997)"/>
    <n v="47752.480000000003"/>
    <n v="48203.81"/>
    <n v="-451.33"/>
    <x v="0"/>
    <n v="0"/>
    <n v="0.78500000000000003"/>
    <n v="0.24"/>
    <n v="0"/>
    <n v="0"/>
    <n v="0"/>
    <n v="48203.81"/>
    <n v="48852.4"/>
    <n v="0.98672300000000002"/>
    <n v="-451.33"/>
    <n v="-451.32"/>
    <n v="0"/>
    <n v="-451.32"/>
    <n v="48935.3"/>
    <s v="Forecast"/>
  </r>
  <r>
    <x v="12"/>
    <x v="3"/>
    <s v="202001"/>
    <n v="81"/>
    <n v="1.72"/>
    <n v="-0.5"/>
    <s v="CohortAvg"/>
    <n v="-7.6410066145828966E-6"/>
    <s v="CohortAvg"/>
    <n v="0"/>
    <s v="CohortAvg"/>
    <n v="1.7950877707067651E-2"/>
    <s v="CohortAvg_NonZero"/>
    <n v="0"/>
    <s v="CohortAvg"/>
    <n v="0"/>
    <s v="Zero"/>
    <n v="0"/>
    <s v="CohortAvg"/>
    <n v="0"/>
    <s v="CohortAvg"/>
    <n v="0"/>
    <n v="-0.86"/>
    <n v="0"/>
    <n v="0"/>
    <n v="0"/>
    <n v="0"/>
    <n v="0"/>
    <n v="0"/>
    <n v="0.86"/>
    <n v="0.81743399999999999"/>
    <n v="0.99670000000000003"/>
    <n v="0.81470100000000001"/>
    <s v="CohortAvg+Seasonal(0.997)"/>
    <n v="0.7"/>
    <n v="1.4"/>
    <n v="-0.71"/>
    <x v="0"/>
    <n v="0"/>
    <n v="0.78500000000000003"/>
    <n v="0.24"/>
    <n v="0"/>
    <n v="0"/>
    <n v="0"/>
    <n v="1.4"/>
    <n v="1.72"/>
    <n v="0.81783600000000001"/>
    <n v="-0.71"/>
    <n v="-0.71"/>
    <n v="0"/>
    <n v="-0.71"/>
    <n v="1.56"/>
    <s v="Forecast"/>
  </r>
  <r>
    <x v="12"/>
    <x v="3"/>
    <s v="202101"/>
    <n v="69"/>
    <n v="566460.84"/>
    <n v="-0.1052864324893819"/>
    <s v="CohortAvg"/>
    <n v="-8.1634432293616385E-3"/>
    <s v="CohortAvg"/>
    <n v="0.1091227042785131"/>
    <s v="CohortAvg"/>
    <n v="6.2414671432827751E-3"/>
    <s v="CohortAvg_NonZero"/>
    <n v="0"/>
    <s v="CohortAvg"/>
    <n v="0"/>
    <s v="Zero"/>
    <n v="-6.7976541068924027E-5"/>
    <s v="CohortAvg"/>
    <n v="-7.2137212669930446E-7"/>
    <s v="CohortAvg"/>
    <n v="0"/>
    <n v="-59640.639999999999"/>
    <n v="-4624.2700000000004"/>
    <n v="5151.1400000000003"/>
    <n v="0"/>
    <n v="0"/>
    <n v="-38.51"/>
    <n v="-0.41"/>
    <n v="507347.07"/>
    <n v="0.27601599999999998"/>
    <n v="0.99670000000000003"/>
    <n v="0.27509299999999998"/>
    <s v="CohortAvg+Seasonal(0.997)"/>
    <n v="139567.59"/>
    <n v="156169.46"/>
    <n v="-16601.87"/>
    <x v="0"/>
    <n v="0"/>
    <n v="0.78500000000000003"/>
    <n v="0.24"/>
    <n v="0"/>
    <n v="0"/>
    <n v="0"/>
    <n v="156169.46"/>
    <n v="566460.84"/>
    <n v="0.27569300000000002"/>
    <n v="-16601.87"/>
    <n v="-16601.87"/>
    <n v="0"/>
    <n v="-16601.87"/>
    <n v="523948.94"/>
    <s v="Forecast"/>
  </r>
  <r>
    <x v="12"/>
    <x v="3"/>
    <s v="202201"/>
    <n v="49"/>
    <n v="131493.51"/>
    <n v="-8.8820608227609218E-2"/>
    <s v="CohortAvg"/>
    <n v="-1.0383195949797761E-2"/>
    <s v="CohortAvg"/>
    <n v="0.1127466401552831"/>
    <s v="CohortAvg"/>
    <n v="3.3322733459366288E-2"/>
    <s v="CohortAvg_NonZero"/>
    <n v="8.9826790339798208E-4"/>
    <s v="CohortAvg"/>
    <n v="0"/>
    <s v="Zero"/>
    <n v="-7.0580455030102009E-5"/>
    <s v="CohortAvg"/>
    <n v="-6.0005429779744298E-7"/>
    <s v="CohortAvg"/>
    <n v="0"/>
    <n v="-11679.33"/>
    <n v="-1365.32"/>
    <n v="1235.45"/>
    <n v="0"/>
    <n v="118.12"/>
    <n v="-9.2799999999999994"/>
    <n v="-0.08"/>
    <n v="119566.19"/>
    <n v="0.30424600000000002"/>
    <n v="0.99670000000000003"/>
    <n v="0.30322900000000003"/>
    <s v="CohortAvg+Seasonal(0.997)"/>
    <n v="36255.89"/>
    <n v="39959.1"/>
    <n v="-3703.21"/>
    <x v="0"/>
    <n v="0"/>
    <n v="0.78500000000000003"/>
    <n v="0.24"/>
    <n v="0"/>
    <n v="0"/>
    <n v="0"/>
    <n v="39959.1"/>
    <n v="131493.51"/>
    <n v="0.30388599999999999"/>
    <n v="-3703.21"/>
    <n v="-3585.09"/>
    <n v="0"/>
    <n v="-3585.09"/>
    <n v="123151.28"/>
    <s v="Forecast"/>
  </r>
  <r>
    <x v="12"/>
    <x v="3"/>
    <s v="202301"/>
    <n v="40"/>
    <n v="1814638.55"/>
    <n v="-6.9860314193857118E-2"/>
    <s v="CohortAvg"/>
    <n v="-1.6140113525816759E-2"/>
    <s v="CohortAvg"/>
    <n v="0.19082498198079029"/>
    <s v="CohortAvg"/>
    <n v="2.5138101758269998E-2"/>
    <s v="CohortAvg_NonZero"/>
    <n v="1.7015423993919779E-6"/>
    <s v="CohortAvg"/>
    <n v="0"/>
    <s v="Zero"/>
    <n v="-2.4090898969543161E-3"/>
    <s v="CohortAvg"/>
    <n v="-1.4557710572626611E-5"/>
    <s v="CohortAvg"/>
    <n v="0"/>
    <n v="-126771.22"/>
    <n v="-29288.47"/>
    <n v="28856.53"/>
    <n v="0"/>
    <n v="3.09"/>
    <n v="-4371.63"/>
    <n v="-26.42"/>
    <n v="1687432.3"/>
    <n v="0.27407399999999998"/>
    <n v="0.99670000000000003"/>
    <n v="0.27315800000000001"/>
    <s v="CohortAvg+Seasonal(0.997)"/>
    <n v="460935.01"/>
    <n v="535521.63"/>
    <n v="-74586.62"/>
    <x v="0"/>
    <n v="0"/>
    <n v="0.78500000000000003"/>
    <n v="0.24"/>
    <n v="0"/>
    <n v="0"/>
    <n v="0"/>
    <n v="535521.63"/>
    <n v="1814638.55"/>
    <n v="0.29511199999999999"/>
    <n v="-74586.62"/>
    <n v="-74583.53"/>
    <n v="0"/>
    <n v="-74583.53"/>
    <n v="1762015.83"/>
    <s v="Forecast"/>
  </r>
  <r>
    <x v="12"/>
    <x v="3"/>
    <s v="202404"/>
    <n v="30"/>
    <n v="470133.87"/>
    <n v="-5.0011260748948259E-2"/>
    <s v="CohortAvg"/>
    <n v="-1.7540356965429521E-2"/>
    <s v="CohortAvg"/>
    <n v="0.19132929929878151"/>
    <s v="CohortAvg"/>
    <n v="6.3089605432784399E-2"/>
    <s v="CohortAvg_NonZero"/>
    <n v="1.23245160930219E-6"/>
    <s v="CohortAvg"/>
    <n v="0"/>
    <s v="Zero"/>
    <n v="-1.0604682611842119E-2"/>
    <s v="CohortAvg"/>
    <n v="-1.194955755303355E-4"/>
    <s v="CohortAvg"/>
    <n v="0"/>
    <n v="-23511.99"/>
    <n v="-8246.32"/>
    <n v="7495.87"/>
    <n v="0"/>
    <n v="0.57999999999999996"/>
    <n v="-4985.62"/>
    <n v="-56.18"/>
    <n v="445870.85"/>
    <n v="0.19000900000000001"/>
    <n v="0.99670000000000003"/>
    <n v="0.18937399999999999"/>
    <s v="CohortTrend+Seasonal(0.997)"/>
    <n v="84436.28"/>
    <n v="86847.27"/>
    <n v="-2410.9899999999998"/>
    <x v="0"/>
    <n v="0"/>
    <n v="0.78500000000000003"/>
    <n v="0.24"/>
    <n v="0"/>
    <n v="0"/>
    <n v="0"/>
    <n v="86847.27"/>
    <n v="470133.87"/>
    <n v="0.184729"/>
    <n v="-2410.9899999999998"/>
    <n v="-2410.42"/>
    <n v="0"/>
    <n v="-2410.42"/>
    <n v="448281.27"/>
    <s v="Forecast"/>
  </r>
  <r>
    <x v="12"/>
    <x v="3"/>
    <s v="202405"/>
    <n v="29"/>
    <n v="433714.87"/>
    <n v="-5.2114418455658347E-2"/>
    <s v="CohortAvg"/>
    <n v="-1.7933022090504271E-2"/>
    <s v="CohortAvg"/>
    <n v="0.19990123755342601"/>
    <s v="CohortAvg"/>
    <n v="4.5590995923565733E-2"/>
    <s v="CohortAvg_NonZero"/>
    <n v="6.642670032105872E-7"/>
    <s v="CohortAvg"/>
    <n v="0"/>
    <s v="Zero"/>
    <n v="-1.206184973517534E-2"/>
    <s v="CohortAvg"/>
    <n v="-1.077653925008625E-4"/>
    <s v="CohortAvg"/>
    <n v="0"/>
    <n v="-22602.799999999999"/>
    <n v="-7777.82"/>
    <n v="7225.01"/>
    <n v="0"/>
    <n v="0.28999999999999998"/>
    <n v="-5231.3999999999996"/>
    <n v="-46.74"/>
    <n v="410558.98"/>
    <n v="0.154756"/>
    <n v="0.99670000000000003"/>
    <n v="0.15423799999999999"/>
    <s v="CohortTrend+Seasonal(0.997)"/>
    <n v="63323.86"/>
    <n v="65508.27"/>
    <n v="-2184.41"/>
    <x v="0"/>
    <n v="0"/>
    <n v="0.78500000000000003"/>
    <n v="0.24"/>
    <n v="0"/>
    <n v="0"/>
    <n v="0"/>
    <n v="65508.27"/>
    <n v="433714.87"/>
    <n v="0.15104000000000001"/>
    <n v="-2184.41"/>
    <n v="-2184.12"/>
    <n v="0"/>
    <n v="-2184.12"/>
    <n v="412743.1"/>
    <s v="Forecast"/>
  </r>
  <r>
    <x v="12"/>
    <x v="3"/>
    <s v="202406"/>
    <n v="28"/>
    <n v="555313.07999999996"/>
    <n v="-4.8046942706297252E-2"/>
    <s v="CohortAvg"/>
    <n v="-1.810932831531125E-2"/>
    <s v="CohortAvg"/>
    <n v="0.20252235488264511"/>
    <s v="CohortAvg"/>
    <n v="3.9341069055579547E-2"/>
    <s v="CohortAvg_NonZero"/>
    <n v="4.7996384404952367E-7"/>
    <s v="CohortAvg"/>
    <n v="0"/>
    <s v="Zero"/>
    <n v="-1.384724963275747E-2"/>
    <s v="CohortAvg"/>
    <n v="-1.0582215247918231E-4"/>
    <s v="CohortAvg"/>
    <n v="0"/>
    <n v="-26681.1"/>
    <n v="-10056.35"/>
    <n v="9371.94"/>
    <n v="0"/>
    <n v="0.27"/>
    <n v="-7689.56"/>
    <n v="-58.76"/>
    <n v="527947.31999999995"/>
    <n v="0.121882"/>
    <n v="0.99670000000000003"/>
    <n v="0.121474"/>
    <s v="CohortTrend+Seasonal(0.997)"/>
    <n v="64131.93"/>
    <n v="66116.27"/>
    <n v="-1984.34"/>
    <x v="0"/>
    <n v="0"/>
    <n v="0.78500000000000003"/>
    <n v="0.24"/>
    <n v="0"/>
    <n v="0"/>
    <n v="0"/>
    <n v="66116.27"/>
    <n v="555313.07999999996"/>
    <n v="0.119061"/>
    <n v="-1984.34"/>
    <n v="-1984.08"/>
    <n v="0"/>
    <n v="-1984.08"/>
    <n v="529931.4"/>
    <s v="Forecast"/>
  </r>
  <r>
    <x v="12"/>
    <x v="3"/>
    <s v="202407"/>
    <n v="27"/>
    <n v="469006.45"/>
    <n v="-6.7532273520065481E-2"/>
    <s v="CohortAvg"/>
    <n v="-1.8941289703808099E-2"/>
    <s v="CohortAvg"/>
    <n v="0.20676949106678971"/>
    <s v="CohortAvg"/>
    <n v="2.700878626734831E-2"/>
    <s v="CohortAvg_NonZero"/>
    <n v="4.9483924701423032E-6"/>
    <s v="CohortAvg"/>
    <n v="0"/>
    <s v="Zero"/>
    <n v="-1.6950225251647681E-2"/>
    <s v="CohortAvg"/>
    <n v="-2.011538645162853E-4"/>
    <s v="CohortAvg"/>
    <n v="0"/>
    <n v="-31673.07"/>
    <n v="-8883.59"/>
    <n v="8081.35"/>
    <n v="0"/>
    <n v="2.3199999999999998"/>
    <n v="-7949.76"/>
    <n v="-94.34"/>
    <n v="436528.82"/>
    <n v="9.9890999999999994E-2"/>
    <n v="0.99670000000000003"/>
    <n v="9.9557000000000007E-2"/>
    <s v="CohortTrend+Seasonal(0.997)"/>
    <n v="43459.360000000001"/>
    <n v="45901.83"/>
    <n v="-2442.4699999999998"/>
    <x v="0"/>
    <n v="0"/>
    <n v="0.78500000000000003"/>
    <n v="0.24"/>
    <n v="0"/>
    <n v="0"/>
    <n v="0"/>
    <n v="45901.83"/>
    <n v="469006.45"/>
    <n v="9.7869999999999999E-2"/>
    <n v="-2442.4699999999998"/>
    <n v="-2440.15"/>
    <n v="0"/>
    <n v="-2440.15"/>
    <n v="438968.97"/>
    <s v="Forecast"/>
  </r>
  <r>
    <x v="12"/>
    <x v="3"/>
    <s v="202408"/>
    <n v="26"/>
    <n v="624663.66"/>
    <n v="-4.9752489372744041E-2"/>
    <s v="CohortAvg"/>
    <n v="-1.9268195746438219E-2"/>
    <s v="CohortAvg"/>
    <n v="0.21388526799320881"/>
    <s v="CohortAvg"/>
    <n v="3.2040548817329172E-2"/>
    <s v="CohortAvg_NonZero"/>
    <n v="8.7256182316390312E-7"/>
    <s v="CohortAvg"/>
    <n v="0"/>
    <s v="Zero"/>
    <n v="-1.157158278569924E-2"/>
    <s v="CohortAvg"/>
    <n v="-1.001759081631907E-4"/>
    <s v="CohortAvg"/>
    <n v="0"/>
    <n v="-31078.57"/>
    <n v="-12036.14"/>
    <n v="11133.86"/>
    <n v="0"/>
    <n v="0.55000000000000004"/>
    <n v="-7228.35"/>
    <n v="-62.58"/>
    <n v="592682.26"/>
    <n v="8.6267999999999997E-2"/>
    <n v="0.99670000000000003"/>
    <n v="8.5979E-2"/>
    <s v="CohortTrend+Seasonal(0.997)"/>
    <n v="50958.36"/>
    <n v="52991.96"/>
    <n v="-2033.6"/>
    <x v="0"/>
    <n v="0"/>
    <n v="0.78500000000000003"/>
    <n v="0.24"/>
    <n v="0"/>
    <n v="0"/>
    <n v="0"/>
    <n v="52991.96"/>
    <n v="624663.66"/>
    <n v="8.4833000000000006E-2"/>
    <n v="-2033.6"/>
    <n v="-2033.05"/>
    <n v="0"/>
    <n v="-2033.05"/>
    <n v="594715.31000000006"/>
    <s v="Forecast"/>
  </r>
  <r>
    <x v="12"/>
    <x v="3"/>
    <s v="202409"/>
    <n v="25"/>
    <n v="436866.18"/>
    <n v="-7.3583108343441339E-2"/>
    <s v="CohortAvg"/>
    <n v="-2.016191214494548E-2"/>
    <s v="CohortAvg"/>
    <n v="0.2105310569763601"/>
    <s v="CohortAvg"/>
    <n v="3.5544985794827559E-2"/>
    <s v="CohortAvg_NonZero"/>
    <n v="5.9597698156610994E-7"/>
    <s v="CohortAvg"/>
    <n v="0"/>
    <s v="Zero"/>
    <n v="-1.430172660900882E-2"/>
    <s v="CohortAvg"/>
    <n v="-1.12692300525629E-4"/>
    <s v="CohortAvg"/>
    <n v="0"/>
    <n v="-32145.97"/>
    <n v="-8808.06"/>
    <n v="7664.49"/>
    <n v="0"/>
    <n v="0.26"/>
    <n v="-6247.94"/>
    <n v="-49.23"/>
    <n v="403576.39"/>
    <n v="7.2220000000000006E-2"/>
    <n v="0.99670000000000003"/>
    <n v="7.1979000000000001E-2"/>
    <s v="CohortTrend+Seasonal(0.997)"/>
    <n v="29048.95"/>
    <n v="31169.16"/>
    <n v="-2120.21"/>
    <x v="0"/>
    <n v="0"/>
    <n v="0.78500000000000003"/>
    <n v="0.24"/>
    <n v="0"/>
    <n v="0"/>
    <n v="0"/>
    <n v="31169.16"/>
    <n v="436866.18"/>
    <n v="7.1346999999999994E-2"/>
    <n v="-2120.21"/>
    <n v="-2119.9499999999998"/>
    <n v="0"/>
    <n v="-2119.9499999999998"/>
    <n v="405696.34"/>
    <s v="Forecast"/>
  </r>
  <r>
    <x v="12"/>
    <x v="3"/>
    <s v="202410"/>
    <n v="24"/>
    <n v="529148.13"/>
    <n v="-4.8366162131613079E-2"/>
    <s v="CohortAvg"/>
    <n v="-1.9983349301806931E-2"/>
    <s v="CohortAvg"/>
    <n v="0.21322794584439461"/>
    <s v="CohortAvg"/>
    <n v="3.7476120912467582E-2"/>
    <s v="CohortAvg_NonZero"/>
    <n v="1.1282965524794539E-6"/>
    <s v="CohortAvg"/>
    <n v="0"/>
    <s v="Zero"/>
    <n v="-1.9735594649294409E-2"/>
    <s v="CohortAvg"/>
    <n v="-1.6169126908014599E-4"/>
    <s v="CohortAvg"/>
    <n v="0"/>
    <n v="-25592.86"/>
    <n v="-10574.15"/>
    <n v="9402.43"/>
    <n v="0"/>
    <n v="0.6"/>
    <n v="-10443.049999999999"/>
    <n v="-85.56"/>
    <n v="502382.95"/>
    <n v="6.7082000000000003E-2"/>
    <n v="0.99670000000000003"/>
    <n v="6.6858000000000001E-2"/>
    <s v="CohortTrend+Seasonal(0.997)"/>
    <n v="33588.239999999998"/>
    <n v="35093.43"/>
    <n v="-1505.19"/>
    <x v="0"/>
    <n v="0"/>
    <n v="0.78500000000000003"/>
    <n v="0.24"/>
    <n v="0"/>
    <n v="0"/>
    <n v="0"/>
    <n v="35093.43"/>
    <n v="529148.13"/>
    <n v="6.6321000000000005E-2"/>
    <n v="-1505.19"/>
    <n v="-1504.59"/>
    <n v="0"/>
    <n v="-1504.59"/>
    <n v="503887.53"/>
    <s v="Forecast"/>
  </r>
  <r>
    <x v="12"/>
    <x v="3"/>
    <s v="202411"/>
    <n v="23"/>
    <n v="597236.59"/>
    <n v="-5.2196437729430528E-2"/>
    <s v="CohortAvg"/>
    <n v="-2.0114161772705669E-2"/>
    <s v="CohortAvg"/>
    <n v="0.22311218880821401"/>
    <s v="CohortAvg"/>
    <n v="2.8655826944161421E-2"/>
    <s v="CohortAvg_NonZero"/>
    <n v="1.9495198253068861E-7"/>
    <s v="CohortAvg"/>
    <n v="0"/>
    <s v="Zero"/>
    <n v="-2.458674438336246E-2"/>
    <s v="CohortAvg"/>
    <n v="-2.2824660641568631E-4"/>
    <s v="CohortAvg"/>
    <n v="0"/>
    <n v="-31173.62"/>
    <n v="-12012.91"/>
    <n v="11104.23"/>
    <n v="0"/>
    <n v="0.12"/>
    <n v="-14684.1"/>
    <n v="-136.32"/>
    <n v="565154.17000000004"/>
    <n v="6.1754999999999997E-2"/>
    <n v="0.99670000000000003"/>
    <n v="6.1549E-2"/>
    <s v="CohortTrend+Seasonal(0.997)"/>
    <n v="34784.559999999998"/>
    <n v="36372.69"/>
    <n v="-1588.13"/>
    <x v="0"/>
    <n v="0"/>
    <n v="0.78500000000000003"/>
    <n v="0.24"/>
    <n v="0"/>
    <n v="0"/>
    <n v="0"/>
    <n v="36372.69"/>
    <n v="597236.59"/>
    <n v="6.0901999999999998E-2"/>
    <n v="-1588.13"/>
    <n v="-1588.01"/>
    <n v="0"/>
    <n v="-1588.01"/>
    <n v="566742.18000000005"/>
    <s v="Forecast"/>
  </r>
  <r>
    <x v="12"/>
    <x v="3"/>
    <s v="202412"/>
    <n v="22"/>
    <n v="633881.51"/>
    <n v="-5.0413893924231172E-2"/>
    <s v="CohortAvg"/>
    <n v="-2.0606333964989999E-2"/>
    <s v="CohortAvg"/>
    <n v="0.2222186381999503"/>
    <s v="CohortAvg"/>
    <n v="3.2768091653421892E-2"/>
    <s v="CohortAvg_NonZero"/>
    <n v="1.215183150714076E-6"/>
    <s v="CohortAvg"/>
    <n v="0"/>
    <s v="Zero"/>
    <n v="-4.4498547758841621E-2"/>
    <s v="CohortAvg"/>
    <n v="-4.6271552166541528E-4"/>
    <s v="CohortAvg"/>
    <n v="0"/>
    <n v="-31956.44"/>
    <n v="-13061.97"/>
    <n v="11738.36"/>
    <n v="0"/>
    <n v="0.77"/>
    <n v="-28206.81"/>
    <n v="-293.31"/>
    <n v="600600.68999999994"/>
    <n v="6.1614000000000002E-2"/>
    <n v="0.99670000000000003"/>
    <n v="6.1407999999999997E-2"/>
    <s v="CohortTrend+Seasonal(0.997)"/>
    <n v="36881.4"/>
    <n v="38240.92"/>
    <n v="-1359.52"/>
    <x v="0"/>
    <n v="0"/>
    <n v="0.78500000000000003"/>
    <n v="0.24"/>
    <n v="0"/>
    <n v="0"/>
    <n v="0"/>
    <n v="38240.92"/>
    <n v="633881.51"/>
    <n v="6.0328E-2"/>
    <n v="-1359.52"/>
    <n v="-1358.75"/>
    <n v="0"/>
    <n v="-1358.75"/>
    <n v="601959.43999999994"/>
    <s v="Forecast"/>
  </r>
  <r>
    <x v="12"/>
    <x v="3"/>
    <s v="202501"/>
    <n v="21"/>
    <n v="1078419.33"/>
    <n v="-5.250499812031794E-2"/>
    <s v="CohortAvg"/>
    <n v="-2.082269522929318E-2"/>
    <s v="CohortAvg"/>
    <n v="0.22513286177181921"/>
    <s v="CohortAvg"/>
    <n v="1.4071991063587631E-2"/>
    <s v="CohortAvg_NonZero"/>
    <n v="1.5381663490937109E-5"/>
    <s v="CohortAvg"/>
    <n v="0"/>
    <s v="Zero"/>
    <n v="-4.3316000058081582E-2"/>
    <s v="CohortAvg"/>
    <n v="-4.6175732601637338E-4"/>
    <s v="CohortAvg"/>
    <n v="0"/>
    <n v="-56622.400000000001"/>
    <n v="-22455.599999999999"/>
    <n v="20232.3"/>
    <n v="0"/>
    <n v="16.59"/>
    <n v="-46712.81"/>
    <n v="-497.97"/>
    <n v="1019557.04"/>
    <n v="6.1657000000000003E-2"/>
    <n v="0.99670000000000003"/>
    <n v="6.1450999999999999E-2"/>
    <s v="CohortTrend+Seasonal(0.997)"/>
    <n v="62652.46"/>
    <n v="64497.15"/>
    <n v="-1844.69"/>
    <x v="0"/>
    <n v="0"/>
    <n v="0.78500000000000003"/>
    <n v="0.24"/>
    <n v="0"/>
    <n v="0"/>
    <n v="0"/>
    <n v="64497.15"/>
    <n v="1078419.33"/>
    <n v="5.9806999999999999E-2"/>
    <n v="-1844.69"/>
    <n v="-1828.1"/>
    <n v="0"/>
    <n v="-1828.1"/>
    <n v="1021385.14"/>
    <s v="Forecast"/>
  </r>
  <r>
    <x v="12"/>
    <x v="3"/>
    <s v="202502"/>
    <n v="20"/>
    <n v="1156325.25"/>
    <n v="-5.3311186215787933E-2"/>
    <s v="CohortAvg"/>
    <n v="-1.917025513824068E-2"/>
    <s v="CohortAvg"/>
    <n v="0.2270705988859883"/>
    <s v="CohortAvg"/>
    <n v="1.9343504844854909E-2"/>
    <s v="CohortAvg_NonZero"/>
    <n v="3.8485942663858642E-4"/>
    <s v="CohortAvg"/>
    <n v="0"/>
    <s v="Zero"/>
    <n v="-9.0926510136521657E-2"/>
    <s v="CohortAvg"/>
    <n v="-1.182334277396209E-3"/>
    <s v="CohortAvg"/>
    <n v="0"/>
    <n v="-61645.07"/>
    <n v="-22167.05"/>
    <n v="21880.62"/>
    <n v="0"/>
    <n v="445.02"/>
    <n v="-105140.62"/>
    <n v="-1367.16"/>
    <n v="1093948.73"/>
    <n v="5.9118999999999998E-2"/>
    <n v="0.99670000000000003"/>
    <n v="5.8922000000000002E-2"/>
    <s v="CohortTrend+Seasonal(0.997)"/>
    <n v="64457.34"/>
    <n v="82950.100000000006"/>
    <n v="-18492.77"/>
    <x v="0"/>
    <n v="0"/>
    <n v="0.78500000000000003"/>
    <n v="0.24"/>
    <n v="0"/>
    <n v="0"/>
    <n v="0"/>
    <n v="82950.100000000006"/>
    <n v="1156325.25"/>
    <n v="7.1735999999999994E-2"/>
    <n v="-18492.77"/>
    <n v="-18047.740000000002"/>
    <n v="0"/>
    <n v="-18047.740000000002"/>
    <n v="1111996.47"/>
    <s v="Forecast"/>
  </r>
  <r>
    <x v="12"/>
    <x v="3"/>
    <s v="202503"/>
    <n v="19"/>
    <n v="1454055.42"/>
    <n v="-4.5573567299934781E-2"/>
    <s v="CohortAvg"/>
    <n v="-2.1953305281802799E-2"/>
    <s v="CohortAvg"/>
    <n v="0.25476250472845963"/>
    <s v="CohortAvg"/>
    <n v="4.6176837495393924E-3"/>
    <s v="CohortAvg_NonZero"/>
    <n v="6.6944848576704327E-8"/>
    <s v="CohortAvg"/>
    <n v="0"/>
    <s v="Zero"/>
    <n v="0"/>
    <s v="CohortAvg"/>
    <n v="0"/>
    <s v="CohortAvg"/>
    <n v="0"/>
    <n v="-66266.490000000005"/>
    <n v="-31921.32"/>
    <n v="30869.9"/>
    <n v="0"/>
    <n v="0.1"/>
    <n v="0"/>
    <n v="0"/>
    <n v="1386737.4"/>
    <n v="7.1835999999999997E-2"/>
    <n v="0.99670000000000003"/>
    <n v="7.1596000000000007E-2"/>
    <s v="DonorCohort:202101+Seasonal(0.997)"/>
    <n v="99284.51"/>
    <n v="89553.13"/>
    <n v="9731.3799999999992"/>
    <x v="0"/>
    <n v="0"/>
    <n v="0.78500000000000003"/>
    <n v="0.24"/>
    <n v="0"/>
    <n v="0"/>
    <n v="0"/>
    <n v="89553.13"/>
    <n v="1454055.42"/>
    <n v="6.1588999999999998E-2"/>
    <n v="9731.3799999999992"/>
    <n v="9731.48"/>
    <n v="0"/>
    <n v="9731.48"/>
    <n v="1377005.93"/>
    <s v="Forecast"/>
  </r>
  <r>
    <x v="12"/>
    <x v="3"/>
    <s v="202504"/>
    <n v="18"/>
    <n v="1182172.8500000001"/>
    <n v="-5.571505756619826E-2"/>
    <s v="CohortAvg"/>
    <n v="-2.201159292831821E-2"/>
    <s v="CohortAvg"/>
    <n v="0.25073669468180543"/>
    <s v="CohortAvg"/>
    <n v="2.1791689037598898E-3"/>
    <s v="CohortAvg_NonZero"/>
    <n v="5.2431778531813843E-8"/>
    <s v="CohortAvg"/>
    <n v="0"/>
    <s v="Zero"/>
    <n v="0"/>
    <s v="CohortAvg"/>
    <n v="0"/>
    <s v="CohortAvg"/>
    <n v="0"/>
    <n v="-65864.83"/>
    <n v="-26021.51"/>
    <n v="24701.18"/>
    <n v="0"/>
    <n v="0.06"/>
    <n v="0"/>
    <n v="0"/>
    <n v="1114987.6200000001"/>
    <n v="6.1674E-2"/>
    <n v="0.99670000000000003"/>
    <n v="6.1468000000000002E-2"/>
    <s v="DonorCohort:202101+Seasonal(0.997)"/>
    <n v="68536.22"/>
    <n v="69344.95"/>
    <n v="-808.73"/>
    <x v="0"/>
    <n v="0"/>
    <n v="0.78500000000000003"/>
    <n v="0.24"/>
    <n v="0"/>
    <n v="0"/>
    <n v="0"/>
    <n v="69344.95"/>
    <n v="1182172.8500000001"/>
    <n v="5.8659000000000003E-2"/>
    <n v="-808.73"/>
    <n v="-808.66"/>
    <n v="0"/>
    <n v="-808.66"/>
    <n v="1115796.29"/>
    <s v="Forecast"/>
  </r>
  <r>
    <x v="12"/>
    <x v="3"/>
    <s v="202505"/>
    <n v="17"/>
    <n v="1479610.16"/>
    <n v="-4.8901593638460833E-2"/>
    <s v="CohortAvg"/>
    <n v="-2.1301321959183231E-2"/>
    <s v="CohortAvg"/>
    <n v="0.241060119024743"/>
    <s v="CohortAvg"/>
    <n v="0"/>
    <s v="CohortAvg_NoData_ERROR"/>
    <n v="0"/>
    <s v="CohortAvg"/>
    <n v="0"/>
    <s v="Zero"/>
    <n v="0"/>
    <s v="CohortAvg"/>
    <n v="0"/>
    <s v="CohortAvg"/>
    <n v="0"/>
    <n v="-72355.289999999994"/>
    <n v="-31517.65"/>
    <n v="29722.92"/>
    <n v="0"/>
    <n v="0"/>
    <n v="0"/>
    <n v="0"/>
    <n v="1405460.13"/>
    <n v="5.8741000000000002E-2"/>
    <n v="0.99670000000000003"/>
    <n v="5.8543999999999999E-2"/>
    <s v="DonorCohort:202101+Seasonal(0.997)"/>
    <n v="82281.600000000006"/>
    <n v="81098.850000000006"/>
    <n v="1182.75"/>
    <x v="0"/>
    <n v="0"/>
    <n v="0.78500000000000003"/>
    <n v="0.24"/>
    <n v="0"/>
    <n v="0"/>
    <n v="0"/>
    <n v="81098.850000000006"/>
    <n v="1479610.16"/>
    <n v="5.4810999999999999E-2"/>
    <n v="1182.75"/>
    <n v="1182.75"/>
    <n v="0"/>
    <n v="1182.75"/>
    <n v="1404277.38"/>
    <s v="Forecast"/>
  </r>
  <r>
    <x v="12"/>
    <x v="3"/>
    <s v="202506"/>
    <n v="16"/>
    <n v="1653090.33"/>
    <n v="-5.2967465395708152E-2"/>
    <s v="CohortAvg"/>
    <n v="-2.2315683541640811E-2"/>
    <s v="CohortAvg"/>
    <n v="0.25260104525465987"/>
    <s v="CohortAvg"/>
    <n v="0"/>
    <s v="CohortAvg_NoData_ERROR"/>
    <n v="0"/>
    <s v="CohortAvg"/>
    <n v="0"/>
    <s v="Zero"/>
    <n v="0"/>
    <s v="CohortAvg"/>
    <n v="0"/>
    <s v="CohortAvg"/>
    <n v="0"/>
    <n v="-87560.01"/>
    <n v="-36889.839999999997"/>
    <n v="34797.699999999997"/>
    <n v="0"/>
    <n v="0"/>
    <n v="0"/>
    <n v="0"/>
    <n v="1563438.18"/>
    <n v="5.4886999999999998E-2"/>
    <n v="0.99670000000000003"/>
    <n v="5.4704000000000003E-2"/>
    <s v="DonorCohort:202101+Seasonal(0.997)"/>
    <n v="85526.05"/>
    <n v="84324.66"/>
    <n v="1201.4000000000001"/>
    <x v="0"/>
    <n v="0"/>
    <n v="0.78500000000000003"/>
    <n v="0.24"/>
    <n v="0"/>
    <n v="0"/>
    <n v="0"/>
    <n v="84324.66"/>
    <n v="1653090.33"/>
    <n v="5.101E-2"/>
    <n v="1201.4000000000001"/>
    <n v="1201.4000000000001"/>
    <n v="0"/>
    <n v="1201.4000000000001"/>
    <n v="1562236.78"/>
    <s v="Forecast"/>
  </r>
  <r>
    <x v="12"/>
    <x v="3"/>
    <s v="202507"/>
    <n v="15"/>
    <n v="2202734.7799999998"/>
    <n v="-3.8941612923940411E-2"/>
    <s v="CohortAvg"/>
    <n v="-2.3384810964728581E-2"/>
    <s v="CohortAvg"/>
    <n v="0.25302924226624862"/>
    <s v="CohortAvg"/>
    <n v="0"/>
    <s v="CohortAvg_NoData_ERROR"/>
    <n v="0"/>
    <s v="CohortAvg"/>
    <n v="0"/>
    <s v="Zero"/>
    <n v="0"/>
    <s v="CohortAvg"/>
    <n v="0"/>
    <s v="CohortAvg"/>
    <n v="0"/>
    <n v="-85778.05"/>
    <n v="-51510.54"/>
    <n v="46446.36"/>
    <n v="0"/>
    <n v="0"/>
    <n v="0"/>
    <n v="0"/>
    <n v="2111892.5499999998"/>
    <n v="5.1081000000000001E-2"/>
    <n v="0.99670000000000003"/>
    <n v="5.0910999999999998E-2"/>
    <s v="DonorCohort:202101+Seasonal(0.997)"/>
    <n v="107517.74"/>
    <n v="94714.15"/>
    <n v="12803.59"/>
    <x v="0"/>
    <n v="0"/>
    <n v="0.78500000000000003"/>
    <n v="0.24"/>
    <n v="0"/>
    <n v="0"/>
    <n v="0"/>
    <n v="94714.15"/>
    <n v="2202734.7799999998"/>
    <n v="4.2998000000000001E-2"/>
    <n v="12803.59"/>
    <n v="12803.59"/>
    <n v="0"/>
    <n v="12803.59"/>
    <n v="2099088.96"/>
    <s v="Forecast"/>
  </r>
  <r>
    <x v="12"/>
    <x v="3"/>
    <s v="202508"/>
    <n v="14"/>
    <n v="2478927"/>
    <n v="-3.8762409289782383E-2"/>
    <s v="CohortAvg"/>
    <n v="-1.7776576832029298E-2"/>
    <s v="CohortAvg"/>
    <n v="0.24241976297974399"/>
    <s v="CohortAvg"/>
    <n v="0"/>
    <s v="CohortAvg_NoData_ERROR"/>
    <n v="0"/>
    <s v="CohortAvg"/>
    <n v="0"/>
    <s v="Zero"/>
    <n v="0"/>
    <s v="CohortAvg"/>
    <n v="0"/>
    <s v="CohortAvg"/>
    <n v="0"/>
    <n v="-96089.18"/>
    <n v="-44066.84"/>
    <n v="50078.41"/>
    <n v="0"/>
    <n v="0"/>
    <n v="0"/>
    <n v="0"/>
    <n v="2388849.39"/>
    <n v="4.3057999999999999E-2"/>
    <n v="0.99670000000000003"/>
    <n v="4.2914000000000001E-2"/>
    <s v="DonorCohort:202101+Seasonal(0.997)"/>
    <n v="102516.03"/>
    <n v="94134.85"/>
    <n v="8381.18"/>
    <x v="0"/>
    <n v="0"/>
    <n v="0.78500000000000003"/>
    <n v="0.24"/>
    <n v="0"/>
    <n v="0"/>
    <n v="0"/>
    <n v="94134.85"/>
    <n v="2478927"/>
    <n v="3.7974000000000001E-2"/>
    <n v="8381.18"/>
    <n v="8381.18"/>
    <n v="0"/>
    <n v="8381.18"/>
    <n v="2380468.21"/>
    <s v="Forecast"/>
  </r>
  <r>
    <x v="12"/>
    <x v="3"/>
    <s v="202509"/>
    <n v="13"/>
    <n v="623523.41"/>
    <n v="-0.24635515203986319"/>
    <s v="CohortAvg"/>
    <n v="-3.604174184495125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53608.20000000001"/>
    <n v="-22472.87"/>
    <n v="25980.14"/>
    <n v="0"/>
    <n v="0"/>
    <n v="0"/>
    <n v="0"/>
    <n v="473422.47"/>
    <n v="3.8026999999999998E-2"/>
    <n v="0.99670000000000003"/>
    <n v="3.7900000000000003E-2"/>
    <s v="DonorCohort:202101+Seasonal(0.997)"/>
    <n v="17942.62"/>
    <n v="21067.81"/>
    <n v="-3125.19"/>
    <x v="0"/>
    <n v="0"/>
    <n v="0.78500000000000003"/>
    <n v="0.24"/>
    <n v="0"/>
    <n v="0"/>
    <n v="0"/>
    <n v="21067.81"/>
    <n v="623523.41"/>
    <n v="3.3787999999999999E-2"/>
    <n v="-3125.19"/>
    <n v="-3125.19"/>
    <n v="0"/>
    <n v="-3125.19"/>
    <n v="476547.67"/>
    <s v="Forecast"/>
  </r>
  <r>
    <x v="12"/>
    <x v="4"/>
    <s v="202101"/>
    <n v="67"/>
    <n v="515236.72"/>
    <n v="-0.1370556178437814"/>
    <s v="CohortAvg"/>
    <n v="-1.1457992915254581E-2"/>
    <s v="CohortAvg"/>
    <n v="0.1309339532537539"/>
    <s v="CohortAvg"/>
    <n v="4.5173496350435348E-2"/>
    <s v="CohortAvg_NonZero"/>
    <n v="0"/>
    <s v="CohortAvg"/>
    <n v="0"/>
    <s v="Zero"/>
    <n v="0"/>
    <s v="CohortAvg"/>
    <n v="0"/>
    <s v="CohortAvg"/>
    <n v="0"/>
    <n v="-70616.09"/>
    <n v="-5903.58"/>
    <n v="5621.83"/>
    <n v="0"/>
    <n v="0"/>
    <n v="0"/>
    <n v="0"/>
    <n v="444338.89"/>
    <n v="0.17000499999999999"/>
    <n v="0.93420000000000003"/>
    <n v="0.15882199999999999"/>
    <s v="CohortAvg+Seasonal(0.934)"/>
    <n v="70570.91"/>
    <n v="98733.45"/>
    <n v="-28162.54"/>
    <x v="0"/>
    <n v="0"/>
    <n v="0.78500000000000003"/>
    <n v="0.24"/>
    <n v="0"/>
    <n v="0"/>
    <n v="0"/>
    <n v="98733.45"/>
    <n v="515236.72"/>
    <n v="0.19162699999999999"/>
    <n v="-28162.54"/>
    <n v="-28162.54"/>
    <n v="0"/>
    <n v="-28162.54"/>
    <n v="472501.43"/>
    <s v="Forecast"/>
  </r>
  <r>
    <x v="12"/>
    <x v="4"/>
    <s v="202201"/>
    <n v="49"/>
    <n v="30555.49"/>
    <n v="-9.8468802514796963E-2"/>
    <s v="CohortAvg"/>
    <n v="-9.5686070340967582E-3"/>
    <s v="CohortAvg"/>
    <n v="9.9700459411296391E-2"/>
    <s v="CohortAvg"/>
    <n v="3.6427946904221471E-2"/>
    <s v="CohortAvg_NonZero"/>
    <n v="1.6731440482893089E-9"/>
    <s v="CohortAvg"/>
    <n v="0"/>
    <s v="Zero"/>
    <n v="0"/>
    <s v="CohortAvg"/>
    <n v="0"/>
    <s v="CohortAvg"/>
    <n v="0"/>
    <n v="-3008.76"/>
    <n v="-292.37"/>
    <n v="253.87"/>
    <n v="0"/>
    <n v="0"/>
    <n v="0"/>
    <n v="0"/>
    <n v="27508.22"/>
    <n v="3.9288999999999998E-2"/>
    <n v="0.93420000000000003"/>
    <n v="3.6705000000000002E-2"/>
    <s v="CohortAvg+Seasonal(0.934)"/>
    <n v="1009.68"/>
    <n v="1348.24"/>
    <n v="-338.56"/>
    <x v="0"/>
    <n v="0"/>
    <n v="0.78500000000000003"/>
    <n v="0.24"/>
    <n v="0"/>
    <n v="0"/>
    <n v="0"/>
    <n v="1348.24"/>
    <n v="30555.49"/>
    <n v="4.4123999999999997E-2"/>
    <n v="-338.56"/>
    <n v="-338.56"/>
    <n v="0"/>
    <n v="-338.56"/>
    <n v="27846.78"/>
    <s v="Forecast"/>
  </r>
  <r>
    <x v="12"/>
    <x v="4"/>
    <s v="202405"/>
    <n v="29"/>
    <n v="3935.6"/>
    <n v="-1.6739238925567348E-2"/>
    <s v="CohortAvg"/>
    <n v="-1.045908759157029E-2"/>
    <s v="CohortAvg"/>
    <n v="0.12157327736857659"/>
    <s v="CohortAvg"/>
    <n v="0"/>
    <s v="CohortAvg_NoData_ERROR"/>
    <n v="0"/>
    <s v="CohortAvg"/>
    <n v="0"/>
    <s v="Zero"/>
    <n v="0"/>
    <s v="CohortAvg"/>
    <n v="0"/>
    <s v="CohortAvg"/>
    <n v="0"/>
    <n v="-65.88"/>
    <n v="-41.16"/>
    <n v="39.869999999999997"/>
    <n v="0"/>
    <n v="0"/>
    <n v="0"/>
    <n v="0"/>
    <n v="3868.43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935.6"/>
    <n v="0"/>
    <n v="0"/>
    <n v="0"/>
    <n v="0"/>
    <n v="0"/>
    <n v="3868.43"/>
    <s v="Forecast"/>
  </r>
  <r>
    <x v="12"/>
    <x v="4"/>
    <s v="202407"/>
    <n v="27"/>
    <n v="1612.64"/>
    <n v="-5.3528190097016183E-2"/>
    <s v="CohortAvg"/>
    <n v="-1.049579046892949E-2"/>
    <s v="CohortAvg"/>
    <n v="0.12046294167486669"/>
    <s v="CohortAvg"/>
    <n v="0"/>
    <s v="CohortAvg_NoData_ERROR"/>
    <n v="0"/>
    <s v="CohortAvg"/>
    <n v="0"/>
    <s v="Zero"/>
    <n v="0"/>
    <s v="CohortAvg"/>
    <n v="0"/>
    <s v="CohortAvg"/>
    <n v="0"/>
    <n v="-86.32"/>
    <n v="-16.93"/>
    <n v="16.190000000000001"/>
    <n v="0"/>
    <n v="0"/>
    <n v="0"/>
    <n v="0"/>
    <n v="1525.58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1612.64"/>
    <n v="0"/>
    <n v="0"/>
    <n v="0"/>
    <n v="0"/>
    <n v="0"/>
    <n v="1525.58"/>
    <s v="Forecast"/>
  </r>
  <r>
    <x v="12"/>
    <x v="4"/>
    <s v="202409"/>
    <n v="25"/>
    <n v="6014.56"/>
    <n v="-4.3415404542524343E-2"/>
    <s v="CohortAvg"/>
    <n v="-1.046545076083023E-2"/>
    <s v="CohortAvg"/>
    <n v="0.12082069716333339"/>
    <s v="CohortAvg"/>
    <n v="0"/>
    <s v="CohortAvg_NoData_ERROR"/>
    <n v="0"/>
    <s v="CohortAvg"/>
    <n v="0"/>
    <s v="Zero"/>
    <n v="0"/>
    <s v="CohortAvg"/>
    <n v="0"/>
    <s v="CohortAvg"/>
    <n v="0"/>
    <n v="-261.12"/>
    <n v="-62.95"/>
    <n v="60.56"/>
    <n v="0"/>
    <n v="0"/>
    <n v="0"/>
    <n v="0"/>
    <n v="5751.04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6014.56"/>
    <n v="0"/>
    <n v="0"/>
    <n v="0"/>
    <n v="0"/>
    <n v="0"/>
    <n v="5751.04"/>
    <s v="Forecast"/>
  </r>
  <r>
    <x v="12"/>
    <x v="4"/>
    <s v="202504"/>
    <n v="18"/>
    <n v="3984.37"/>
    <n v="-1.2980074989754229E-2"/>
    <s v="CohortAvg"/>
    <n v="-1.043023920432727E-2"/>
    <s v="CohortAvg"/>
    <n v="0.12552812031158511"/>
    <s v="CohortAvg"/>
    <n v="0"/>
    <s v="CohortAvg_NoData_ERROR"/>
    <n v="0"/>
    <s v="CohortAvg"/>
    <n v="0"/>
    <s v="Zero"/>
    <n v="0"/>
    <s v="CohortAvg"/>
    <n v="0"/>
    <s v="CohortAvg"/>
    <n v="0"/>
    <n v="-51.72"/>
    <n v="-41.56"/>
    <n v="41.68"/>
    <n v="0"/>
    <n v="0"/>
    <n v="0"/>
    <n v="0"/>
    <n v="3932.77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984.37"/>
    <n v="0"/>
    <n v="0"/>
    <n v="0"/>
    <n v="0"/>
    <n v="0"/>
    <n v="3932.77"/>
    <s v="Forecast"/>
  </r>
  <r>
    <x v="12"/>
    <x v="4"/>
    <s v="202507"/>
    <n v="15"/>
    <n v="8936.83"/>
    <n v="-1.144506359115254E-2"/>
    <s v="CohortAvg"/>
    <n v="-1.13133416534033E-2"/>
    <s v="CohortAvg"/>
    <n v="0.1346198203797267"/>
    <s v="CohortAvg"/>
    <n v="0"/>
    <s v="CohortAvg_NoData_ERROR"/>
    <n v="0"/>
    <s v="CohortAvg"/>
    <n v="0"/>
    <s v="Zero"/>
    <n v="0"/>
    <s v="CohortAvg"/>
    <n v="0"/>
    <s v="CohortAvg"/>
    <n v="0"/>
    <n v="-102.28"/>
    <n v="-101.11"/>
    <n v="100.26"/>
    <n v="0"/>
    <n v="0"/>
    <n v="0"/>
    <n v="0"/>
    <n v="8833.69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8936.83"/>
    <n v="0"/>
    <n v="0"/>
    <n v="0"/>
    <n v="0"/>
    <n v="0"/>
    <n v="8833.69"/>
    <s v="Forecast"/>
  </r>
  <r>
    <x v="12"/>
    <x v="4"/>
    <s v="202508"/>
    <n v="14"/>
    <n v="30020.639999999999"/>
    <n v="-7.4040521772333499E-3"/>
    <s v="CohortAvg"/>
    <n v="-3.810761896133762E-3"/>
    <s v="CohortAvg"/>
    <n v="0.1328506047198641"/>
    <s v="CohortAvg"/>
    <n v="0"/>
    <s v="CohortAvg_NoData_ERROR"/>
    <n v="0"/>
    <s v="CohortAvg"/>
    <n v="0"/>
    <s v="Zero"/>
    <n v="0"/>
    <s v="CohortAvg"/>
    <n v="0"/>
    <s v="CohortAvg"/>
    <n v="0"/>
    <n v="-222.27"/>
    <n v="-114.4"/>
    <n v="332.35"/>
    <n v="0"/>
    <n v="0"/>
    <n v="0"/>
    <n v="0"/>
    <n v="30016.32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0020.639999999999"/>
    <n v="0"/>
    <n v="0"/>
    <n v="0"/>
    <n v="0"/>
    <n v="0"/>
    <n v="30016.32"/>
    <s v="Forecast"/>
  </r>
  <r>
    <x v="12"/>
    <x v="4"/>
    <s v="202509"/>
    <n v="13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3"/>
    <x v="0"/>
    <s v="201912"/>
    <n v="83"/>
    <n v="320733.84000000003"/>
    <n v="-3.2183132663469782E-4"/>
    <s v="CohortAvg"/>
    <n v="1.489976043535934E-3"/>
    <s v="CohortAvg"/>
    <n v="0"/>
    <s v="CohortAvg"/>
    <n v="2.8977421367803669E-2"/>
    <s v="CohortAvg_NonZero"/>
    <n v="2.516764466597877E-5"/>
    <s v="CohortAvg"/>
    <n v="0"/>
    <s v="Zero"/>
    <n v="0"/>
    <s v="CohortAvg"/>
    <n v="0"/>
    <s v="CohortAvg"/>
    <n v="0"/>
    <n v="-103.22"/>
    <n v="477.89"/>
    <n v="0"/>
    <n v="0"/>
    <n v="8.07"/>
    <n v="0"/>
    <n v="0"/>
    <n v="320144.65999999997"/>
    <n v="0.99662499999999998"/>
    <n v="1.1879999999999999"/>
    <n v="1.184029"/>
    <s v="CohortAvg+Seasonal(1.188)"/>
    <n v="379060.51"/>
    <n v="334731.61"/>
    <n v="44328.9"/>
    <x v="0"/>
    <n v="0"/>
    <n v="0.78500000000000003"/>
    <n v="0.24"/>
    <n v="0"/>
    <n v="0"/>
    <n v="0"/>
    <n v="334731.61"/>
    <n v="320733.84000000003"/>
    <n v="1.0436430000000001"/>
    <n v="44328.9"/>
    <n v="44336.97"/>
    <n v="0"/>
    <n v="44336.97"/>
    <n v="275807.69"/>
    <s v="Forecast"/>
  </r>
  <r>
    <x v="13"/>
    <x v="0"/>
    <s v="202001"/>
    <n v="82"/>
    <n v="56754.03"/>
    <n v="3.8464745543294022E-2"/>
    <s v="CohortAvg"/>
    <n v="1.6513008199949811E-3"/>
    <s v="CohortAvg"/>
    <n v="0"/>
    <s v="CohortAvg"/>
    <n v="1.3054144330984899E-2"/>
    <s v="CohortAvg_NonZero"/>
    <n v="0"/>
    <s v="CohortAvg"/>
    <n v="0"/>
    <s v="Zero"/>
    <n v="0"/>
    <s v="CohortAvg"/>
    <n v="0"/>
    <s v="CohortAvg"/>
    <n v="0"/>
    <n v="2183.0300000000002"/>
    <n v="93.72"/>
    <n v="0"/>
    <n v="0"/>
    <n v="0"/>
    <n v="0"/>
    <n v="0"/>
    <n v="54477.279999999999"/>
    <n v="0.99838700000000002"/>
    <n v="1.1879999999999999"/>
    <n v="1.1861219999999999"/>
    <s v="CohortAvg+Seasonal(1.188)"/>
    <n v="64616.7"/>
    <n v="59325.46"/>
    <n v="5291.25"/>
    <x v="0"/>
    <n v="0"/>
    <n v="0.78500000000000003"/>
    <n v="0.24"/>
    <n v="0"/>
    <n v="0"/>
    <n v="0"/>
    <n v="59325.46"/>
    <n v="56754.03"/>
    <n v="1.0453079999999999"/>
    <n v="5291.25"/>
    <n v="5291.25"/>
    <n v="0"/>
    <n v="5291.25"/>
    <n v="49186.03"/>
    <s v="Forecast"/>
  </r>
  <r>
    <x v="13"/>
    <x v="0"/>
    <s v="202101"/>
    <n v="70"/>
    <n v="717435.37"/>
    <n v="-5.016514519756766E-3"/>
    <s v="CohortAvg"/>
    <n v="-2.030285724743269E-3"/>
    <s v="CohortAvg"/>
    <n v="0"/>
    <s v="CohortAvg"/>
    <n v="1.537510008487101E-2"/>
    <s v="CohortAvg_NonZero"/>
    <n v="2.07849987770617E-5"/>
    <s v="CohortAvg"/>
    <n v="0"/>
    <s v="Zero"/>
    <n v="0"/>
    <s v="CohortAvg"/>
    <n v="0"/>
    <s v="CohortAvg"/>
    <n v="0"/>
    <n v="-3599.02"/>
    <n v="-1456.6"/>
    <n v="0"/>
    <n v="0"/>
    <n v="14.91"/>
    <n v="0"/>
    <n v="0"/>
    <n v="712364.83"/>
    <n v="0.94494599999999995"/>
    <n v="1.1879999999999999"/>
    <n v="1.1226309999999999"/>
    <s v="CohortAvg+Seasonal(1.188)"/>
    <n v="799723.19"/>
    <n v="709281.53"/>
    <n v="90441.66"/>
    <x v="0"/>
    <n v="0"/>
    <n v="0.78500000000000003"/>
    <n v="0.24"/>
    <n v="0"/>
    <n v="0"/>
    <n v="0"/>
    <n v="709281.53"/>
    <n v="717435.37"/>
    <n v="0.98863500000000004"/>
    <n v="90441.66"/>
    <n v="90456.57"/>
    <n v="0"/>
    <n v="90456.57"/>
    <n v="621908.26"/>
    <s v="Forecast"/>
  </r>
  <r>
    <x v="13"/>
    <x v="0"/>
    <s v="202201"/>
    <n v="50"/>
    <n v="200012.1"/>
    <n v="-0.1151737822504089"/>
    <s v="CohortAvg"/>
    <n v="-6.0161263577583647E-3"/>
    <s v="CohortAvg"/>
    <n v="2.605259340566584E-2"/>
    <s v="CohortAvg"/>
    <n v="4.2489719681757819E-2"/>
    <s v="CohortAvg_NonZero"/>
    <n v="4.5047205535261158E-3"/>
    <s v="CohortAvg"/>
    <n v="0"/>
    <s v="Zero"/>
    <n v="-3.141528880235813E-5"/>
    <s v="CohortAvg"/>
    <n v="-6.9179374677108814E-7"/>
    <s v="CohortAvg"/>
    <n v="0"/>
    <n v="-23036.15"/>
    <n v="-1203.3"/>
    <n v="434.24"/>
    <n v="0"/>
    <n v="901"/>
    <n v="-6.28"/>
    <n v="-0.14000000000000001"/>
    <n v="175305.89"/>
    <n v="0.58506000000000002"/>
    <n v="1.1879999999999999"/>
    <n v="0.69507399999999997"/>
    <s v="CohortAvg+Seasonal(1.188)"/>
    <n v="121850.5"/>
    <n v="122463.77"/>
    <n v="-613.26"/>
    <x v="0"/>
    <n v="0"/>
    <n v="0.78500000000000003"/>
    <n v="0.24"/>
    <n v="0"/>
    <n v="0"/>
    <n v="0"/>
    <n v="122463.77"/>
    <n v="200012.1"/>
    <n v="0.61228199999999999"/>
    <n v="-613.26"/>
    <n v="287.73"/>
    <n v="0"/>
    <n v="287.73"/>
    <n v="175018.16"/>
    <s v="Forecast"/>
  </r>
  <r>
    <x v="13"/>
    <x v="0"/>
    <s v="202301"/>
    <n v="41"/>
    <n v="2103417.0099999998"/>
    <n v="-6.9444105218935945E-2"/>
    <s v="CohortAvg"/>
    <n v="-1.686169001752932E-2"/>
    <s v="CohortAvg"/>
    <n v="0.20596735920757159"/>
    <s v="CohortAvg"/>
    <n v="6.5993525276138207E-2"/>
    <s v="CohortAvg_NonZero"/>
    <n v="1.133110318865151E-4"/>
    <s v="CohortAvg"/>
    <n v="0"/>
    <s v="Zero"/>
    <n v="-5.1774038471973467E-3"/>
    <s v="CohortAvg"/>
    <n v="-7.1575624719229708E-5"/>
    <s v="CohortAvg"/>
    <n v="0"/>
    <n v="-146069.91"/>
    <n v="-35467.17"/>
    <n v="36102.94"/>
    <n v="0"/>
    <n v="238.34"/>
    <n v="-10890.24"/>
    <n v="-150.55000000000001"/>
    <n v="1957744.53"/>
    <n v="0.60008099999999998"/>
    <n v="1.1879999999999999"/>
    <n v="0.71291899999999997"/>
    <s v="CohortAvg+Seasonal(1.188)"/>
    <n v="1395712.87"/>
    <n v="1305490.3999999999"/>
    <n v="90222.47"/>
    <x v="0"/>
    <n v="0"/>
    <n v="0.78500000000000003"/>
    <n v="0.24"/>
    <n v="0"/>
    <n v="0"/>
    <n v="0"/>
    <n v="1305490.3999999999"/>
    <n v="2103417.0099999998"/>
    <n v="0.62065199999999998"/>
    <n v="90222.47"/>
    <n v="90460.81"/>
    <n v="0"/>
    <n v="90460.81"/>
    <n v="1867283.72"/>
    <s v="Forecast"/>
  </r>
  <r>
    <x v="13"/>
    <x v="0"/>
    <s v="202404"/>
    <n v="31"/>
    <n v="331344.06"/>
    <n v="-7.2299364247113418E-2"/>
    <s v="CohortAvg"/>
    <n v="-2.4081253938358731E-2"/>
    <s v="CohortAvg"/>
    <n v="0.2532205699338258"/>
    <s v="CohortAvg"/>
    <n v="0.1092849603303834"/>
    <s v="CohortAvg_NonZero"/>
    <n v="9.5410449908213247E-5"/>
    <s v="CohortAvg"/>
    <n v="0"/>
    <s v="Zero"/>
    <n v="-7.6685710427425819E-3"/>
    <s v="CohortAvg"/>
    <n v="-1.5006199088536939E-4"/>
    <s v="CohortAvg"/>
    <n v="0"/>
    <n v="-23955.97"/>
    <n v="-7979.18"/>
    <n v="6991.93"/>
    <n v="0"/>
    <n v="31.61"/>
    <n v="-2540.94"/>
    <n v="-49.72"/>
    <n v="306369.23"/>
    <n v="0.42082399999999998"/>
    <n v="1.1879999999999999"/>
    <n v="0.49995499999999998"/>
    <s v="CohortTrend+Seasonal(1.188)"/>
    <n v="153170.76"/>
    <n v="142527.53"/>
    <n v="10643.23"/>
    <x v="0"/>
    <n v="0"/>
    <n v="0.78500000000000003"/>
    <n v="0.24"/>
    <n v="0"/>
    <n v="0"/>
    <n v="0"/>
    <n v="142527.53"/>
    <n v="331344.06"/>
    <n v="0.43014999999999998"/>
    <n v="10643.23"/>
    <n v="10674.85"/>
    <n v="0"/>
    <n v="10674.85"/>
    <n v="295694.39"/>
    <s v="Forecast"/>
  </r>
  <r>
    <x v="13"/>
    <x v="0"/>
    <s v="202405"/>
    <n v="30"/>
    <n v="476334.17"/>
    <n v="-6.087894841341502E-2"/>
    <s v="CohortAvg"/>
    <n v="-2.430875375596428E-2"/>
    <s v="CohortAvg"/>
    <n v="0.26182180232342162"/>
    <s v="CohortAvg"/>
    <n v="0.10562637097942169"/>
    <s v="CohortAvg_NonZero"/>
    <n v="1.506218805341513E-4"/>
    <s v="CohortAvg"/>
    <n v="0"/>
    <s v="Zero"/>
    <n v="-1.1518032061200559E-2"/>
    <s v="CohortAvg"/>
    <n v="-2.031492782535324E-4"/>
    <s v="CohortAvg"/>
    <n v="0"/>
    <n v="-28998.720000000001"/>
    <n v="-11579.09"/>
    <n v="10392.89"/>
    <n v="0"/>
    <n v="71.75"/>
    <n v="-5486.43"/>
    <n v="-96.77"/>
    <n v="446077.5"/>
    <n v="0.36891200000000002"/>
    <n v="1.1879999999999999"/>
    <n v="0.43828099999999998"/>
    <s v="CohortTrend+Seasonal(1.188)"/>
    <n v="195507.36"/>
    <n v="180269.74"/>
    <n v="15237.62"/>
    <x v="0"/>
    <n v="0"/>
    <n v="0.78500000000000003"/>
    <n v="0.24"/>
    <n v="0"/>
    <n v="0"/>
    <n v="0"/>
    <n v="180269.74"/>
    <n v="476334.17"/>
    <n v="0.37845200000000001"/>
    <n v="15237.62"/>
    <n v="15309.36"/>
    <n v="0"/>
    <n v="15309.36"/>
    <n v="430768.14"/>
    <s v="Forecast"/>
  </r>
  <r>
    <x v="13"/>
    <x v="0"/>
    <s v="202406"/>
    <n v="29"/>
    <n v="802034.43"/>
    <n v="-5.6000481522267123E-2"/>
    <s v="CohortAvg"/>
    <n v="-2.547387347187589E-2"/>
    <s v="CohortAvg"/>
    <n v="0.28055568110869861"/>
    <s v="CohortAvg"/>
    <n v="6.6161810332553472E-2"/>
    <s v="CohortAvg_NonZero"/>
    <n v="1.5234410836355711E-5"/>
    <s v="CohortAvg"/>
    <n v="0"/>
    <s v="Zero"/>
    <n v="-9.6326209244923539E-3"/>
    <s v="CohortAvg"/>
    <n v="-2.088233176589346E-4"/>
    <s v="CohortAvg"/>
    <n v="0"/>
    <n v="-44914.31"/>
    <n v="-20430.919999999998"/>
    <n v="18751.28"/>
    <n v="0"/>
    <n v="12.22"/>
    <n v="-7725.69"/>
    <n v="-167.48"/>
    <n v="755428.25"/>
    <n v="0.32855800000000002"/>
    <n v="1.1879999999999999"/>
    <n v="0.39033899999999999"/>
    <s v="CohortTrend+Seasonal(1.188)"/>
    <n v="294873.44"/>
    <n v="269725.89"/>
    <n v="25147.55"/>
    <x v="0"/>
    <n v="0"/>
    <n v="0.78500000000000003"/>
    <n v="0.24"/>
    <n v="0"/>
    <n v="0"/>
    <n v="0"/>
    <n v="269725.89"/>
    <n v="802034.43"/>
    <n v="0.33630199999999999"/>
    <n v="25147.55"/>
    <n v="25159.77"/>
    <n v="0"/>
    <n v="25159.77"/>
    <n v="730268.49"/>
    <s v="Forecast"/>
  </r>
  <r>
    <x v="13"/>
    <x v="0"/>
    <s v="202407"/>
    <n v="28"/>
    <n v="843950.91"/>
    <n v="-5.2933922150278853E-2"/>
    <s v="CohortAvg"/>
    <n v="-2.6783972592749311E-2"/>
    <s v="CohortAvg"/>
    <n v="0.2891408925521044"/>
    <s v="CohortAvg"/>
    <n v="7.3836702048594063E-2"/>
    <s v="CohortAvg_NonZero"/>
    <n v="1.981399021816891E-5"/>
    <s v="CohortAvg"/>
    <n v="0"/>
    <s v="Zero"/>
    <n v="-1.2213574258989619E-2"/>
    <s v="CohortAvg"/>
    <n v="-6.7809222264305946E-5"/>
    <s v="CohortAvg"/>
    <n v="0"/>
    <n v="-44673.63"/>
    <n v="-22604.36"/>
    <n v="20335.060000000001"/>
    <n v="0"/>
    <n v="16.72"/>
    <n v="-10307.66"/>
    <n v="-57.23"/>
    <n v="796991.25"/>
    <n v="0.28012500000000001"/>
    <n v="1.1879999999999999"/>
    <n v="0.33279900000000001"/>
    <s v="CohortTrend+Seasonal(1.188)"/>
    <n v="265238.28000000003"/>
    <n v="242953.37"/>
    <n v="22284.91"/>
    <x v="0"/>
    <n v="0"/>
    <n v="0.78500000000000003"/>
    <n v="0.24"/>
    <n v="0"/>
    <n v="0"/>
    <n v="0"/>
    <n v="242953.37"/>
    <n v="843950.91"/>
    <n v="0.28787600000000002"/>
    <n v="22284.91"/>
    <n v="22301.63"/>
    <n v="0"/>
    <n v="22301.63"/>
    <n v="774689.62"/>
    <s v="Forecast"/>
  </r>
  <r>
    <x v="13"/>
    <x v="0"/>
    <s v="202408"/>
    <n v="27"/>
    <n v="703541.64"/>
    <n v="-6.4857662472533037E-2"/>
    <s v="CohortAvg"/>
    <n v="-2.614897147561078E-2"/>
    <s v="CohortAvg"/>
    <n v="0.27940432144189858"/>
    <s v="CohortAvg"/>
    <n v="9.6980004060046435E-2"/>
    <s v="CohortAvg_NonZero"/>
    <n v="1.227883674133775E-4"/>
    <s v="CohortAvg"/>
    <n v="0"/>
    <s v="Zero"/>
    <n v="-1.369872065321801E-2"/>
    <s v="CohortAvg"/>
    <n v="-3.1194183709157871E-4"/>
    <s v="CohortAvg"/>
    <n v="0"/>
    <n v="-45630.07"/>
    <n v="-18396.89"/>
    <n v="16381.05"/>
    <n v="0"/>
    <n v="86.39"/>
    <n v="-9637.6200000000008"/>
    <n v="-219.46"/>
    <n v="655809.35"/>
    <n v="0.259214"/>
    <n v="1.1879999999999999"/>
    <n v="0.30795600000000001"/>
    <s v="CohortTrend+Seasonal(1.188)"/>
    <n v="201960.51"/>
    <n v="187642.9"/>
    <n v="14317.61"/>
    <x v="0"/>
    <n v="0"/>
    <n v="0.78500000000000003"/>
    <n v="0.24"/>
    <n v="0"/>
    <n v="0"/>
    <n v="0"/>
    <n v="187642.9"/>
    <n v="703541.64"/>
    <n v="0.266712"/>
    <n v="14317.61"/>
    <n v="14403.99"/>
    <n v="0"/>
    <n v="14403.99"/>
    <n v="641405.36"/>
    <s v="Forecast"/>
  </r>
  <r>
    <x v="13"/>
    <x v="0"/>
    <s v="202409"/>
    <n v="26"/>
    <n v="620644.22"/>
    <n v="-7.0400541870922817E-2"/>
    <s v="CohortAvg"/>
    <n v="-2.9352159340824888E-2"/>
    <s v="CohortAvg"/>
    <n v="0.29664079827601619"/>
    <s v="CohortAvg"/>
    <n v="0.10122728368393601"/>
    <s v="CohortAvg_NonZero"/>
    <n v="3.3179770000410768E-4"/>
    <s v="CohortAvg"/>
    <n v="0"/>
    <s v="Zero"/>
    <n v="-1.5833216164074231E-2"/>
    <s v="CohortAvg"/>
    <n v="9.6859461021599246E-4"/>
    <s v="CohortAvg"/>
    <n v="0"/>
    <n v="-43693.69"/>
    <n v="-18217.25"/>
    <n v="15342.37"/>
    <n v="0"/>
    <n v="205.93"/>
    <n v="-9826.7900000000009"/>
    <n v="601.15"/>
    <n v="573869.72"/>
    <n v="0.24216499999999999"/>
    <n v="1.1879999999999999"/>
    <n v="0.28770099999999998"/>
    <s v="CohortTrend+Seasonal(1.188)"/>
    <n v="165102.94"/>
    <n v="154563.5"/>
    <n v="10539.44"/>
    <x v="0"/>
    <n v="0"/>
    <n v="0.78500000000000003"/>
    <n v="0.24"/>
    <n v="0"/>
    <n v="0"/>
    <n v="0"/>
    <n v="154563.5"/>
    <n v="620644.22"/>
    <n v="0.24903700000000001"/>
    <n v="10539.44"/>
    <n v="10745.37"/>
    <n v="0"/>
    <n v="10745.37"/>
    <n v="563124.35"/>
    <s v="Forecast"/>
  </r>
  <r>
    <x v="13"/>
    <x v="0"/>
    <s v="202410"/>
    <n v="25"/>
    <n v="921991.96"/>
    <n v="-6.4939868458428543E-2"/>
    <s v="CohortAvg"/>
    <n v="-2.9848707865100049E-2"/>
    <s v="CohortAvg"/>
    <n v="0.29629191629573509"/>
    <s v="CohortAvg"/>
    <n v="9.0867045259673221E-2"/>
    <s v="CohortAvg_NonZero"/>
    <n v="8.4116136406255939E-5"/>
    <s v="CohortAvg"/>
    <n v="0"/>
    <s v="Zero"/>
    <n v="-1.9401827549064481E-2"/>
    <s v="CohortAvg"/>
    <n v="-2.8559510836775323E-4"/>
    <s v="CohortAvg"/>
    <n v="0"/>
    <n v="-59874.04"/>
    <n v="-27520.27"/>
    <n v="22764.9"/>
    <n v="0"/>
    <n v="77.55"/>
    <n v="-17888.330000000002"/>
    <n v="-263.32"/>
    <n v="857285"/>
    <n v="0.22939300000000001"/>
    <n v="1.1879999999999999"/>
    <n v="0.27252799999999999"/>
    <s v="CohortTrend+Seasonal(1.188)"/>
    <n v="233634.27"/>
    <n v="217768.2"/>
    <n v="15866.07"/>
    <x v="0"/>
    <n v="0"/>
    <n v="0.78500000000000003"/>
    <n v="0.24"/>
    <n v="0"/>
    <n v="0"/>
    <n v="0"/>
    <n v="217768.2"/>
    <n v="921991.96"/>
    <n v="0.23619299999999999"/>
    <n v="15866.07"/>
    <n v="15943.62"/>
    <n v="0"/>
    <n v="15943.62"/>
    <n v="841341.38"/>
    <s v="Forecast"/>
  </r>
  <r>
    <x v="13"/>
    <x v="0"/>
    <s v="202411"/>
    <n v="24"/>
    <n v="979096.85"/>
    <n v="-6.9515896339948965E-2"/>
    <s v="CohortAvg"/>
    <n v="-3.0842160143388381E-2"/>
    <s v="CohortAvg"/>
    <n v="0.31694633078855983"/>
    <s v="CohortAvg"/>
    <n v="8.0970731332932797E-2"/>
    <s v="CohortAvg_NonZero"/>
    <n v="1.195433682456046E-5"/>
    <s v="CohortAvg"/>
    <n v="0"/>
    <s v="Zero"/>
    <n v="-1.866033145546447E-2"/>
    <s v="CohortAvg"/>
    <n v="-3.7360880776461929E-4"/>
    <s v="CohortAvg"/>
    <n v="0"/>
    <n v="-68062.8"/>
    <n v="-30197.46"/>
    <n v="25860.1"/>
    <n v="0"/>
    <n v="11.7"/>
    <n v="-18270.27"/>
    <n v="-365.8"/>
    <n v="906684.99"/>
    <n v="0.22290099999999999"/>
    <n v="1.1879999999999999"/>
    <n v="0.26481500000000002"/>
    <s v="CohortTrend+Seasonal(1.188)"/>
    <n v="240104.11"/>
    <n v="224220.53"/>
    <n v="15883.57"/>
    <x v="0"/>
    <n v="0"/>
    <n v="0.78500000000000003"/>
    <n v="0.24"/>
    <n v="0"/>
    <n v="0"/>
    <n v="0"/>
    <n v="224220.53"/>
    <n v="979096.85"/>
    <n v="0.22900799999999999"/>
    <n v="15883.57"/>
    <n v="15895.28"/>
    <n v="0"/>
    <n v="15895.28"/>
    <n v="890789.71"/>
    <s v="Forecast"/>
  </r>
  <r>
    <x v="13"/>
    <x v="0"/>
    <s v="202412"/>
    <n v="23"/>
    <n v="1129037.1000000001"/>
    <n v="-6.5945323822452231E-2"/>
    <s v="CohortAvg"/>
    <n v="-3.2045832960345917E-2"/>
    <s v="CohortAvg"/>
    <n v="0.32661689444473302"/>
    <s v="CohortAvg"/>
    <n v="7.7365256303843874E-2"/>
    <s v="CohortAvg_NonZero"/>
    <n v="3.5416486585567928E-5"/>
    <s v="CohortAvg"/>
    <n v="0"/>
    <s v="Zero"/>
    <n v="-3.3233868594379719E-2"/>
    <s v="CohortAvg"/>
    <n v="-4.4579158907033772E-4"/>
    <s v="CohortAvg"/>
    <n v="0"/>
    <n v="-74454.720000000001"/>
    <n v="-36180.93"/>
    <n v="30730.22"/>
    <n v="0"/>
    <n v="39.99"/>
    <n v="-37522.269999999997"/>
    <n v="-503.32"/>
    <n v="1049091.68"/>
    <n v="0.22540499999999999"/>
    <n v="1.1879999999999999"/>
    <n v="0.26778999999999997"/>
    <s v="CohortTrend+Seasonal(1.188)"/>
    <n v="280936.32000000001"/>
    <n v="259701.47"/>
    <n v="21234.85"/>
    <x v="0"/>
    <n v="0"/>
    <n v="0.78500000000000003"/>
    <n v="0.24"/>
    <n v="0"/>
    <n v="0"/>
    <n v="0"/>
    <n v="259701.47"/>
    <n v="1129037.1000000001"/>
    <n v="0.23002"/>
    <n v="21234.85"/>
    <n v="21274.84"/>
    <n v="0"/>
    <n v="21274.84"/>
    <n v="1027816.84"/>
    <s v="Forecast"/>
  </r>
  <r>
    <x v="13"/>
    <x v="0"/>
    <s v="202501"/>
    <n v="22"/>
    <n v="1389074.14"/>
    <n v="-6.3513775534243144E-2"/>
    <s v="CohortAvg"/>
    <n v="-3.1445909617771453E-2"/>
    <s v="CohortAvg"/>
    <n v="0.33582975964541861"/>
    <s v="CohortAvg"/>
    <n v="6.7701717257784358E-2"/>
    <s v="CohortAvg_NonZero"/>
    <n v="8.2563378505691256E-5"/>
    <s v="CohortAvg"/>
    <n v="0"/>
    <s v="Zero"/>
    <n v="-4.6148744361362848E-2"/>
    <s v="CohortAvg"/>
    <n v="-9.0830357104480601E-4"/>
    <s v="CohortAvg"/>
    <n v="0"/>
    <n v="-88225.34"/>
    <n v="-43680.7"/>
    <n v="38874.370000000003"/>
    <n v="0"/>
    <n v="114.69"/>
    <n v="-64104.03"/>
    <n v="-1261.7"/>
    <n v="1295927.78"/>
    <n v="0.223998"/>
    <n v="1.1879999999999999"/>
    <n v="0.26611800000000002"/>
    <s v="CohortTrend+Seasonal(1.188)"/>
    <n v="344869.37"/>
    <n v="315905.69"/>
    <n v="28963.68"/>
    <x v="0"/>
    <n v="0"/>
    <n v="0.78500000000000003"/>
    <n v="0.24"/>
    <n v="0"/>
    <n v="0"/>
    <n v="0"/>
    <n v="315905.69"/>
    <n v="1389074.14"/>
    <n v="0.22742200000000001"/>
    <n v="28963.68"/>
    <n v="29078.37"/>
    <n v="0"/>
    <n v="29078.37"/>
    <n v="1266849.4099999999"/>
    <s v="Forecast"/>
  </r>
  <r>
    <x v="13"/>
    <x v="0"/>
    <s v="202502"/>
    <n v="21"/>
    <n v="2139262.17"/>
    <n v="-6.4645622930465177E-2"/>
    <s v="CohortAvg"/>
    <n v="-3.1823188068878461E-2"/>
    <s v="CohortAvg"/>
    <n v="0.35256298181717949"/>
    <s v="CohortAvg"/>
    <n v="3.9796178653277399E-2"/>
    <s v="CohortAvg_NonZero"/>
    <n v="1.173349832100472E-4"/>
    <s v="CohortAvg"/>
    <n v="0"/>
    <s v="Zero"/>
    <n v="-9.9650133881308459E-2"/>
    <s v="CohortAvg"/>
    <n v="-2.154661054102603E-3"/>
    <s v="CohortAvg"/>
    <n v="0"/>
    <n v="-138293.94"/>
    <n v="-68078.14"/>
    <n v="62852.05"/>
    <n v="0"/>
    <n v="251.01"/>
    <n v="-213177.76"/>
    <n v="-4609.38"/>
    <n v="1995491.14"/>
    <n v="0.216088"/>
    <n v="1.1879999999999999"/>
    <n v="0.25672099999999998"/>
    <s v="CohortTrend+Seasonal(1.188)"/>
    <n v="512283.97"/>
    <n v="468740.97"/>
    <n v="43543"/>
    <x v="0"/>
    <n v="0"/>
    <n v="0.78500000000000003"/>
    <n v="0.24"/>
    <n v="0"/>
    <n v="0"/>
    <n v="0"/>
    <n v="468740.97"/>
    <n v="2139262.17"/>
    <n v="0.219113"/>
    <n v="43543"/>
    <n v="43794.01"/>
    <n v="0"/>
    <n v="43794.01"/>
    <n v="1951697.13"/>
    <s v="Forecast"/>
  </r>
  <r>
    <x v="13"/>
    <x v="0"/>
    <s v="202503"/>
    <n v="20"/>
    <n v="3318679.57"/>
    <n v="-5.4837099411373047E-2"/>
    <s v="CohortAvg"/>
    <n v="-3.4949676608536331E-2"/>
    <s v="CohortAvg"/>
    <n v="0.42525936511314549"/>
    <s v="CohortAvg"/>
    <n v="2.337347755521255E-2"/>
    <s v="CohortAvg_NonZero"/>
    <n v="7.113383677036953E-6"/>
    <s v="CohortAvg"/>
    <n v="0"/>
    <s v="Zero"/>
    <n v="0"/>
    <s v="CohortAvg"/>
    <n v="0"/>
    <s v="CohortAvg"/>
    <n v="0"/>
    <n v="-181986.76"/>
    <n v="-115986.78"/>
    <n v="117608.3"/>
    <n v="0"/>
    <n v="23.61"/>
    <n v="0"/>
    <n v="0"/>
    <n v="3138290.72"/>
    <n v="0.21101400000000001"/>
    <n v="1.1879999999999999"/>
    <n v="0.25069200000000003"/>
    <s v="CohortTrend+Seasonal(1.188)"/>
    <n v="786745.62"/>
    <n v="662761.48"/>
    <n v="123984.14"/>
    <x v="0"/>
    <n v="0"/>
    <n v="0.78500000000000003"/>
    <n v="0.24"/>
    <n v="0"/>
    <n v="0"/>
    <n v="0"/>
    <n v="662761.48"/>
    <n v="3318679.57"/>
    <n v="0.19970599999999999"/>
    <n v="123984.14"/>
    <n v="124007.75"/>
    <n v="0"/>
    <n v="124007.75"/>
    <n v="3014282.97"/>
    <s v="Forecast"/>
  </r>
  <r>
    <x v="13"/>
    <x v="0"/>
    <s v="202504"/>
    <n v="19"/>
    <n v="4334862.37"/>
    <n v="-5.3634924731445828E-2"/>
    <s v="CohortAvg"/>
    <n v="-3.7403898184353877E-2"/>
    <s v="CohortAvg"/>
    <n v="0.43764532504344311"/>
    <s v="CohortAvg"/>
    <n v="1.013329171740706E-2"/>
    <s v="CohortAvg_NonZero"/>
    <n v="1.66126579766993E-6"/>
    <s v="CohortAvg"/>
    <n v="0"/>
    <s v="Zero"/>
    <n v="0"/>
    <s v="CohortAvg"/>
    <n v="0"/>
    <s v="CohortAvg"/>
    <n v="0"/>
    <n v="-232500.02"/>
    <n v="-162140.75"/>
    <n v="158094.35"/>
    <n v="0"/>
    <n v="7.2"/>
    <n v="0"/>
    <n v="0"/>
    <n v="4098308.75"/>
    <n v="0.190751"/>
    <n v="1.1879999999999999"/>
    <n v="0.22661899999999999"/>
    <s v="DonorCohort:202101+Seasonal(1.188)"/>
    <n v="928756.33"/>
    <n v="802225.06"/>
    <n v="126531.28"/>
    <x v="0"/>
    <n v="0"/>
    <n v="0.78500000000000003"/>
    <n v="0.24"/>
    <n v="0"/>
    <n v="0"/>
    <n v="0"/>
    <n v="802225.06"/>
    <n v="4334862.37"/>
    <n v="0.18506400000000001"/>
    <n v="126531.28"/>
    <n v="126538.48"/>
    <n v="0"/>
    <n v="126538.48"/>
    <n v="3971770.27"/>
    <s v="Forecast"/>
  </r>
  <r>
    <x v="13"/>
    <x v="0"/>
    <s v="202505"/>
    <n v="18"/>
    <n v="6008040.79"/>
    <n v="-4.6373129848665207E-2"/>
    <s v="CohortAvg"/>
    <n v="-3.6456935704370072E-2"/>
    <s v="CohortAvg"/>
    <n v="0.43953324000467381"/>
    <s v="CohortAvg"/>
    <n v="0"/>
    <s v="CohortAvg_NoData_ERROR"/>
    <n v="9.2139319948918872E-7"/>
    <s v="CohortAvg"/>
    <n v="0"/>
    <s v="Zero"/>
    <n v="0"/>
    <s v="CohortAvg"/>
    <n v="0"/>
    <s v="CohortAvg"/>
    <n v="0"/>
    <n v="-278611.65999999997"/>
    <n v="-219034.76"/>
    <n v="220061.14"/>
    <n v="0"/>
    <n v="5.54"/>
    <n v="0"/>
    <n v="0"/>
    <n v="5730449.9800000004"/>
    <n v="0.17676500000000001"/>
    <n v="1.1879999999999999"/>
    <n v="0.210003"/>
    <s v="DonorCohort:202101+Seasonal(1.188)"/>
    <n v="1203413.32"/>
    <n v="1127597.9099999999"/>
    <n v="75815.41"/>
    <x v="0"/>
    <n v="0"/>
    <n v="0.78500000000000003"/>
    <n v="0.24"/>
    <n v="0"/>
    <n v="0"/>
    <n v="0"/>
    <n v="1127597.9099999999"/>
    <n v="6008040.79"/>
    <n v="0.18768099999999999"/>
    <n v="75815.41"/>
    <n v="75820.95"/>
    <n v="0"/>
    <n v="75820.95"/>
    <n v="5654629.0300000003"/>
    <s v="Forecast"/>
  </r>
  <r>
    <x v="13"/>
    <x v="0"/>
    <s v="202506"/>
    <n v="17"/>
    <n v="6880868.8600000003"/>
    <n v="-4.4787441391696818E-2"/>
    <s v="CohortAvg"/>
    <n v="-3.7864590226006523E-2"/>
    <s v="CohortAvg"/>
    <n v="0.45522010924296719"/>
    <s v="CohortAvg"/>
    <n v="0"/>
    <s v="CohortAvg_NoData_ERROR"/>
    <n v="0"/>
    <s v="CohortAvg"/>
    <n v="0"/>
    <s v="Zero"/>
    <n v="0"/>
    <s v="CohortAvg"/>
    <n v="0"/>
    <s v="CohortAvg"/>
    <n v="0"/>
    <n v="-308176.51"/>
    <n v="-260541.28"/>
    <n v="261025.82"/>
    <n v="0"/>
    <n v="0"/>
    <n v="0"/>
    <n v="0"/>
    <n v="6573176.9000000004"/>
    <n v="0.17926500000000001"/>
    <n v="1.1879999999999999"/>
    <n v="0.212974"/>
    <s v="DonorCohort:202101+Seasonal(1.188)"/>
    <n v="1399915.72"/>
    <n v="1375859.23"/>
    <n v="24056.48"/>
    <x v="0"/>
    <n v="0"/>
    <n v="0.78500000000000003"/>
    <n v="0.24"/>
    <n v="0"/>
    <n v="0"/>
    <n v="0"/>
    <n v="1375859.23"/>
    <n v="6880868.8600000003"/>
    <n v="0.19995399999999999"/>
    <n v="24056.48"/>
    <n v="24056.48"/>
    <n v="0"/>
    <n v="24056.48"/>
    <n v="6549120.4100000001"/>
    <s v="Forecast"/>
  </r>
  <r>
    <x v="13"/>
    <x v="0"/>
    <s v="202507"/>
    <n v="16"/>
    <n v="8772049.8800000008"/>
    <n v="-4.2910342730548827E-2"/>
    <s v="CohortAvg"/>
    <n v="-4.0434948614902981E-2"/>
    <s v="CohortAvg"/>
    <n v="0.45286849787079148"/>
    <s v="CohortAvg"/>
    <n v="0"/>
    <s v="CohortAvg_NoData_ERROR"/>
    <n v="1.3129464535296179E-5"/>
    <s v="CohortAvg"/>
    <n v="0"/>
    <s v="Zero"/>
    <n v="0"/>
    <s v="CohortAvg"/>
    <n v="0"/>
    <s v="CohortAvg"/>
    <n v="0"/>
    <n v="-376411.67"/>
    <n v="-354697.39"/>
    <n v="331048.75"/>
    <n v="0"/>
    <n v="115.17"/>
    <n v="0"/>
    <n v="0"/>
    <n v="8371874.4100000001"/>
    <n v="0.19098799999999999"/>
    <n v="1.1879999999999999"/>
    <n v="0.22690099999999999"/>
    <s v="DonorCohort:202101+Seasonal(1.188)"/>
    <n v="1899584.45"/>
    <n v="1729957.54"/>
    <n v="169626.91"/>
    <x v="0"/>
    <n v="0"/>
    <n v="0.78500000000000003"/>
    <n v="0.24"/>
    <n v="0"/>
    <n v="0"/>
    <n v="0"/>
    <n v="1729957.54"/>
    <n v="8772049.8800000008"/>
    <n v="0.197212"/>
    <n v="169626.91"/>
    <n v="169742.07999999999"/>
    <n v="0"/>
    <n v="169742.07999999999"/>
    <n v="8202132.3300000001"/>
    <s v="Forecast"/>
  </r>
  <r>
    <x v="13"/>
    <x v="0"/>
    <s v="202508"/>
    <n v="15"/>
    <n v="7374854.5800000001"/>
    <n v="-4.8090067024118222E-2"/>
    <s v="CohortAvg"/>
    <n v="-3.2115047392976152E-2"/>
    <s v="CohortAvg"/>
    <n v="0.45198019557345159"/>
    <s v="CohortAvg"/>
    <n v="0"/>
    <s v="CohortAvg_NoData_ERROR"/>
    <n v="1.120629483846341E-5"/>
    <s v="CohortAvg"/>
    <n v="0"/>
    <s v="Zero"/>
    <n v="0"/>
    <s v="CohortAvg"/>
    <n v="0"/>
    <s v="CohortAvg"/>
    <n v="0"/>
    <n v="-354657.25"/>
    <n v="-236843.8"/>
    <n v="277774.02"/>
    <n v="0"/>
    <n v="82.64"/>
    <n v="0"/>
    <n v="0"/>
    <n v="7061044.9000000004"/>
    <n v="0.18836900000000001"/>
    <n v="1.1879999999999999"/>
    <n v="0.22378899999999999"/>
    <s v="DonorCohort:202101+Seasonal(1.188)"/>
    <n v="1580187.07"/>
    <n v="1266227.45"/>
    <n v="313959.62"/>
    <x v="0"/>
    <n v="0"/>
    <n v="0.78500000000000003"/>
    <n v="0.24"/>
    <n v="0"/>
    <n v="0"/>
    <n v="0"/>
    <n v="1266227.45"/>
    <n v="7374854.5800000001"/>
    <n v="0.17169499999999999"/>
    <n v="313959.62"/>
    <n v="314042.26"/>
    <n v="0"/>
    <n v="314042.26"/>
    <n v="6747002.6299999999"/>
    <s v="Forecast"/>
  </r>
  <r>
    <x v="13"/>
    <x v="0"/>
    <s v="202509"/>
    <n v="14"/>
    <n v="210486.14"/>
    <n v="-0.39914737429874841"/>
    <s v="CohortAvg"/>
    <n v="-8.29620583657835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84014.99"/>
    <n v="-17462.36"/>
    <n v="8770.26"/>
    <n v="0"/>
    <n v="0"/>
    <n v="0"/>
    <n v="0"/>
    <n v="117779.04"/>
    <n v="0.163996"/>
    <n v="1.1879999999999999"/>
    <n v="0.19483300000000001"/>
    <s v="DonorCohort:202101+Seasonal(1.188)"/>
    <n v="22947.29"/>
    <n v="40604.379999999997"/>
    <n v="-17657.09"/>
    <x v="0"/>
    <n v="0"/>
    <n v="0.78500000000000003"/>
    <n v="0.24"/>
    <n v="0"/>
    <n v="0"/>
    <n v="0"/>
    <n v="40604.379999999997"/>
    <n v="210486.14"/>
    <n v="0.192908"/>
    <n v="-17657.09"/>
    <n v="-17657.09"/>
    <n v="0"/>
    <n v="-17657.09"/>
    <n v="135436.13"/>
    <s v="Forecast"/>
  </r>
  <r>
    <x v="13"/>
    <x v="1"/>
    <s v="202301"/>
    <n v="36"/>
    <n v="898982.86"/>
    <n v="-8.6857695870011676E-3"/>
    <s v="CohortAvg"/>
    <n v="-4.6350619491408174E-3"/>
    <s v="CohortAvg"/>
    <n v="8.9538381017179036E-2"/>
    <s v="CohortAvg"/>
    <n v="2.3823351359364989E-2"/>
    <s v="CohortAvg_NonZero"/>
    <n v="0"/>
    <s v="CohortAvg"/>
    <n v="0"/>
    <s v="Zero"/>
    <n v="0"/>
    <s v="CohortAvg"/>
    <n v="0"/>
    <s v="CohortAvg"/>
    <n v="0"/>
    <n v="-7808.36"/>
    <n v="-4166.84"/>
    <n v="6707.79"/>
    <n v="0"/>
    <n v="0"/>
    <n v="0"/>
    <n v="0"/>
    <n v="893715.45"/>
    <n v="0.38178499999999999"/>
    <n v="0.55579999999999996"/>
    <n v="0.21218000000000001"/>
    <s v="CohortTrend+Seasonal(0.556)"/>
    <n v="189628.31"/>
    <n v="344000.33"/>
    <n v="-154372.01"/>
    <x v="0"/>
    <n v="0"/>
    <n v="0.78500000000000003"/>
    <n v="0.24"/>
    <n v="0"/>
    <n v="0"/>
    <n v="0"/>
    <n v="344000.33"/>
    <n v="898982.86"/>
    <n v="0.38265500000000002"/>
    <n v="-154372.01"/>
    <n v="-154372.01"/>
    <n v="0"/>
    <n v="-154372.01"/>
    <n v="1048087.47"/>
    <s v="Forecast"/>
  </r>
  <r>
    <x v="13"/>
    <x v="1"/>
    <s v="202404"/>
    <n v="31"/>
    <n v="116632.98"/>
    <n v="-6.3090053615789662E-2"/>
    <s v="CohortAvg"/>
    <n v="-1.5220840911196409E-2"/>
    <s v="CohortAvg"/>
    <n v="0.15660831978732681"/>
    <s v="CohortAvg"/>
    <n v="5.030010090847583E-2"/>
    <s v="CohortAvg_NonZero"/>
    <n v="0"/>
    <s v="CohortAvg"/>
    <n v="0"/>
    <s v="Zero"/>
    <n v="0"/>
    <s v="CohortAvg"/>
    <n v="0"/>
    <s v="CohortAvg"/>
    <n v="0"/>
    <n v="-7358.38"/>
    <n v="-1775.25"/>
    <n v="1522.14"/>
    <n v="0"/>
    <n v="0"/>
    <n v="0"/>
    <n v="0"/>
    <n v="109021.49"/>
    <n v="0.215362"/>
    <n v="0.55579999999999996"/>
    <n v="0.119689"/>
    <s v="CohortTrend+Seasonal(0.556)"/>
    <n v="13048.66"/>
    <n v="25361.46"/>
    <n v="-12312.8"/>
    <x v="0"/>
    <n v="0"/>
    <n v="0.78500000000000003"/>
    <n v="0.24"/>
    <n v="0"/>
    <n v="0"/>
    <n v="0"/>
    <n v="25361.46"/>
    <n v="116632.98"/>
    <n v="0.217447"/>
    <n v="-12312.8"/>
    <n v="-12312.8"/>
    <n v="0"/>
    <n v="-12312.8"/>
    <n v="121334.29"/>
    <s v="Forecast"/>
  </r>
  <r>
    <x v="13"/>
    <x v="1"/>
    <s v="202405"/>
    <n v="30"/>
    <n v="278591.65000000002"/>
    <n v="-1.206115111134224E-2"/>
    <s v="CohortAvg"/>
    <n v="-1.273336853564775E-2"/>
    <s v="CohortAvg"/>
    <n v="0.14739939985847211"/>
    <s v="CohortAvg"/>
    <n v="6.9610506726243138E-2"/>
    <s v="CohortAvg_NonZero"/>
    <n v="1.2665676264971451E-7"/>
    <s v="CohortAvg"/>
    <n v="0"/>
    <s v="Zero"/>
    <n v="0"/>
    <s v="CohortAvg"/>
    <n v="0"/>
    <s v="CohortAvg"/>
    <n v="0"/>
    <n v="-3360.14"/>
    <n v="-3547.41"/>
    <n v="3422.02"/>
    <n v="0"/>
    <n v="0.04"/>
    <n v="0"/>
    <n v="0"/>
    <n v="275106.09000000003"/>
    <n v="0.36328500000000002"/>
    <n v="0.55579999999999996"/>
    <n v="0.201899"/>
    <s v="CohortTrend+Seasonal(0.556)"/>
    <n v="55543.51"/>
    <n v="100249.64"/>
    <n v="-44706.13"/>
    <x v="0"/>
    <n v="0"/>
    <n v="0.78500000000000003"/>
    <n v="0.24"/>
    <n v="0"/>
    <n v="0"/>
    <n v="0"/>
    <n v="100249.64"/>
    <n v="278591.65000000002"/>
    <n v="0.359844"/>
    <n v="-44706.13"/>
    <n v="-44706.1"/>
    <n v="0"/>
    <n v="-44706.1"/>
    <n v="319812.18"/>
    <s v="Forecast"/>
  </r>
  <r>
    <x v="13"/>
    <x v="1"/>
    <s v="202406"/>
    <n v="29"/>
    <n v="161488.93"/>
    <n v="-1.562346953589319E-2"/>
    <s v="CohortAvg"/>
    <n v="-1.4888769152776839E-2"/>
    <s v="CohortAvg"/>
    <n v="0.17826665587329221"/>
    <s v="CohortAvg"/>
    <n v="5.620844502272148E-2"/>
    <s v="CohortAvg_NonZero"/>
    <n v="0"/>
    <s v="CohortAvg"/>
    <n v="0"/>
    <s v="Zero"/>
    <n v="0"/>
    <s v="CohortAvg"/>
    <n v="0"/>
    <s v="CohortAvg"/>
    <n v="0"/>
    <n v="-2523.02"/>
    <n v="-2404.37"/>
    <n v="2399.0100000000002"/>
    <n v="0"/>
    <n v="0"/>
    <n v="0"/>
    <n v="0"/>
    <n v="158960.54999999999"/>
    <n v="0.25358599999999998"/>
    <n v="0.55579999999999996"/>
    <n v="0.140932"/>
    <s v="CohortTrend+Seasonal(0.556)"/>
    <n v="22402.66"/>
    <n v="40690.49"/>
    <n v="-18287.830000000002"/>
    <x v="0"/>
    <n v="0"/>
    <n v="0.78500000000000003"/>
    <n v="0.24"/>
    <n v="0"/>
    <n v="0"/>
    <n v="0"/>
    <n v="40690.49"/>
    <n v="161488.93"/>
    <n v="0.251971"/>
    <n v="-18287.830000000002"/>
    <n v="-18287.830000000002"/>
    <n v="0"/>
    <n v="-18287.830000000002"/>
    <n v="177248.38"/>
    <s v="Forecast"/>
  </r>
  <r>
    <x v="13"/>
    <x v="1"/>
    <s v="202407"/>
    <n v="28"/>
    <n v="188845.07"/>
    <n v="-4.2373023306400408E-2"/>
    <s v="CohortAvg"/>
    <n v="-1.5325600079108961E-2"/>
    <s v="CohortAvg"/>
    <n v="0.16910774861630609"/>
    <s v="CohortAvg"/>
    <n v="8.2761551975630079E-2"/>
    <s v="CohortAvg_NonZero"/>
    <n v="0"/>
    <s v="CohortAvg"/>
    <n v="0"/>
    <s v="Zero"/>
    <n v="0"/>
    <s v="CohortAvg"/>
    <n v="0"/>
    <s v="CohortAvg"/>
    <n v="0"/>
    <n v="-8001.94"/>
    <n v="-2894.16"/>
    <n v="2661.26"/>
    <n v="0"/>
    <n v="0"/>
    <n v="0"/>
    <n v="0"/>
    <n v="180610.24"/>
    <n v="0.23233599999999999"/>
    <n v="0.55579999999999996"/>
    <n v="0.12912199999999999"/>
    <s v="CohortTrend+Seasonal(0.556)"/>
    <n v="23320.84"/>
    <n v="43885.55"/>
    <n v="-20564.71"/>
    <x v="0"/>
    <n v="0"/>
    <n v="0.78500000000000003"/>
    <n v="0.24"/>
    <n v="0"/>
    <n v="0"/>
    <n v="0"/>
    <n v="43885.55"/>
    <n v="188845.07"/>
    <n v="0.23238900000000001"/>
    <n v="-20564.71"/>
    <n v="-20564.71"/>
    <n v="0"/>
    <n v="-20564.71"/>
    <n v="201174.95"/>
    <s v="Forecast"/>
  </r>
  <r>
    <x v="13"/>
    <x v="1"/>
    <s v="202408"/>
    <n v="27"/>
    <n v="170819.35"/>
    <n v="-6.1873311392720683E-2"/>
    <s v="CohortAvg"/>
    <n v="-1.6592115089494749E-2"/>
    <s v="CohortAvg"/>
    <n v="0.18295715809417859"/>
    <s v="CohortAvg"/>
    <n v="0.1104761026857973"/>
    <s v="CohortAvg_NonZero"/>
    <n v="4.0485334117598308E-10"/>
    <s v="CohortAvg"/>
    <n v="0"/>
    <s v="Zero"/>
    <n v="0"/>
    <s v="CohortAvg"/>
    <n v="0"/>
    <s v="CohortAvg"/>
    <n v="0"/>
    <n v="-10569.16"/>
    <n v="-2834.25"/>
    <n v="2604.39"/>
    <n v="0"/>
    <n v="0"/>
    <n v="0"/>
    <n v="0"/>
    <n v="160020.32"/>
    <n v="0.238619"/>
    <n v="0.55579999999999996"/>
    <n v="0.13261400000000001"/>
    <s v="CohortTrend+Seasonal(0.556)"/>
    <n v="21220.959999999999"/>
    <n v="40695.78"/>
    <n v="-19474.82"/>
    <x v="0"/>
    <n v="0"/>
    <n v="0.78500000000000003"/>
    <n v="0.24"/>
    <n v="0"/>
    <n v="0"/>
    <n v="0"/>
    <n v="40695.78"/>
    <n v="170819.35"/>
    <n v="0.23823900000000001"/>
    <n v="-19474.82"/>
    <n v="-19474.82"/>
    <n v="0"/>
    <n v="-19474.82"/>
    <n v="179495.14"/>
    <s v="Forecast"/>
  </r>
  <r>
    <x v="13"/>
    <x v="1"/>
    <s v="202409"/>
    <n v="26"/>
    <n v="331172.86"/>
    <n v="-4.0786052974309678E-2"/>
    <s v="CohortAvg"/>
    <n v="-1.5077434987907709E-2"/>
    <s v="CohortAvg"/>
    <n v="0.1823606845426774"/>
    <s v="CohortAvg"/>
    <n v="3.180908346491302E-2"/>
    <s v="CohortAvg_NonZero"/>
    <n v="0"/>
    <s v="CohortAvg"/>
    <n v="0"/>
    <s v="Zero"/>
    <n v="0"/>
    <s v="CohortAvg"/>
    <n v="0"/>
    <s v="CohortAvg"/>
    <n v="0"/>
    <n v="-13507.23"/>
    <n v="-4993.24"/>
    <n v="5032.74"/>
    <n v="0"/>
    <n v="0"/>
    <n v="0"/>
    <n v="0"/>
    <n v="317705.13"/>
    <n v="0.26767400000000002"/>
    <n v="0.55579999999999996"/>
    <n v="0.14876200000000001"/>
    <s v="CohortTrend+Seasonal(0.556)"/>
    <n v="47262.38"/>
    <n v="87555.29"/>
    <n v="-40292.910000000003"/>
    <x v="0"/>
    <n v="0"/>
    <n v="0.78500000000000003"/>
    <n v="0.24"/>
    <n v="0"/>
    <n v="0"/>
    <n v="0"/>
    <n v="87555.29"/>
    <n v="331172.86"/>
    <n v="0.26437899999999998"/>
    <n v="-40292.910000000003"/>
    <n v="-40292.910000000003"/>
    <n v="0"/>
    <n v="-40292.910000000003"/>
    <n v="357998.04"/>
    <s v="Forecast"/>
  </r>
  <r>
    <x v="13"/>
    <x v="1"/>
    <s v="202410"/>
    <n v="25"/>
    <n v="313815.83"/>
    <n v="-1.2775429053628089E-2"/>
    <s v="CohortAvg"/>
    <n v="-1.8252877109083281E-2"/>
    <s v="CohortAvg"/>
    <n v="0.18760597191748141"/>
    <s v="CohortAvg"/>
    <n v="3.5381132824302892E-2"/>
    <s v="CohortAvg_NonZero"/>
    <n v="1.77624248406825E-7"/>
    <s v="CohortAvg"/>
    <n v="0"/>
    <s v="Zero"/>
    <n v="0"/>
    <s v="CohortAvg"/>
    <n v="0"/>
    <s v="CohortAvg"/>
    <n v="0"/>
    <n v="-4009.13"/>
    <n v="-5728.04"/>
    <n v="4906.1400000000003"/>
    <n v="0"/>
    <n v="0.06"/>
    <n v="0"/>
    <n v="0"/>
    <n v="308984.74"/>
    <n v="0.26374399999999998"/>
    <n v="0.55579999999999996"/>
    <n v="0.14657800000000001"/>
    <s v="CohortTrend+Seasonal(0.556)"/>
    <n v="45290.22"/>
    <n v="81479.759999999995"/>
    <n v="-36189.54"/>
    <x v="0"/>
    <n v="0"/>
    <n v="0.78500000000000003"/>
    <n v="0.24"/>
    <n v="0"/>
    <n v="0"/>
    <n v="0"/>
    <n v="81479.759999999995"/>
    <n v="313815.83"/>
    <n v="0.25964199999999998"/>
    <n v="-36189.54"/>
    <n v="-36189.49"/>
    <n v="0"/>
    <n v="-36189.49"/>
    <n v="345174.23"/>
    <s v="Forecast"/>
  </r>
  <r>
    <x v="13"/>
    <x v="1"/>
    <s v="202411"/>
    <n v="24"/>
    <n v="301618.53999999998"/>
    <n v="-4.433675250724136E-2"/>
    <s v="CohortAvg"/>
    <n v="-1.4802194803217209E-2"/>
    <s v="CohortAvg"/>
    <n v="0.17339450601819481"/>
    <s v="CohortAvg"/>
    <n v="3.2445317434820542E-2"/>
    <s v="CohortAvg_NonZero"/>
    <n v="0"/>
    <s v="CohortAvg"/>
    <n v="0"/>
    <s v="Zero"/>
    <n v="0"/>
    <s v="CohortAvg"/>
    <n v="0"/>
    <s v="CohortAvg"/>
    <n v="0"/>
    <n v="-13372.79"/>
    <n v="-4464.62"/>
    <n v="4358.25"/>
    <n v="0"/>
    <n v="0"/>
    <n v="0"/>
    <n v="0"/>
    <n v="288139.39"/>
    <n v="0.219194"/>
    <n v="0.55579999999999996"/>
    <n v="0.121819"/>
    <s v="CohortTrend+Seasonal(0.556)"/>
    <n v="35100.730000000003"/>
    <n v="66042.570000000007"/>
    <n v="-30941.84"/>
    <x v="0"/>
    <n v="0"/>
    <n v="0.78500000000000003"/>
    <n v="0.24"/>
    <n v="0"/>
    <n v="0"/>
    <n v="0"/>
    <n v="66042.570000000007"/>
    <n v="301618.53999999998"/>
    <n v="0.21896099999999999"/>
    <n v="-30941.84"/>
    <n v="-30941.84"/>
    <n v="0"/>
    <n v="-30941.84"/>
    <n v="319081.23"/>
    <s v="Forecast"/>
  </r>
  <r>
    <x v="13"/>
    <x v="1"/>
    <s v="202412"/>
    <n v="23"/>
    <n v="19313.52"/>
    <n v="-8.58571637834038E-3"/>
    <s v="CohortAvg"/>
    <n v="-1.2419796663447341E-2"/>
    <s v="CohortAvg"/>
    <n v="0.14566896177125471"/>
    <s v="CohortAvg"/>
    <n v="0.2"/>
    <s v="CohortAvg_NonZero"/>
    <n v="0"/>
    <s v="CohortAvg"/>
    <n v="0"/>
    <s v="Zero"/>
    <n v="0"/>
    <s v="CohortAvg"/>
    <n v="0"/>
    <s v="CohortAvg"/>
    <n v="0"/>
    <n v="-165.82"/>
    <n v="-239.87"/>
    <n v="234.45"/>
    <n v="0"/>
    <n v="0"/>
    <n v="0"/>
    <n v="0"/>
    <n v="19142.28"/>
    <n v="0.204736"/>
    <n v="0.55579999999999996"/>
    <n v="0.113784"/>
    <s v="CohortTrend+Seasonal(0.556)"/>
    <n v="2178.08"/>
    <n v="3958.98"/>
    <n v="-1780.9"/>
    <x v="0"/>
    <n v="0"/>
    <n v="0.78500000000000003"/>
    <n v="0.24"/>
    <n v="0"/>
    <n v="0"/>
    <n v="0"/>
    <n v="3958.98"/>
    <n v="19313.52"/>
    <n v="0.204985"/>
    <n v="-1780.9"/>
    <n v="-1780.9"/>
    <n v="0"/>
    <n v="-1780.9"/>
    <n v="20923.18"/>
    <s v="Forecast"/>
  </r>
  <r>
    <x v="13"/>
    <x v="1"/>
    <s v="202501"/>
    <n v="22"/>
    <n v="49295.9"/>
    <n v="-1.528561853943777E-2"/>
    <s v="CohortAvg"/>
    <n v="-1.7522936735373269E-2"/>
    <s v="CohortAvg"/>
    <n v="0.20437221250194179"/>
    <s v="CohortAvg"/>
    <n v="0"/>
    <s v="CohortAvg_NoData_ERROR"/>
    <n v="0"/>
    <s v="CohortAvg"/>
    <n v="0"/>
    <s v="Zero"/>
    <n v="0"/>
    <s v="CohortAvg"/>
    <n v="0"/>
    <s v="CohortAvg"/>
    <n v="0"/>
    <n v="-753.52"/>
    <n v="-863.81"/>
    <n v="839.56"/>
    <n v="0"/>
    <n v="0"/>
    <n v="0"/>
    <n v="0"/>
    <n v="48518.13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49295.9"/>
    <n v="0"/>
    <n v="0"/>
    <n v="0"/>
    <n v="0"/>
    <n v="0"/>
    <n v="48518.13"/>
    <s v="Forecast"/>
  </r>
  <r>
    <x v="13"/>
    <x v="1"/>
    <s v="202502"/>
    <n v="21"/>
    <n v="103981.75999999999"/>
    <n v="-1.384053404387779E-2"/>
    <s v="CohortAvg"/>
    <n v="-1.89145511849973E-2"/>
    <s v="CohortAvg"/>
    <n v="0.19411423559859781"/>
    <s v="CohortAvg"/>
    <n v="0"/>
    <s v="CohortAvg_NoData_ERROR"/>
    <n v="0"/>
    <s v="CohortAvg"/>
    <n v="0"/>
    <s v="Zero"/>
    <n v="0"/>
    <s v="CohortAvg"/>
    <n v="0"/>
    <s v="CohortAvg"/>
    <n v="0"/>
    <n v="-1439.16"/>
    <n v="-1966.77"/>
    <n v="1682.03"/>
    <n v="0"/>
    <n v="0"/>
    <n v="0"/>
    <n v="0"/>
    <n v="102257.85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03981.75999999999"/>
    <n v="0"/>
    <n v="0"/>
    <n v="0"/>
    <n v="0"/>
    <n v="0"/>
    <n v="102257.85"/>
    <s v="Forecast"/>
  </r>
  <r>
    <x v="13"/>
    <x v="1"/>
    <s v="202503"/>
    <n v="20"/>
    <n v="76285.63"/>
    <n v="-9.8307128985775875E-3"/>
    <s v="CohortAvg"/>
    <n v="-1.380759909190111E-2"/>
    <s v="CohortAvg"/>
    <n v="0.2083429717362951"/>
    <s v="CohortAvg"/>
    <n v="0"/>
    <s v="CohortAvg_NoData_ERROR"/>
    <n v="0"/>
    <s v="CohortAvg"/>
    <n v="0"/>
    <s v="Zero"/>
    <n v="0"/>
    <s v="CohortAvg"/>
    <n v="0"/>
    <s v="CohortAvg"/>
    <n v="0"/>
    <n v="-749.94"/>
    <n v="-1053.32"/>
    <n v="1324.46"/>
    <n v="0"/>
    <n v="0"/>
    <n v="0"/>
    <n v="0"/>
    <n v="75806.83"/>
    <n v="0.214201"/>
    <n v="0.55579999999999996"/>
    <n v="0.119044"/>
    <s v="CohortTrend+Seasonal(0.556)"/>
    <n v="9024.35"/>
    <n v="14602.16"/>
    <n v="-5577.81"/>
    <x v="0"/>
    <n v="0"/>
    <n v="0.78500000000000003"/>
    <n v="0.24"/>
    <n v="0"/>
    <n v="0"/>
    <n v="0"/>
    <n v="14602.16"/>
    <n v="76285.63"/>
    <n v="0.191414"/>
    <n v="-5577.81"/>
    <n v="-5577.81"/>
    <n v="0"/>
    <n v="-5577.81"/>
    <n v="81384.639999999999"/>
    <s v="Forecast"/>
  </r>
  <r>
    <x v="13"/>
    <x v="1"/>
    <s v="202504"/>
    <n v="19"/>
    <n v="47914.23"/>
    <n v="-2.070757587137095E-2"/>
    <s v="CohortAvg"/>
    <n v="-1.6747546048730841E-2"/>
    <s v="CohortAvg"/>
    <n v="0.2022403129570487"/>
    <s v="CohortAvg"/>
    <n v="0"/>
    <s v="CohortAvg_NoData_ERROR"/>
    <n v="0"/>
    <s v="CohortAvg"/>
    <n v="0"/>
    <s v="Zero"/>
    <n v="0"/>
    <s v="CohortAvg"/>
    <n v="0"/>
    <s v="CohortAvg"/>
    <n v="0"/>
    <n v="-992.19"/>
    <n v="-802.45"/>
    <n v="807.52"/>
    <n v="0"/>
    <n v="0"/>
    <n v="0"/>
    <n v="0"/>
    <n v="46927.11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47914.23"/>
    <n v="0"/>
    <n v="0"/>
    <n v="0"/>
    <n v="0"/>
    <n v="0"/>
    <n v="46927.11"/>
    <s v="Forecast"/>
  </r>
  <r>
    <x v="13"/>
    <x v="1"/>
    <s v="202505"/>
    <n v="18"/>
    <n v="14745.64"/>
    <n v="-1.016785454834146E-2"/>
    <s v="CohortAvg"/>
    <n v="-1.6603651771129609E-2"/>
    <s v="CohortAvg"/>
    <n v="0.20073162508650891"/>
    <s v="CohortAvg"/>
    <n v="0"/>
    <s v="CohortAvg_NoData_ERROR"/>
    <n v="0"/>
    <s v="CohortAvg"/>
    <n v="0"/>
    <s v="Zero"/>
    <n v="0"/>
    <s v="CohortAvg"/>
    <n v="0"/>
    <s v="CohortAvg"/>
    <n v="0"/>
    <n v="-149.93"/>
    <n v="-244.83"/>
    <n v="246.66"/>
    <n v="0"/>
    <n v="0"/>
    <n v="0"/>
    <n v="0"/>
    <n v="14597.54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4745.64"/>
    <n v="0"/>
    <n v="0"/>
    <n v="0"/>
    <n v="0"/>
    <n v="0"/>
    <n v="14597.54"/>
    <s v="Forecast"/>
  </r>
  <r>
    <x v="13"/>
    <x v="1"/>
    <s v="202506"/>
    <n v="17"/>
    <n v="25759.13"/>
    <n v="-1.4173727543586071E-2"/>
    <s v="CohortAvg"/>
    <n v="-1.675665027705529E-2"/>
    <s v="CohortAvg"/>
    <n v="0.19468119935673689"/>
    <s v="CohortAvg"/>
    <n v="0"/>
    <s v="CohortAvg_NoData_ERROR"/>
    <n v="0"/>
    <s v="CohortAvg"/>
    <n v="0"/>
    <s v="Zero"/>
    <n v="0"/>
    <s v="CohortAvg"/>
    <n v="0"/>
    <s v="CohortAvg"/>
    <n v="0"/>
    <n v="-365.1"/>
    <n v="-431.64"/>
    <n v="417.9"/>
    <n v="0"/>
    <n v="0"/>
    <n v="0"/>
    <n v="0"/>
    <n v="25380.3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25759.13"/>
    <n v="0"/>
    <n v="0"/>
    <n v="0"/>
    <n v="0"/>
    <n v="0"/>
    <n v="25380.3"/>
    <s v="Forecast"/>
  </r>
  <r>
    <x v="13"/>
    <x v="1"/>
    <s v="202507"/>
    <n v="16"/>
    <n v="101446"/>
    <n v="-1.129608159373321E-2"/>
    <s v="CohortAvg"/>
    <n v="-1.8231983805052449E-2"/>
    <s v="CohortAvg"/>
    <n v="0.2019708814243335"/>
    <s v="CohortAvg"/>
    <n v="0"/>
    <s v="CohortAvg_NoData_ERROR"/>
    <n v="0"/>
    <s v="CohortAvg"/>
    <n v="0"/>
    <s v="Zero"/>
    <n v="0"/>
    <s v="CohortAvg"/>
    <n v="0"/>
    <s v="CohortAvg"/>
    <n v="0"/>
    <n v="-1145.94"/>
    <n v="-1849.56"/>
    <n v="1707.43"/>
    <n v="0"/>
    <n v="0"/>
    <n v="0"/>
    <n v="0"/>
    <n v="100157.92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01446"/>
    <n v="0"/>
    <n v="0"/>
    <n v="0"/>
    <n v="0"/>
    <n v="0"/>
    <n v="100157.92"/>
    <s v="Forecast"/>
  </r>
  <r>
    <x v="13"/>
    <x v="1"/>
    <s v="202508"/>
    <n v="15"/>
    <n v="41551.730000000003"/>
    <n v="-1.4749148080163031E-2"/>
    <s v="CohortAvg"/>
    <n v="-1.482427701631994E-2"/>
    <s v="CohortAvg"/>
    <n v="0.18248914006262229"/>
    <s v="CohortAvg"/>
    <n v="0"/>
    <s v="CohortAvg_NoData_ERROR"/>
    <n v="0"/>
    <s v="CohortAvg"/>
    <n v="0"/>
    <s v="Zero"/>
    <n v="0"/>
    <s v="CohortAvg"/>
    <n v="0"/>
    <s v="CohortAvg"/>
    <n v="0"/>
    <n v="-612.85"/>
    <n v="-615.97"/>
    <n v="631.89"/>
    <n v="0"/>
    <n v="0"/>
    <n v="0"/>
    <n v="0"/>
    <n v="40954.79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41551.730000000003"/>
    <n v="0"/>
    <n v="0"/>
    <n v="0"/>
    <n v="0"/>
    <n v="0"/>
    <n v="40954.79"/>
    <s v="Forecast"/>
  </r>
  <r>
    <x v="13"/>
    <x v="1"/>
    <s v="202509"/>
    <n v="14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0.55579999999999996"/>
    <n v="0"/>
    <s v="Manual+Seasonal(0.556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3"/>
    <x v="2"/>
    <s v="202101"/>
    <n v="70"/>
    <n v="215552.82"/>
    <n v="-0.1925189373998388"/>
    <s v="CohortAvg"/>
    <n v="-1.4260911632230059E-2"/>
    <s v="CohortAvg"/>
    <n v="0.1560278056859625"/>
    <s v="CohortAvg"/>
    <n v="1.7867093821322341E-2"/>
    <s v="CohortAvg_NonZero"/>
    <n v="0"/>
    <s v="CohortAvg"/>
    <n v="0"/>
    <s v="Zero"/>
    <n v="0"/>
    <s v="CohortAvg"/>
    <n v="0"/>
    <s v="CohortAvg"/>
    <n v="0"/>
    <n v="-41498"/>
    <n v="-3073.98"/>
    <n v="2802.69"/>
    <n v="0"/>
    <n v="0"/>
    <n v="0"/>
    <n v="0"/>
    <n v="173783.52"/>
    <n v="0.26070199999999999"/>
    <n v="0.97519999999999996"/>
    <n v="0.25423800000000002"/>
    <s v="CohortAvg+Seasonal(0.975)"/>
    <n v="44182.36"/>
    <n v="60448.19"/>
    <n v="-16265.83"/>
    <x v="0"/>
    <n v="0"/>
    <n v="0.78500000000000003"/>
    <n v="0.24"/>
    <n v="0"/>
    <n v="0"/>
    <n v="0"/>
    <n v="60448.19"/>
    <n v="215552.82"/>
    <n v="0.28043299999999999"/>
    <n v="-16265.83"/>
    <n v="-16265.83"/>
    <n v="0"/>
    <n v="-16265.83"/>
    <n v="190049.35"/>
    <s v="Forecast"/>
  </r>
  <r>
    <x v="13"/>
    <x v="2"/>
    <s v="202201"/>
    <n v="50"/>
    <n v="66608.22"/>
    <n v="-6.4561783317561461E-2"/>
    <s v="CohortAvg"/>
    <n v="-1.34616663879623E-2"/>
    <s v="CohortAvg"/>
    <n v="0.1498149498449601"/>
    <s v="CohortAvg"/>
    <n v="3.4295565267836448E-2"/>
    <s v="CohortAvg_NonZero"/>
    <n v="3.9828802096781468E-7"/>
    <s v="CohortAvg"/>
    <n v="0"/>
    <s v="Zero"/>
    <n v="-5.3232054746858598E-6"/>
    <s v="CohortAvg"/>
    <n v="-2.4033318687524291E-8"/>
    <s v="CohortAvg"/>
    <n v="0"/>
    <n v="-4300.3500000000004"/>
    <n v="-896.66"/>
    <n v="831.58"/>
    <n v="0"/>
    <n v="0.03"/>
    <n v="-0.35"/>
    <n v="0"/>
    <n v="62242.76"/>
    <n v="0.18643399999999999"/>
    <n v="0.97519999999999996"/>
    <n v="0.181812"/>
    <s v="CohortAvg+Seasonal(0.975)"/>
    <n v="11316.46"/>
    <n v="13394"/>
    <n v="-2077.54"/>
    <x v="0"/>
    <n v="0"/>
    <n v="0.78500000000000003"/>
    <n v="0.24"/>
    <n v="0"/>
    <n v="0"/>
    <n v="0"/>
    <n v="13394"/>
    <n v="66608.22"/>
    <n v="0.20108599999999999"/>
    <n v="-2077.54"/>
    <n v="-2077.5100000000002"/>
    <n v="0"/>
    <n v="-2077.5100000000002"/>
    <n v="64320.28"/>
    <s v="Forecast"/>
  </r>
  <r>
    <x v="13"/>
    <x v="2"/>
    <s v="202301"/>
    <n v="41"/>
    <n v="6456324.79"/>
    <n v="-3.6032770262091562E-2"/>
    <s v="CohortAvg"/>
    <n v="-1.533062584013205E-2"/>
    <s v="CohortAvg"/>
    <n v="0.1743268789111406"/>
    <s v="CohortAvg"/>
    <n v="1.8535002481414539E-2"/>
    <s v="CohortAvg_NonZero"/>
    <n v="3.7255878783312479E-8"/>
    <s v="CohortAvg"/>
    <n v="0"/>
    <s v="Zero"/>
    <n v="-1.09206896576646E-4"/>
    <s v="CohortAvg"/>
    <n v="-2.7031296206769931E-7"/>
    <s v="CohortAvg"/>
    <n v="0"/>
    <n v="-232639.27"/>
    <n v="-98979.5"/>
    <n v="93792.58"/>
    <n v="0"/>
    <n v="0.24"/>
    <n v="-705.08"/>
    <n v="-1.75"/>
    <n v="6218498.3600000003"/>
    <n v="0.21637100000000001"/>
    <n v="0.97519999999999996"/>
    <n v="0.211006"/>
    <s v="CohortAvg+Seasonal(0.975)"/>
    <n v="1312139.53"/>
    <n v="1483174.32"/>
    <n v="-171034.8"/>
    <x v="0"/>
    <n v="0"/>
    <n v="0.78500000000000003"/>
    <n v="0.24"/>
    <n v="0"/>
    <n v="0"/>
    <n v="0"/>
    <n v="1483174.32"/>
    <n v="6456324.79"/>
    <n v="0.22972400000000001"/>
    <n v="-171034.8"/>
    <n v="-171034.56"/>
    <n v="0"/>
    <n v="-171034.56"/>
    <n v="6389532.9199999999"/>
    <s v="Forecast"/>
  </r>
  <r>
    <x v="13"/>
    <x v="2"/>
    <s v="202404"/>
    <n v="31"/>
    <n v="1559530.07"/>
    <n v="-4.2718267343037013E-2"/>
    <s v="CohortAvg"/>
    <n v="-1.6103982624401748E-2"/>
    <s v="CohortAvg"/>
    <n v="0.17591750606284781"/>
    <s v="CohortAvg"/>
    <n v="2.1352047604818739E-2"/>
    <s v="CohortAvg_NonZero"/>
    <n v="1.7507616284202831E-7"/>
    <s v="CohortAvg"/>
    <n v="0"/>
    <s v="Zero"/>
    <n v="-2.451354686500545E-3"/>
    <s v="CohortAvg"/>
    <n v="-1.145552655271231E-5"/>
    <s v="CohortAvg"/>
    <n v="0"/>
    <n v="-66620.42"/>
    <n v="-25114.65"/>
    <n v="22862.39"/>
    <n v="0"/>
    <n v="0.27"/>
    <n v="-3822.96"/>
    <n v="-17.87"/>
    <n v="1490657.11"/>
    <n v="0.182924"/>
    <n v="0.97519999999999996"/>
    <n v="0.17838899999999999"/>
    <s v="CohortTrend+Seasonal(0.975)"/>
    <n v="265916.28000000003"/>
    <n v="298092.99"/>
    <n v="-32176.71"/>
    <x v="0"/>
    <n v="0"/>
    <n v="0.78500000000000003"/>
    <n v="0.24"/>
    <n v="0"/>
    <n v="0"/>
    <n v="0"/>
    <n v="298092.99"/>
    <n v="1559530.07"/>
    <n v="0.19114300000000001"/>
    <n v="-32176.71"/>
    <n v="-32176.43"/>
    <n v="0"/>
    <n v="-32176.43"/>
    <n v="1522833.55"/>
    <s v="Forecast"/>
  </r>
  <r>
    <x v="13"/>
    <x v="2"/>
    <s v="202405"/>
    <n v="30"/>
    <n v="1797903.61"/>
    <n v="-1.9182190739656449E-2"/>
    <s v="CohortAvg"/>
    <n v="-1.511842126569949E-2"/>
    <s v="CohortAvg"/>
    <n v="0.17329227569744771"/>
    <s v="CohortAvg"/>
    <n v="3.1578077448815141E-2"/>
    <s v="CohortAvg_NonZero"/>
    <n v="1.7870050904322621E-7"/>
    <s v="CohortAvg"/>
    <n v="0"/>
    <s v="Zero"/>
    <n v="-5.6593878018493396E-3"/>
    <s v="CohortAvg"/>
    <n v="-3.4222722598609372E-5"/>
    <s v="CohortAvg"/>
    <n v="0"/>
    <n v="-34487.730000000003"/>
    <n v="-27181.46"/>
    <n v="25963.57"/>
    <n v="0"/>
    <n v="0.32"/>
    <n v="-10175.030000000001"/>
    <n v="-61.53"/>
    <n v="1762197.66"/>
    <n v="0.155274"/>
    <n v="0.97519999999999996"/>
    <n v="0.151424"/>
    <s v="CohortTrend+Seasonal(0.975)"/>
    <n v="266838.31"/>
    <n v="291691.63"/>
    <n v="-24853.32"/>
    <x v="0"/>
    <n v="0"/>
    <n v="0.78500000000000003"/>
    <n v="0.24"/>
    <n v="0"/>
    <n v="0"/>
    <n v="0"/>
    <n v="291691.63"/>
    <n v="1797903.61"/>
    <n v="0.16224"/>
    <n v="-24853.32"/>
    <n v="-24853"/>
    <n v="0"/>
    <n v="-24853"/>
    <n v="1787050.67"/>
    <s v="Forecast"/>
  </r>
  <r>
    <x v="13"/>
    <x v="2"/>
    <s v="202406"/>
    <n v="29"/>
    <n v="1370690.85"/>
    <n v="-2.7649406554817249E-2"/>
    <s v="CohortAvg"/>
    <n v="-1.514061506619345E-2"/>
    <s v="CohortAvg"/>
    <n v="0.17190913412782949"/>
    <s v="CohortAvg"/>
    <n v="6.2436507076618832E-2"/>
    <s v="CohortAvg_NonZero"/>
    <n v="1.5527671238881161E-7"/>
    <s v="CohortAvg"/>
    <n v="0"/>
    <s v="Zero"/>
    <n v="-3.5181062761419839E-3"/>
    <s v="CohortAvg"/>
    <n v="-5.454709953926531E-5"/>
    <s v="CohortAvg"/>
    <n v="0"/>
    <n v="-37898.79"/>
    <n v="-20753.099999999999"/>
    <n v="19636.189999999999"/>
    <n v="0"/>
    <n v="0.21"/>
    <n v="-4822.24"/>
    <n v="-74.77"/>
    <n v="1331674.94"/>
    <n v="0.15997400000000001"/>
    <n v="0.97519999999999996"/>
    <n v="0.15600700000000001"/>
    <s v="CohortTrend+Seasonal(0.975)"/>
    <n v="207750.9"/>
    <n v="229552.53"/>
    <n v="-21801.63"/>
    <x v="0"/>
    <n v="0"/>
    <n v="0.78500000000000003"/>
    <n v="0.24"/>
    <n v="0"/>
    <n v="0"/>
    <n v="0"/>
    <n v="229552.53"/>
    <n v="1370690.85"/>
    <n v="0.16747200000000001"/>
    <n v="-21801.63"/>
    <n v="-21801.42"/>
    <n v="0"/>
    <n v="-21801.42"/>
    <n v="1353476.36"/>
    <s v="Forecast"/>
  </r>
  <r>
    <x v="13"/>
    <x v="2"/>
    <s v="202407"/>
    <n v="28"/>
    <n v="2648152.27"/>
    <n v="-2.728191565438802E-2"/>
    <s v="CohortAvg"/>
    <n v="-1.5651299521866051E-2"/>
    <s v="CohortAvg"/>
    <n v="0.1758819441538815"/>
    <s v="CohortAvg"/>
    <n v="3.1650983414480367E-2"/>
    <s v="CohortAvg_NonZero"/>
    <n v="6.590385719167001E-6"/>
    <s v="CohortAvg"/>
    <n v="0"/>
    <s v="Zero"/>
    <n v="-4.9029545834168766E-3"/>
    <s v="CohortAvg"/>
    <n v="-4.1155718025864678E-5"/>
    <s v="CohortAvg"/>
    <n v="0"/>
    <n v="-72246.67"/>
    <n v="-41447.019999999997"/>
    <n v="38813.51"/>
    <n v="0"/>
    <n v="17.45"/>
    <n v="-12983.77"/>
    <n v="-108.99"/>
    <n v="2573254.64"/>
    <n v="0.13714499999999999"/>
    <n v="0.97519999999999996"/>
    <n v="0.133744"/>
    <s v="CohortTrend+Seasonal(0.975)"/>
    <n v="344157.79"/>
    <n v="378971.16"/>
    <n v="-34813.370000000003"/>
    <x v="0"/>
    <n v="0"/>
    <n v="0.78500000000000003"/>
    <n v="0.24"/>
    <n v="0"/>
    <n v="0"/>
    <n v="0"/>
    <n v="378971.16"/>
    <n v="2648152.27"/>
    <n v="0.14310800000000001"/>
    <n v="-34813.370000000003"/>
    <n v="-34795.919999999998"/>
    <n v="0"/>
    <n v="-34795.919999999998"/>
    <n v="2608050.56"/>
    <s v="Forecast"/>
  </r>
  <r>
    <x v="13"/>
    <x v="2"/>
    <s v="202408"/>
    <n v="27"/>
    <n v="1952188.26"/>
    <n v="-2.399338381735017E-2"/>
    <s v="CohortAvg"/>
    <n v="-1.648463177996282E-2"/>
    <s v="CohortAvg"/>
    <n v="0.18802632834569141"/>
    <s v="CohortAvg"/>
    <n v="2.1603645053717851E-2"/>
    <s v="CohortAvg_NonZero"/>
    <n v="6.2686712246869882E-8"/>
    <s v="CohortAvg"/>
    <n v="0"/>
    <s v="Zero"/>
    <n v="-2.2181423543567629E-3"/>
    <s v="CohortAvg"/>
    <n v="-2.3956071397347099E-5"/>
    <s v="CohortAvg"/>
    <n v="0"/>
    <n v="-46839.6"/>
    <n v="-32181.1"/>
    <n v="30588.57"/>
    <n v="0"/>
    <n v="0.12"/>
    <n v="-4330.2299999999996"/>
    <n v="-46.77"/>
    <n v="1903755.99"/>
    <n v="0.13742799999999999"/>
    <n v="0.97519999999999996"/>
    <n v="0.13402"/>
    <s v="CohortTrend+Seasonal(0.975)"/>
    <n v="255141.89"/>
    <n v="278318.73"/>
    <n v="-23176.84"/>
    <x v="0"/>
    <n v="0"/>
    <n v="0.78500000000000003"/>
    <n v="0.24"/>
    <n v="0"/>
    <n v="0"/>
    <n v="0"/>
    <n v="278318.73"/>
    <n v="1952188.26"/>
    <n v="0.142568"/>
    <n v="-23176.84"/>
    <n v="-23176.720000000001"/>
    <n v="0"/>
    <n v="-23176.720000000001"/>
    <n v="1926932.71"/>
    <s v="Forecast"/>
  </r>
  <r>
    <x v="13"/>
    <x v="2"/>
    <s v="202409"/>
    <n v="26"/>
    <n v="1709457.09"/>
    <n v="-3.2604523122146442E-2"/>
    <s v="CohortAvg"/>
    <n v="-1.675867058601959E-2"/>
    <s v="CohortAvg"/>
    <n v="0.18519608685976341"/>
    <s v="CohortAvg"/>
    <n v="3.5005563983373789E-2"/>
    <s v="CohortAvg_NonZero"/>
    <n v="7.3981393686932956E-6"/>
    <s v="CohortAvg"/>
    <n v="0"/>
    <s v="Zero"/>
    <n v="-1.1676926851999919E-2"/>
    <s v="CohortAvg"/>
    <n v="-9.4388922894233317E-5"/>
    <s v="CohortAvg"/>
    <n v="0"/>
    <n v="-55736.03"/>
    <n v="-28648.23"/>
    <n v="26382.06"/>
    <n v="0"/>
    <n v="12.65"/>
    <n v="-19961.21"/>
    <n v="-161.35"/>
    <n v="1651442.24"/>
    <n v="0.120514"/>
    <n v="0.97519999999999996"/>
    <n v="0.11752600000000001"/>
    <s v="CohortTrend+Seasonal(0.975)"/>
    <n v="194087.32"/>
    <n v="213720.93"/>
    <n v="-19633.61"/>
    <x v="0"/>
    <n v="0"/>
    <n v="0.78500000000000003"/>
    <n v="0.24"/>
    <n v="0"/>
    <n v="0"/>
    <n v="0"/>
    <n v="213720.93"/>
    <n v="1709457.09"/>
    <n v="0.125023"/>
    <n v="-19633.61"/>
    <n v="-19620.96"/>
    <n v="0"/>
    <n v="-19620.96"/>
    <n v="1671063.2"/>
    <s v="Forecast"/>
  </r>
  <r>
    <x v="13"/>
    <x v="2"/>
    <s v="202410"/>
    <n v="25"/>
    <n v="1575374.03"/>
    <n v="-4.0573607602674172E-2"/>
    <s v="CohortAvg"/>
    <n v="-1.6716041214428198E-2"/>
    <s v="CohortAvg"/>
    <n v="0.18202456221900079"/>
    <s v="CohortAvg"/>
    <n v="2.930127088124598E-2"/>
    <s v="CohortAvg_NonZero"/>
    <n v="2.875345256470025E-7"/>
    <s v="CohortAvg"/>
    <n v="0"/>
    <s v="Zero"/>
    <n v="-7.2803158744714604E-3"/>
    <s v="CohortAvg"/>
    <n v="-1.110525403202529E-4"/>
    <s v="CohortAvg"/>
    <n v="0"/>
    <n v="-63918.61"/>
    <n v="-26334.02"/>
    <n v="23896.400000000001"/>
    <n v="0"/>
    <n v="0.45"/>
    <n v="-11469.22"/>
    <n v="-174.95"/>
    <n v="1509017.35"/>
    <n v="0.110647"/>
    <n v="0.97519999999999996"/>
    <n v="0.107903"/>
    <s v="CohortTrend+Seasonal(0.975)"/>
    <n v="162828.07"/>
    <n v="181580.43"/>
    <n v="-18752.36"/>
    <x v="0"/>
    <n v="0"/>
    <n v="0.78500000000000003"/>
    <n v="0.24"/>
    <n v="0"/>
    <n v="0"/>
    <n v="0"/>
    <n v="181580.43"/>
    <n v="1575374.03"/>
    <n v="0.115262"/>
    <n v="-18752.36"/>
    <n v="-18751.91"/>
    <n v="0"/>
    <n v="-18751.91"/>
    <n v="1527769.26"/>
    <s v="Forecast"/>
  </r>
  <r>
    <x v="13"/>
    <x v="2"/>
    <s v="202411"/>
    <n v="24"/>
    <n v="1838841.1"/>
    <n v="-3.701395884548541E-2"/>
    <s v="CohortAvg"/>
    <n v="-1.755706929893187E-2"/>
    <s v="CohortAvg"/>
    <n v="0.1901129840526696"/>
    <s v="CohortAvg"/>
    <n v="2.16468569780001E-2"/>
    <s v="CohortAvg_NonZero"/>
    <n v="1.837335049572083E-6"/>
    <s v="CohortAvg"/>
    <n v="0"/>
    <s v="Zero"/>
    <n v="-1.0898764612129901E-2"/>
    <s v="CohortAvg"/>
    <n v="-9.5552102258314808E-5"/>
    <s v="CohortAvg"/>
    <n v="0"/>
    <n v="-68062.789999999994"/>
    <n v="-32284.66"/>
    <n v="29132.3"/>
    <n v="0"/>
    <n v="3.38"/>
    <n v="-20041.099999999999"/>
    <n v="-175.71"/>
    <n v="1767622.57"/>
    <n v="0.109777"/>
    <n v="0.97519999999999996"/>
    <n v="0.107055"/>
    <s v="CohortTrend+Seasonal(0.975)"/>
    <n v="189232.18"/>
    <n v="208205.34"/>
    <n v="-18973.16"/>
    <x v="0"/>
    <n v="0"/>
    <n v="0.78500000000000003"/>
    <n v="0.24"/>
    <n v="0"/>
    <n v="0"/>
    <n v="0"/>
    <n v="208205.34"/>
    <n v="1838841.1"/>
    <n v="0.11322599999999999"/>
    <n v="-18973.16"/>
    <n v="-18969.78"/>
    <n v="0"/>
    <n v="-18969.78"/>
    <n v="1786592.35"/>
    <s v="Forecast"/>
  </r>
  <r>
    <x v="13"/>
    <x v="2"/>
    <s v="202412"/>
    <n v="23"/>
    <n v="1797970.96"/>
    <n v="-2.008680124023025E-2"/>
    <s v="CohortAvg"/>
    <n v="-1.6655191056021201E-2"/>
    <s v="CohortAvg"/>
    <n v="0.18952030761840011"/>
    <s v="CohortAvg"/>
    <n v="2.8138845075974792E-2"/>
    <s v="CohortAvg_NonZero"/>
    <n v="1.817685814531841E-7"/>
    <s v="CohortAvg"/>
    <n v="0"/>
    <s v="Zero"/>
    <n v="-1.030780771616791E-2"/>
    <s v="CohortAvg"/>
    <n v="-7.0621151545030933E-5"/>
    <s v="CohortAvg"/>
    <n v="0"/>
    <n v="-36115.49"/>
    <n v="-29945.55"/>
    <n v="28396"/>
    <n v="0"/>
    <n v="0.33"/>
    <n v="-18533.14"/>
    <n v="-126.97"/>
    <n v="1760305.6"/>
    <n v="9.0830999999999995E-2"/>
    <n v="0.97519999999999996"/>
    <n v="8.8579000000000005E-2"/>
    <s v="CohortTrend+Seasonal(0.975)"/>
    <n v="155926.01"/>
    <n v="170535.03"/>
    <n v="-14609.01"/>
    <x v="0"/>
    <n v="0"/>
    <n v="0.78500000000000003"/>
    <n v="0.24"/>
    <n v="0"/>
    <n v="0"/>
    <n v="0"/>
    <n v="170535.03"/>
    <n v="1797970.96"/>
    <n v="9.4849000000000003E-2"/>
    <n v="-14609.01"/>
    <n v="-14608.68"/>
    <n v="0"/>
    <n v="-14608.68"/>
    <n v="1774914.28"/>
    <s v="Forecast"/>
  </r>
  <r>
    <x v="13"/>
    <x v="2"/>
    <s v="202501"/>
    <n v="22"/>
    <n v="3092804.2"/>
    <n v="-3.042126029062105E-2"/>
    <s v="CohortAvg"/>
    <n v="-1.7536464973989731E-2"/>
    <s v="CohortAvg"/>
    <n v="0.1908492546388029"/>
    <s v="CohortAvg"/>
    <n v="1.5508466962221081E-2"/>
    <s v="CohortAvg_NonZero"/>
    <n v="7.7084669113204452E-6"/>
    <s v="CohortAvg"/>
    <n v="0"/>
    <s v="Zero"/>
    <n v="-1.8853020391230921E-2"/>
    <s v="CohortAvg"/>
    <n v="-1.540280788938376E-4"/>
    <s v="CohortAvg"/>
    <n v="0"/>
    <n v="-94087"/>
    <n v="-54236.85"/>
    <n v="49188.28"/>
    <n v="0"/>
    <n v="23.84"/>
    <n v="-58308.7"/>
    <n v="-476.38"/>
    <n v="2993644.79"/>
    <n v="9.4063999999999995E-2"/>
    <n v="0.97519999999999996"/>
    <n v="9.1730999999999993E-2"/>
    <s v="CohortTrend+Seasonal(0.975)"/>
    <n v="274611.09000000003"/>
    <n v="300274.95"/>
    <n v="-25663.86"/>
    <x v="0"/>
    <n v="0"/>
    <n v="0.78500000000000003"/>
    <n v="0.24"/>
    <n v="0"/>
    <n v="0"/>
    <n v="0"/>
    <n v="300274.95"/>
    <n v="3092804.2"/>
    <n v="9.7087999999999994E-2"/>
    <n v="-25663.86"/>
    <n v="-25640.02"/>
    <n v="0"/>
    <n v="-25640.02"/>
    <n v="3019284.81"/>
    <s v="Forecast"/>
  </r>
  <r>
    <x v="13"/>
    <x v="2"/>
    <s v="202502"/>
    <n v="21"/>
    <n v="3157469.34"/>
    <n v="-3.4050554494638653E-2"/>
    <s v="CohortAvg"/>
    <n v="-1.763877725519861E-2"/>
    <s v="CohortAvg"/>
    <n v="0.197283756133245"/>
    <s v="CohortAvg"/>
    <n v="7.9645373695133598E-3"/>
    <s v="CohortAvg_NonZero"/>
    <n v="0"/>
    <s v="CohortAvg"/>
    <n v="0"/>
    <s v="Zero"/>
    <n v="-3.4463636795302018E-2"/>
    <s v="CohortAvg"/>
    <n v="-3.1507099549300902E-4"/>
    <s v="CohortAvg"/>
    <n v="0"/>
    <n v="-107513.58"/>
    <n v="-55693.9"/>
    <n v="51909.78"/>
    <n v="0"/>
    <n v="0"/>
    <n v="-108817.88"/>
    <n v="-994.83"/>
    <n v="3046171.64"/>
    <n v="9.5547999999999994E-2"/>
    <n v="0.97519999999999996"/>
    <n v="9.3177999999999997E-2"/>
    <s v="CohortTrend+Seasonal(0.975)"/>
    <n v="283837.52"/>
    <n v="307886.82"/>
    <n v="-24049.3"/>
    <x v="0"/>
    <n v="0"/>
    <n v="0.78500000000000003"/>
    <n v="0.24"/>
    <n v="0"/>
    <n v="0"/>
    <n v="0"/>
    <n v="307886.82"/>
    <n v="3157469.34"/>
    <n v="9.7511E-2"/>
    <n v="-24049.3"/>
    <n v="-24049.3"/>
    <n v="0"/>
    <n v="-24049.3"/>
    <n v="3070220.94"/>
    <s v="Forecast"/>
  </r>
  <r>
    <x v="13"/>
    <x v="2"/>
    <s v="202503"/>
    <n v="20"/>
    <n v="4421103.04"/>
    <n v="-2.2745443979216459E-2"/>
    <s v="CohortAvg"/>
    <n v="-1.6982466511439961E-2"/>
    <s v="CohortAvg"/>
    <n v="0.201192158080849"/>
    <s v="CohortAvg"/>
    <n v="7.1848262480383477E-3"/>
    <s v="CohortAvg_NonZero"/>
    <n v="1.0740611437412269E-8"/>
    <s v="CohortAvg"/>
    <n v="0"/>
    <s v="Zero"/>
    <n v="0"/>
    <s v="CohortAvg"/>
    <n v="0"/>
    <s v="CohortAvg"/>
    <n v="0"/>
    <n v="-100559.95"/>
    <n v="-75081.23"/>
    <n v="74124.27"/>
    <n v="0"/>
    <n v="0.05"/>
    <n v="0"/>
    <n v="0"/>
    <n v="4319586.07"/>
    <n v="9.1106000000000006E-2"/>
    <n v="0.97519999999999996"/>
    <n v="8.8846999999999995E-2"/>
    <s v="CohortTrend+Seasonal(0.975)"/>
    <n v="383780.51"/>
    <n v="456889.64"/>
    <n v="-73109.13"/>
    <x v="0"/>
    <n v="0"/>
    <n v="0.78500000000000003"/>
    <n v="0.24"/>
    <n v="0"/>
    <n v="0"/>
    <n v="0"/>
    <n v="456889.64"/>
    <n v="4421103.04"/>
    <n v="0.103343"/>
    <n v="-73109.13"/>
    <n v="-73109.08"/>
    <n v="0"/>
    <n v="-73109.08"/>
    <n v="4392695.16"/>
    <s v="Forecast"/>
  </r>
  <r>
    <x v="13"/>
    <x v="2"/>
    <s v="202504"/>
    <n v="19"/>
    <n v="5549440.9199999999"/>
    <n v="-2.461332902816997E-2"/>
    <s v="CohortAvg"/>
    <n v="-1.6903945695307621E-2"/>
    <s v="CohortAvg"/>
    <n v="0.19641750048950099"/>
    <s v="CohortAvg"/>
    <n v="3.260907177009143E-3"/>
    <s v="CohortAvg_NonZero"/>
    <n v="0"/>
    <s v="CohortAvg"/>
    <n v="0"/>
    <s v="Zero"/>
    <n v="0"/>
    <s v="CohortAvg"/>
    <n v="0"/>
    <s v="CohortAvg"/>
    <n v="0"/>
    <n v="-136590.22"/>
    <n v="-93807.45"/>
    <n v="90833.94"/>
    <n v="0"/>
    <n v="0"/>
    <n v="0"/>
    <n v="0"/>
    <n v="5409877.1900000004"/>
    <n v="9.6042000000000002E-2"/>
    <n v="0.97519999999999996"/>
    <n v="9.3660999999999994E-2"/>
    <s v="DonorCohort:202101+Seasonal(0.975)"/>
    <n v="506693.17"/>
    <n v="495596.33"/>
    <n v="11096.84"/>
    <x v="0"/>
    <n v="0"/>
    <n v="0.78500000000000003"/>
    <n v="0.24"/>
    <n v="0"/>
    <n v="0"/>
    <n v="0"/>
    <n v="495596.33"/>
    <n v="5549440.9199999999"/>
    <n v="8.9305999999999996E-2"/>
    <n v="11096.84"/>
    <n v="11096.84"/>
    <n v="0"/>
    <n v="11096.84"/>
    <n v="5398780.3499999996"/>
    <s v="Forecast"/>
  </r>
  <r>
    <x v="13"/>
    <x v="2"/>
    <s v="202505"/>
    <n v="18"/>
    <n v="5385999.7800000003"/>
    <n v="-2.7264670048602471E-2"/>
    <s v="CohortAvg"/>
    <n v="-1.6472226935384911E-2"/>
    <s v="CohortAvg"/>
    <n v="0.19270254293458319"/>
    <s v="CohortAvg"/>
    <n v="0"/>
    <s v="CohortAvg_NoData_ERROR"/>
    <n v="0"/>
    <s v="CohortAvg"/>
    <n v="0"/>
    <s v="Zero"/>
    <n v="0"/>
    <s v="CohortAvg"/>
    <n v="0"/>
    <s v="CohortAvg"/>
    <n v="0"/>
    <n v="-146847.51"/>
    <n v="-88719.41"/>
    <n v="86491.32"/>
    <n v="0"/>
    <n v="0"/>
    <n v="0"/>
    <n v="0"/>
    <n v="5236924.18"/>
    <n v="8.2997000000000001E-2"/>
    <n v="0.97519999999999996"/>
    <n v="8.0938999999999997E-2"/>
    <s v="DonorCohort:202101+Seasonal(0.975)"/>
    <n v="423869.45"/>
    <n v="448899.02"/>
    <n v="-25029.57"/>
    <x v="0"/>
    <n v="0"/>
    <n v="0.78500000000000003"/>
    <n v="0.24"/>
    <n v="0"/>
    <n v="0"/>
    <n v="0"/>
    <n v="448899.02"/>
    <n v="5385999.7800000003"/>
    <n v="8.3346000000000003E-2"/>
    <n v="-25029.57"/>
    <n v="-25029.57"/>
    <n v="0"/>
    <n v="-25029.57"/>
    <n v="5261953.76"/>
    <s v="Forecast"/>
  </r>
  <r>
    <x v="13"/>
    <x v="2"/>
    <s v="202506"/>
    <n v="17"/>
    <n v="5782141.2699999996"/>
    <n v="-1.9899887725683948E-2"/>
    <s v="CohortAvg"/>
    <n v="-1.611661264926589E-2"/>
    <s v="CohortAvg"/>
    <n v="0.1959215807801043"/>
    <s v="CohortAvg"/>
    <n v="0"/>
    <s v="CohortAvg_NoData_ERROR"/>
    <n v="0"/>
    <s v="CohortAvg"/>
    <n v="0"/>
    <s v="Zero"/>
    <n v="0"/>
    <s v="CohortAvg"/>
    <n v="0"/>
    <s v="CohortAvg"/>
    <n v="0"/>
    <n v="-115063.96"/>
    <n v="-93188.53"/>
    <n v="94403.85"/>
    <n v="0"/>
    <n v="0"/>
    <n v="0"/>
    <n v="0"/>
    <n v="5668292.6299999999"/>
    <n v="7.7456999999999998E-2"/>
    <n v="0.97519999999999996"/>
    <n v="7.5537000000000007E-2"/>
    <s v="DonorCohort:202101+Seasonal(0.975)"/>
    <n v="428165.39"/>
    <n v="472544.22"/>
    <n v="-44378.82"/>
    <x v="0"/>
    <n v="0"/>
    <n v="0.78500000000000003"/>
    <n v="0.24"/>
    <n v="0"/>
    <n v="0"/>
    <n v="0"/>
    <n v="472544.22"/>
    <n v="5782141.2699999996"/>
    <n v="8.1725000000000006E-2"/>
    <n v="-44378.82"/>
    <n v="-44378.82"/>
    <n v="0"/>
    <n v="-44378.82"/>
    <n v="5712671.4500000002"/>
    <s v="Forecast"/>
  </r>
  <r>
    <x v="13"/>
    <x v="2"/>
    <s v="202507"/>
    <n v="16"/>
    <n v="7371561.9400000004"/>
    <n v="-1.609870270575392E-2"/>
    <s v="CohortAvg"/>
    <n v="-1.6919639505765669E-2"/>
    <s v="CohortAvg"/>
    <n v="0.1864252100737383"/>
    <s v="CohortAvg"/>
    <n v="0"/>
    <s v="CohortAvg_NoData_ERROR"/>
    <n v="0"/>
    <s v="CohortAvg"/>
    <n v="0"/>
    <s v="Zero"/>
    <n v="0"/>
    <s v="CohortAvg"/>
    <n v="0"/>
    <s v="CohortAvg"/>
    <n v="0"/>
    <n v="-118672.58"/>
    <n v="-124724.17"/>
    <n v="114520.42"/>
    <n v="0"/>
    <n v="0"/>
    <n v="0"/>
    <n v="0"/>
    <n v="7242685.5999999996"/>
    <n v="7.5951000000000005E-2"/>
    <n v="0.97519999999999996"/>
    <n v="7.4067999999999995E-2"/>
    <s v="DonorCohort:202101+Seasonal(0.975)"/>
    <n v="536451.37"/>
    <n v="540591"/>
    <n v="-4139.63"/>
    <x v="0"/>
    <n v="0"/>
    <n v="0.78500000000000003"/>
    <n v="0.24"/>
    <n v="0"/>
    <n v="0"/>
    <n v="0"/>
    <n v="540591"/>
    <n v="7371561.9400000004"/>
    <n v="7.3334999999999997E-2"/>
    <n v="-4139.63"/>
    <n v="-4139.63"/>
    <n v="0"/>
    <n v="-4139.63"/>
    <n v="7246825.2300000004"/>
    <s v="Forecast"/>
  </r>
  <r>
    <x v="13"/>
    <x v="2"/>
    <s v="202508"/>
    <n v="15"/>
    <n v="6600584.5499999998"/>
    <n v="-1.9460025204949161E-2"/>
    <s v="CohortAvg"/>
    <n v="-1.1904085684498231E-2"/>
    <s v="CohortAvg"/>
    <n v="0.187612924008419"/>
    <s v="CohortAvg"/>
    <n v="0"/>
    <s v="CohortAvg_NoData_ERROR"/>
    <n v="3.4713557026871783E-5"/>
    <s v="CohortAvg"/>
    <n v="0"/>
    <s v="Zero"/>
    <n v="0"/>
    <s v="CohortAvg"/>
    <n v="0"/>
    <s v="CohortAvg"/>
    <n v="0"/>
    <n v="-128447.54"/>
    <n v="-78573.919999999998"/>
    <n v="103196.25"/>
    <n v="0"/>
    <n v="229.13"/>
    <n v="0"/>
    <n v="0"/>
    <n v="6496530.2000000002"/>
    <n v="6.8154000000000006E-2"/>
    <n v="0.97519999999999996"/>
    <n v="6.6463999999999995E-2"/>
    <s v="DonorCohort:202101+Seasonal(0.975)"/>
    <n v="431785.18"/>
    <n v="397887.48"/>
    <n v="33897.699999999997"/>
    <x v="0"/>
    <n v="0"/>
    <n v="0.78500000000000003"/>
    <n v="0.24"/>
    <n v="0"/>
    <n v="0"/>
    <n v="0"/>
    <n v="397887.48"/>
    <n v="6600584.5499999998"/>
    <n v="6.0281000000000001E-2"/>
    <n v="33897.699999999997"/>
    <n v="34126.83"/>
    <n v="0"/>
    <n v="34126.83"/>
    <n v="6462403.3799999999"/>
    <s v="Forecast"/>
  </r>
  <r>
    <x v="13"/>
    <x v="2"/>
    <s v="202509"/>
    <n v="14"/>
    <n v="1200182.3899999999"/>
    <n v="-0.25820792806549092"/>
    <s v="CohortAvg"/>
    <n v="-3.168088842686066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309896.61"/>
    <n v="-38022.839999999997"/>
    <n v="50007.6"/>
    <n v="0"/>
    <n v="0"/>
    <n v="0"/>
    <n v="0"/>
    <n v="902270.54"/>
    <n v="5.6022000000000002E-2"/>
    <n v="0.97519999999999996"/>
    <n v="5.4633000000000001E-2"/>
    <s v="DonorCohort:202101+Seasonal(0.975)"/>
    <n v="49293.72"/>
    <n v="65827.679999999993"/>
    <n v="-16533.96"/>
    <x v="0"/>
    <n v="0"/>
    <n v="0.78500000000000003"/>
    <n v="0.24"/>
    <n v="0"/>
    <n v="0"/>
    <n v="0"/>
    <n v="65827.679999999993"/>
    <n v="1200182.3899999999"/>
    <n v="5.4848000000000001E-2"/>
    <n v="-16533.96"/>
    <n v="-16533.96"/>
    <n v="0"/>
    <n v="-16533.96"/>
    <n v="918804.49"/>
    <s v="Forecast"/>
  </r>
  <r>
    <x v="13"/>
    <x v="3"/>
    <s v="201912"/>
    <n v="83"/>
    <n v="48483.98"/>
    <n v="-6.8783945691680811E-3"/>
    <s v="CohortAvg"/>
    <n v="-6.4364009075697909E-4"/>
    <s v="CohortAvg"/>
    <n v="0"/>
    <s v="CohortAvg"/>
    <n v="3.00604176329658E-2"/>
    <s v="CohortAvg_NonZero"/>
    <n v="2.0231413158452369E-7"/>
    <s v="CohortAvg"/>
    <n v="0"/>
    <s v="Zero"/>
    <n v="0"/>
    <s v="CohortAvg"/>
    <n v="0"/>
    <s v="CohortAvg"/>
    <n v="0"/>
    <n v="-333.49"/>
    <n v="-31.21"/>
    <n v="0"/>
    <n v="0"/>
    <n v="0.01"/>
    <n v="0"/>
    <n v="0"/>
    <n v="48119.27"/>
    <n v="0.98812900000000004"/>
    <n v="1.1109"/>
    <n v="1.0976939999999999"/>
    <s v="CohortAvg+Seasonal(1.111)"/>
    <n v="52820.25"/>
    <n v="47752.480000000003"/>
    <n v="5067.7700000000004"/>
    <x v="0"/>
    <n v="0"/>
    <n v="0.78500000000000003"/>
    <n v="0.24"/>
    <n v="0"/>
    <n v="0"/>
    <n v="0"/>
    <n v="47752.480000000003"/>
    <n v="48483.98"/>
    <n v="0.98491300000000004"/>
    <n v="5067.7700000000004"/>
    <n v="5067.78"/>
    <n v="0"/>
    <n v="5067.78"/>
    <n v="43051.49"/>
    <s v="Forecast"/>
  </r>
  <r>
    <x v="13"/>
    <x v="3"/>
    <s v="202001"/>
    <n v="82"/>
    <n v="0.86"/>
    <n v="-0.5"/>
    <s v="CohortAvg"/>
    <n v="-5.4409895188803734E-6"/>
    <s v="CohortAvg"/>
    <n v="0"/>
    <s v="CohortAvg"/>
    <n v="1.8001521025516339E-2"/>
    <s v="CohortAvg_NonZero"/>
    <n v="0"/>
    <s v="CohortAvg"/>
    <n v="0"/>
    <s v="Zero"/>
    <n v="0"/>
    <s v="CohortAvg"/>
    <n v="0"/>
    <s v="CohortAvg"/>
    <n v="0"/>
    <n v="-0.43"/>
    <n v="0"/>
    <n v="0"/>
    <n v="0"/>
    <n v="0"/>
    <n v="0"/>
    <n v="0"/>
    <n v="0.43"/>
    <n v="0.81930899999999995"/>
    <n v="1.1109"/>
    <n v="0.91015500000000005"/>
    <s v="CohortAvg+Seasonal(1.111)"/>
    <n v="0.39"/>
    <n v="0.7"/>
    <n v="-0.31"/>
    <x v="0"/>
    <n v="0"/>
    <n v="0.78500000000000003"/>
    <n v="0.24"/>
    <n v="0"/>
    <n v="0"/>
    <n v="0"/>
    <n v="0.7"/>
    <n v="0.86"/>
    <n v="0.81470100000000001"/>
    <n v="-0.31"/>
    <n v="-0.31"/>
    <n v="0"/>
    <n v="-0.31"/>
    <n v="0.74"/>
    <s v="Forecast"/>
  </r>
  <r>
    <x v="13"/>
    <x v="3"/>
    <s v="202101"/>
    <n v="70"/>
    <n v="507347.07"/>
    <n v="-0.1052549667531943"/>
    <s v="CohortAvg"/>
    <n v="-8.1475924026756432E-3"/>
    <s v="CohortAvg"/>
    <n v="0.1090541107476863"/>
    <s v="CohortAvg"/>
    <n v="6.1968756933317723E-3"/>
    <s v="CohortAvg_NonZero"/>
    <n v="0"/>
    <s v="CohortAvg"/>
    <n v="0"/>
    <s v="Zero"/>
    <n v="-4.8577834204830043E-5"/>
    <s v="CohortAvg"/>
    <n v="-5.1536582104393705E-7"/>
    <s v="CohortAvg"/>
    <n v="0"/>
    <n v="-53400.800000000003"/>
    <n v="-4133.66"/>
    <n v="4610.6899999999996"/>
    <n v="0"/>
    <n v="0"/>
    <n v="-24.65"/>
    <n v="-0.26"/>
    <n v="454423.31"/>
    <n v="0.276194"/>
    <n v="1.1109"/>
    <n v="0.30681799999999998"/>
    <s v="CohortAvg+Seasonal(1.111)"/>
    <n v="139425.46"/>
    <n v="139567.59"/>
    <n v="-142.13"/>
    <x v="0"/>
    <n v="0"/>
    <n v="0.78500000000000003"/>
    <n v="0.24"/>
    <n v="0"/>
    <n v="0"/>
    <n v="0"/>
    <n v="139567.59"/>
    <n v="507347.07"/>
    <n v="0.27509299999999998"/>
    <n v="-142.13"/>
    <n v="-142.13"/>
    <n v="0"/>
    <n v="-142.13"/>
    <n v="454565.44"/>
    <s v="Forecast"/>
  </r>
  <r>
    <x v="13"/>
    <x v="3"/>
    <s v="202201"/>
    <n v="50"/>
    <n v="119566.19"/>
    <n v="-8.8820908088486542E-2"/>
    <s v="CohortAvg"/>
    <n v="-1.037920712013338E-2"/>
    <s v="CohortAvg"/>
    <n v="0.1127057479198368"/>
    <s v="CohortAvg"/>
    <n v="3.3428976576611508E-2"/>
    <s v="CohortAvg_NonZero"/>
    <n v="9.013242249758781E-4"/>
    <s v="CohortAvg"/>
    <n v="0"/>
    <s v="Zero"/>
    <n v="-5.0979051279148497E-5"/>
    <s v="CohortAvg"/>
    <n v="-4.345355716802186E-7"/>
    <s v="CohortAvg"/>
    <n v="0"/>
    <n v="-10619.98"/>
    <n v="-1241"/>
    <n v="1122.98"/>
    <n v="0"/>
    <n v="107.77"/>
    <n v="-6.1"/>
    <n v="-0.05"/>
    <n v="108720.43"/>
    <n v="0.30432799999999999"/>
    <n v="1.1109"/>
    <n v="0.33807300000000001"/>
    <s v="CohortAvg+Seasonal(1.111)"/>
    <n v="36755.43"/>
    <n v="36255.89"/>
    <n v="499.54"/>
    <x v="0"/>
    <n v="0"/>
    <n v="0.78500000000000003"/>
    <n v="0.24"/>
    <n v="0"/>
    <n v="0"/>
    <n v="0"/>
    <n v="36255.89"/>
    <n v="119566.19"/>
    <n v="0.30322900000000003"/>
    <n v="499.54"/>
    <n v="607.30999999999995"/>
    <n v="0"/>
    <n v="607.30999999999995"/>
    <n v="108113.12"/>
    <s v="Forecast"/>
  </r>
  <r>
    <x v="13"/>
    <x v="3"/>
    <s v="202301"/>
    <n v="41"/>
    <n v="1687432.3"/>
    <n v="-6.9843504622665101E-2"/>
    <s v="CohortAvg"/>
    <n v="-1.614022756282963E-2"/>
    <s v="CohortAvg"/>
    <n v="0.19081040985342981"/>
    <s v="CohortAvg"/>
    <n v="2.51848253158647E-2"/>
    <s v="CohortAvg_NonZero"/>
    <n v="1.216830738511598E-6"/>
    <s v="CohortAvg"/>
    <n v="0"/>
    <s v="Zero"/>
    <n v="-2.3985776117531779E-3"/>
    <s v="CohortAvg"/>
    <n v="-1.4358422092433969E-5"/>
    <s v="CohortAvg"/>
    <n v="0"/>
    <n v="-117856.19"/>
    <n v="-27235.54"/>
    <n v="26831.64"/>
    <n v="0"/>
    <n v="2.0499999999999998"/>
    <n v="-4047.44"/>
    <n v="-24.23"/>
    <n v="1569170.16"/>
    <n v="0.27764899999999998"/>
    <n v="1.1109"/>
    <n v="0.30843500000000001"/>
    <s v="CohortAvg+Seasonal(1.111)"/>
    <n v="483987.53"/>
    <n v="460935.01"/>
    <n v="23052.52"/>
    <x v="0"/>
    <n v="0"/>
    <n v="0.78500000000000003"/>
    <n v="0.24"/>
    <n v="0"/>
    <n v="0"/>
    <n v="0"/>
    <n v="460935.01"/>
    <n v="1687432.3"/>
    <n v="0.27315800000000001"/>
    <n v="23052.52"/>
    <n v="23054.57"/>
    <n v="0"/>
    <n v="23054.57"/>
    <n v="1546115.59"/>
    <s v="Forecast"/>
  </r>
  <r>
    <x v="13"/>
    <x v="3"/>
    <s v="202404"/>
    <n v="31"/>
    <n v="445870.85"/>
    <n v="-5.0024223381394249E-2"/>
    <s v="CohortAvg"/>
    <n v="-1.7541377861217879E-2"/>
    <s v="CohortAvg"/>
    <n v="0.19128535141096861"/>
    <s v="CohortAvg"/>
    <n v="6.3221212149277659E-2"/>
    <s v="CohortAvg_NonZero"/>
    <n v="1.1159836681974E-6"/>
    <s v="CohortAvg"/>
    <n v="0"/>
    <s v="Zero"/>
    <n v="-1.0592717451323589E-2"/>
    <s v="CohortAvg"/>
    <n v="-1.194348523202367E-4"/>
    <s v="CohortAvg"/>
    <n v="0"/>
    <n v="-22304.34"/>
    <n v="-7821.19"/>
    <n v="7107.38"/>
    <n v="0"/>
    <n v="0.5"/>
    <n v="-4722.9799999999996"/>
    <n v="-53.25"/>
    <n v="422852.21"/>
    <n v="0.19503200000000001"/>
    <n v="1.1109"/>
    <n v="0.21665799999999999"/>
    <s v="CohortTrend+Seasonal(1.111)"/>
    <n v="91614.18"/>
    <n v="84436.28"/>
    <n v="7177.91"/>
    <x v="0"/>
    <n v="0"/>
    <n v="0.78500000000000003"/>
    <n v="0.24"/>
    <n v="0"/>
    <n v="0"/>
    <n v="0"/>
    <n v="84436.28"/>
    <n v="445870.85"/>
    <n v="0.18937399999999999"/>
    <n v="7177.91"/>
    <n v="7178.4"/>
    <n v="0"/>
    <n v="7178.4"/>
    <n v="415673.8"/>
    <s v="Forecast"/>
  </r>
  <r>
    <x v="13"/>
    <x v="3"/>
    <s v="202405"/>
    <n v="30"/>
    <n v="410558.98"/>
    <n v="-5.2122352944963028E-2"/>
    <s v="CohortAvg"/>
    <n v="-1.7932778287542112E-2"/>
    <s v="CohortAvg"/>
    <n v="0.19986274776715221"/>
    <s v="CohortAvg"/>
    <n v="4.5656363819699848E-2"/>
    <s v="CohortAvg_NonZero"/>
    <n v="4.7307384690648022E-7"/>
    <s v="CohortAvg"/>
    <n v="0"/>
    <s v="Zero"/>
    <n v="-1.2053217010233579E-2"/>
    <s v="CohortAvg"/>
    <n v="-1.076615418560389E-4"/>
    <s v="CohortAvg"/>
    <n v="0"/>
    <n v="-21399.3"/>
    <n v="-7362.46"/>
    <n v="6837.95"/>
    <n v="0"/>
    <n v="0.19"/>
    <n v="-4948.5600000000004"/>
    <n v="-44.2"/>
    <n v="388634.97"/>
    <n v="0.15826100000000001"/>
    <n v="1.1109"/>
    <n v="0.17580899999999999"/>
    <s v="CohortTrend+Seasonal(1.111)"/>
    <n v="68325.570000000007"/>
    <n v="63323.86"/>
    <n v="5001.71"/>
    <x v="0"/>
    <n v="0"/>
    <n v="0.78500000000000003"/>
    <n v="0.24"/>
    <n v="0"/>
    <n v="0"/>
    <n v="0"/>
    <n v="63323.86"/>
    <n v="410558.98"/>
    <n v="0.15423799999999999"/>
    <n v="5001.71"/>
    <n v="5001.8999999999996"/>
    <n v="0"/>
    <n v="5001.8999999999996"/>
    <n v="383633.07"/>
    <s v="Forecast"/>
  </r>
  <r>
    <x v="13"/>
    <x v="3"/>
    <s v="202406"/>
    <n v="29"/>
    <n v="527947.31999999995"/>
    <n v="-4.803193455556725E-2"/>
    <s v="CohortAvg"/>
    <n v="-1.8108183081620911E-2"/>
    <s v="CohortAvg"/>
    <n v="0.20247273941302049"/>
    <s v="CohortAvg"/>
    <n v="3.9404075370313742E-2"/>
    <s v="CohortAvg_NonZero"/>
    <n v="3.4231296502144582E-7"/>
    <s v="CohortAvg"/>
    <n v="0"/>
    <s v="Zero"/>
    <n v="-1.3818474986011421E-2"/>
    <s v="CohortAvg"/>
    <n v="-1.053157970987235E-4"/>
    <s v="CohortAvg"/>
    <n v="0"/>
    <n v="-25358.33"/>
    <n v="-9560.17"/>
    <n v="8907.91"/>
    <n v="0"/>
    <n v="0.18"/>
    <n v="-7295.43"/>
    <n v="-55.6"/>
    <n v="501936.55"/>
    <n v="0.12453599999999999"/>
    <n v="1.1109"/>
    <n v="0.138345"/>
    <s v="CohortTrend+Seasonal(1.111)"/>
    <n v="69440.38"/>
    <n v="64131.93"/>
    <n v="5308.46"/>
    <x v="0"/>
    <n v="0"/>
    <n v="0.78500000000000003"/>
    <n v="0.24"/>
    <n v="0"/>
    <n v="0"/>
    <n v="0"/>
    <n v="64131.93"/>
    <n v="527947.31999999995"/>
    <n v="0.121474"/>
    <n v="5308.46"/>
    <n v="5308.64"/>
    <n v="0"/>
    <n v="5308.64"/>
    <n v="496627.91"/>
    <s v="Forecast"/>
  </r>
  <r>
    <x v="13"/>
    <x v="3"/>
    <s v="202407"/>
    <n v="28"/>
    <n v="436528.82"/>
    <n v="-6.7599314576618594E-2"/>
    <s v="CohortAvg"/>
    <n v="-1.8944454414241831E-2"/>
    <s v="CohortAvg"/>
    <n v="0.2067233859335231"/>
    <s v="CohortAvg"/>
    <n v="2.703934734152677E-2"/>
    <s v="CohortAvg_NonZero"/>
    <n v="4.7860310892629792E-6"/>
    <s v="CohortAvg"/>
    <n v="0"/>
    <s v="Zero"/>
    <n v="-1.6933368687822269E-2"/>
    <s v="CohortAvg"/>
    <n v="-2.0104118175090729E-4"/>
    <s v="CohortAvg"/>
    <n v="0"/>
    <n v="-29509.05"/>
    <n v="-8269.7999999999993"/>
    <n v="7520.06"/>
    <n v="0"/>
    <n v="2.09"/>
    <n v="-7391.9"/>
    <n v="-87.76"/>
    <n v="406267.94"/>
    <n v="0.101775"/>
    <n v="1.1109"/>
    <n v="0.11305999999999999"/>
    <s v="CohortTrend+Seasonal(1.111)"/>
    <n v="45932.49"/>
    <n v="43459.360000000001"/>
    <n v="2473.14"/>
    <x v="0"/>
    <n v="0"/>
    <n v="0.78500000000000003"/>
    <n v="0.24"/>
    <n v="0"/>
    <n v="0"/>
    <n v="0"/>
    <n v="43459.360000000001"/>
    <n v="436528.82"/>
    <n v="9.9557000000000007E-2"/>
    <n v="2473.14"/>
    <n v="2475.2199999999998"/>
    <n v="0"/>
    <n v="2475.2199999999998"/>
    <n v="403792.72"/>
    <s v="Forecast"/>
  </r>
  <r>
    <x v="13"/>
    <x v="3"/>
    <s v="202408"/>
    <n v="27"/>
    <n v="592682.26"/>
    <n v="-4.9772275526634858E-2"/>
    <s v="CohortAvg"/>
    <n v="-1.9270238691161502E-2"/>
    <s v="CohortAvg"/>
    <n v="0.21385575794147019"/>
    <s v="CohortAvg"/>
    <n v="3.2092856626371187E-2"/>
    <s v="CohortAvg_NonZero"/>
    <n v="6.2364172488491215E-7"/>
    <s v="CohortAvg"/>
    <n v="0"/>
    <s v="Zero"/>
    <n v="-1.151504099821264E-2"/>
    <s v="CohortAvg"/>
    <n v="-9.9427608513364394E-5"/>
    <s v="CohortAvg"/>
    <n v="0"/>
    <n v="-29499.14"/>
    <n v="-11421.13"/>
    <n v="10562.38"/>
    <n v="0"/>
    <n v="0.37"/>
    <n v="-6824.76"/>
    <n v="-58.93"/>
    <n v="562324"/>
    <n v="8.7583999999999995E-2"/>
    <n v="1.1109"/>
    <n v="9.7295999999999994E-2"/>
    <s v="CohortTrend+Seasonal(1.111)"/>
    <n v="54711.82"/>
    <n v="50958.36"/>
    <n v="3753.46"/>
    <x v="0"/>
    <n v="0"/>
    <n v="0.78500000000000003"/>
    <n v="0.24"/>
    <n v="0"/>
    <n v="0"/>
    <n v="0"/>
    <n v="50958.36"/>
    <n v="592682.26"/>
    <n v="8.5979E-2"/>
    <n v="3753.46"/>
    <n v="3753.83"/>
    <n v="0"/>
    <n v="3753.83"/>
    <n v="558570.17000000004"/>
    <s v="Forecast"/>
  </r>
  <r>
    <x v="13"/>
    <x v="3"/>
    <s v="202409"/>
    <n v="26"/>
    <n v="403576.39"/>
    <n v="-7.370462975735366E-2"/>
    <s v="CohortAvg"/>
    <n v="-2.0168425706483549E-2"/>
    <s v="CohortAvg"/>
    <n v="0.21049807142086741"/>
    <s v="CohortAvg"/>
    <n v="3.5622605355399038E-2"/>
    <s v="CohortAvg_NonZero"/>
    <n v="4.2549493115084929E-7"/>
    <s v="CohortAvg"/>
    <n v="0"/>
    <s v="Zero"/>
    <n v="-1.422392562946446E-2"/>
    <s v="CohortAvg"/>
    <n v="-1.116608658762862E-4"/>
    <s v="CohortAvg"/>
    <n v="0"/>
    <n v="-29745.45"/>
    <n v="-8139.5"/>
    <n v="7079.34"/>
    <n v="0"/>
    <n v="0.17"/>
    <n v="-5740.44"/>
    <n v="-45.06"/>
    <n v="372770.6"/>
    <n v="7.2994000000000003E-2"/>
    <n v="1.1109"/>
    <n v="8.1087999999999993E-2"/>
    <s v="CohortTrend+Seasonal(1.111)"/>
    <n v="30227.119999999999"/>
    <n v="29048.95"/>
    <n v="1178.18"/>
    <x v="0"/>
    <n v="0"/>
    <n v="0.78500000000000003"/>
    <n v="0.24"/>
    <n v="0"/>
    <n v="0"/>
    <n v="0"/>
    <n v="29048.95"/>
    <n v="403576.39"/>
    <n v="7.1979000000000001E-2"/>
    <n v="1178.18"/>
    <n v="1178.3499999999999"/>
    <n v="0"/>
    <n v="1178.3499999999999"/>
    <n v="371592.26"/>
    <s v="Forecast"/>
  </r>
  <r>
    <x v="13"/>
    <x v="3"/>
    <s v="202410"/>
    <n v="25"/>
    <n v="502382.95"/>
    <n v="-4.8350719608331337E-2"/>
    <s v="CohortAvg"/>
    <n v="-1.9988993886878591E-2"/>
    <s v="CohortAvg"/>
    <n v="0.2131865342502384"/>
    <s v="CohortAvg"/>
    <n v="3.7569440771651967E-2"/>
    <s v="CohortAvg_NonZero"/>
    <n v="1.0449620286018669E-6"/>
    <s v="CohortAvg"/>
    <n v="0"/>
    <s v="Zero"/>
    <n v="-1.962191878675543E-2"/>
    <s v="CohortAvg"/>
    <n v="-1.6011451794474901E-4"/>
    <s v="CohortAvg"/>
    <n v="0"/>
    <n v="-24290.58"/>
    <n v="-10042.129999999999"/>
    <n v="8925.11"/>
    <n v="0"/>
    <n v="0.52"/>
    <n v="-9857.7199999999993"/>
    <n v="-80.44"/>
    <n v="476974.82"/>
    <n v="6.7751000000000006E-2"/>
    <n v="1.1109"/>
    <n v="7.5263999999999998E-2"/>
    <s v="CohortTrend+Seasonal(1.111)"/>
    <n v="35898.879999999997"/>
    <n v="33588.239999999998"/>
    <n v="2310.64"/>
    <x v="0"/>
    <n v="0"/>
    <n v="0.78500000000000003"/>
    <n v="0.24"/>
    <n v="0"/>
    <n v="0"/>
    <n v="0"/>
    <n v="33588.239999999998"/>
    <n v="502382.95"/>
    <n v="6.6858000000000001E-2"/>
    <n v="2310.64"/>
    <n v="2311.16"/>
    <n v="0"/>
    <n v="2311.16"/>
    <n v="474663.66"/>
    <s v="Forecast"/>
  </r>
  <r>
    <x v="13"/>
    <x v="3"/>
    <s v="202411"/>
    <n v="24"/>
    <n v="565154.17000000004"/>
    <n v="-5.22060031404733E-2"/>
    <s v="CohortAvg"/>
    <n v="-2.0118025834763131E-2"/>
    <s v="CohortAvg"/>
    <n v="0.22308098653414429"/>
    <s v="CohortAvg"/>
    <n v="2.8691868373791271E-2"/>
    <s v="CohortAvg_NonZero"/>
    <n v="1.3906410577450881E-7"/>
    <s v="CohortAvg"/>
    <n v="0"/>
    <s v="Zero"/>
    <n v="-2.447710685088356E-2"/>
    <s v="CohortAvg"/>
    <n v="-2.268412732458958E-4"/>
    <s v="CohortAvg"/>
    <n v="0"/>
    <n v="-29504.44"/>
    <n v="-11369.79"/>
    <n v="10506.26"/>
    <n v="0"/>
    <n v="0.08"/>
    <n v="-13833.34"/>
    <n v="-128.19999999999999"/>
    <n v="534786.13"/>
    <n v="6.2523999999999996E-2"/>
    <n v="1.1109"/>
    <n v="6.9457000000000005E-2"/>
    <s v="CohortTrend+Seasonal(1.111)"/>
    <n v="37144.58"/>
    <n v="34784.559999999998"/>
    <n v="2360.0100000000002"/>
    <x v="0"/>
    <n v="0"/>
    <n v="0.78500000000000003"/>
    <n v="0.24"/>
    <n v="0"/>
    <n v="0"/>
    <n v="0"/>
    <n v="34784.559999999998"/>
    <n v="565154.17000000004"/>
    <n v="6.1549E-2"/>
    <n v="2360.0100000000002"/>
    <n v="2360.09"/>
    <n v="0"/>
    <n v="2360.09"/>
    <n v="532426.04"/>
    <s v="Forecast"/>
  </r>
  <r>
    <x v="13"/>
    <x v="3"/>
    <s v="202412"/>
    <n v="23"/>
    <n v="600600.68999999994"/>
    <n v="-5.0405491900084802E-2"/>
    <s v="CohortAvg"/>
    <n v="-2.060905011481496E-2"/>
    <s v="CohortAvg"/>
    <n v="0.2221464762655051"/>
    <s v="CohortAvg"/>
    <n v="3.2847567592400567E-2"/>
    <s v="CohortAvg_NonZero"/>
    <n v="1.0989707924483139E-6"/>
    <s v="CohortAvg"/>
    <n v="0"/>
    <s v="Zero"/>
    <n v="-4.4497504363298079E-2"/>
    <s v="CohortAvg"/>
    <n v="-4.6234788914038978E-4"/>
    <s v="CohortAvg"/>
    <n v="0"/>
    <n v="-30273.57"/>
    <n v="-12377.81"/>
    <n v="11118.44"/>
    <n v="0"/>
    <n v="0.66"/>
    <n v="-26725.23"/>
    <n v="-277.69"/>
    <n v="569067.09"/>
    <n v="6.2814999999999996E-2"/>
    <n v="1.1109"/>
    <n v="6.9779999999999995E-2"/>
    <s v="CohortTrend+Seasonal(1.111)"/>
    <n v="39709.43"/>
    <n v="36881.4"/>
    <n v="2828.03"/>
    <x v="0"/>
    <n v="0"/>
    <n v="0.78500000000000003"/>
    <n v="0.24"/>
    <n v="0"/>
    <n v="0"/>
    <n v="0"/>
    <n v="36881.4"/>
    <n v="600600.68999999994"/>
    <n v="6.1407999999999997E-2"/>
    <n v="2828.03"/>
    <n v="2828.69"/>
    <n v="0"/>
    <n v="2828.69"/>
    <n v="566238.4"/>
    <s v="Forecast"/>
  </r>
  <r>
    <x v="13"/>
    <x v="3"/>
    <s v="202501"/>
    <n v="22"/>
    <n v="1019557.04"/>
    <n v="-5.2533171491740221E-2"/>
    <s v="CohortAvg"/>
    <n v="-2.08263529677346E-2"/>
    <s v="CohortAvg"/>
    <n v="0.2250766158068716"/>
    <s v="CohortAvg"/>
    <n v="1.4101124579706709E-2"/>
    <s v="CohortAvg_NonZero"/>
    <n v="1.5322906450120649E-5"/>
    <s v="CohortAvg"/>
    <n v="0"/>
    <s v="Zero"/>
    <n v="-4.3311595485978079E-2"/>
    <s v="CohortAvg"/>
    <n v="-4.613713526921972E-4"/>
    <s v="CohortAvg"/>
    <n v="0"/>
    <n v="-53560.56"/>
    <n v="-21233.65"/>
    <n v="19123.2"/>
    <n v="0"/>
    <n v="15.62"/>
    <n v="-44158.64"/>
    <n v="-470.39"/>
    <n v="963870.4"/>
    <n v="6.3422999999999993E-2"/>
    <n v="1.1109"/>
    <n v="7.0456000000000005E-2"/>
    <s v="CohortTrend+Seasonal(1.111)"/>
    <n v="67910.16"/>
    <n v="62652.46"/>
    <n v="5257.7"/>
    <x v="0"/>
    <n v="0"/>
    <n v="0.78500000000000003"/>
    <n v="0.24"/>
    <n v="0"/>
    <n v="0"/>
    <n v="0"/>
    <n v="62652.46"/>
    <n v="1019557.04"/>
    <n v="6.1450999999999999E-2"/>
    <n v="5257.7"/>
    <n v="5273.32"/>
    <n v="0"/>
    <n v="5273.32"/>
    <n v="958597.08"/>
    <s v="Forecast"/>
  </r>
  <r>
    <x v="13"/>
    <x v="3"/>
    <s v="202502"/>
    <n v="21"/>
    <n v="1093948.73"/>
    <n v="-5.33319537852067E-2"/>
    <s v="CohortAvg"/>
    <n v="-1.9160655539796682E-2"/>
    <s v="CohortAvg"/>
    <n v="0.22695010269889629"/>
    <s v="CohortAvg"/>
    <n v="1.9399996444771521E-2"/>
    <s v="CohortAvg_NonZero"/>
    <n v="3.8652221803932302E-4"/>
    <s v="CohortAvg"/>
    <n v="0"/>
    <s v="Zero"/>
    <n v="-9.1326451190306676E-2"/>
    <s v="CohortAvg"/>
    <n v="-1.187534785104225E-3"/>
    <s v="CohortAvg"/>
    <n v="0"/>
    <n v="-58342.42"/>
    <n v="-20960.77"/>
    <n v="20689.310000000001"/>
    <n v="0"/>
    <n v="422.84"/>
    <n v="-99906.46"/>
    <n v="-1299.0999999999999"/>
    <n v="1034912.01"/>
    <n v="6.1052000000000002E-2"/>
    <n v="1.1109"/>
    <n v="6.7821999999999993E-2"/>
    <s v="CohortTrend+Seasonal(1.111)"/>
    <n v="70189.67"/>
    <n v="64457.34"/>
    <n v="5732.34"/>
    <x v="0"/>
    <n v="0"/>
    <n v="0.78500000000000003"/>
    <n v="0.24"/>
    <n v="0"/>
    <n v="0"/>
    <n v="0"/>
    <n v="64457.34"/>
    <n v="1093948.73"/>
    <n v="5.8922000000000002E-2"/>
    <n v="5732.34"/>
    <n v="6155.17"/>
    <n v="0"/>
    <n v="6155.17"/>
    <n v="1028756.84"/>
    <s v="Forecast"/>
  </r>
  <r>
    <x v="13"/>
    <x v="3"/>
    <s v="202503"/>
    <n v="20"/>
    <n v="1386737.4"/>
    <n v="-4.5556160738157207E-2"/>
    <s v="CohortAvg"/>
    <n v="-2.195515953965925E-2"/>
    <s v="CohortAvg"/>
    <n v="0.25477014245321689"/>
    <s v="CohortAvg"/>
    <n v="4.6176837495393924E-3"/>
    <s v="CohortAvg_NonZero"/>
    <n v="4.7861932838969882E-8"/>
    <s v="CohortAvg"/>
    <n v="0"/>
    <s v="Zero"/>
    <n v="0"/>
    <s v="CohortAvg"/>
    <n v="0"/>
    <s v="CohortAvg"/>
    <n v="0"/>
    <n v="-63174.43"/>
    <n v="-30446.04"/>
    <n v="29441.61"/>
    <n v="0"/>
    <n v="7.0000000000000007E-2"/>
    <n v="0"/>
    <n v="0"/>
    <n v="1322558.47"/>
    <n v="6.3797999999999994E-2"/>
    <n v="1.1109"/>
    <n v="7.0872000000000004E-2"/>
    <s v="CohortTrend+Seasonal(1.111)"/>
    <n v="93732.22"/>
    <n v="99284.51"/>
    <n v="-5552.28"/>
    <x v="0"/>
    <n v="0"/>
    <n v="0.78500000000000003"/>
    <n v="0.24"/>
    <n v="0"/>
    <n v="0"/>
    <n v="0"/>
    <n v="99284.51"/>
    <n v="1386737.4"/>
    <n v="7.1596000000000007E-2"/>
    <n v="-5552.28"/>
    <n v="-5552.22"/>
    <n v="0"/>
    <n v="-5552.22"/>
    <n v="1328110.69"/>
    <s v="Forecast"/>
  </r>
  <r>
    <x v="13"/>
    <x v="3"/>
    <s v="202504"/>
    <n v="19"/>
    <n v="1114987.6200000001"/>
    <n v="-5.5733508816709111E-2"/>
    <s v="CohortAvg"/>
    <n v="-2.20148272826006E-2"/>
    <s v="CohortAvg"/>
    <n v="0.25072227999364211"/>
    <s v="CohortAvg"/>
    <n v="2.1791689037598898E-3"/>
    <s v="CohortAvg_NonZero"/>
    <n v="3.7826477029125162E-8"/>
    <s v="CohortAvg"/>
    <n v="0"/>
    <s v="Zero"/>
    <n v="0"/>
    <s v="CohortAvg"/>
    <n v="0"/>
    <s v="CohortAvg"/>
    <n v="0"/>
    <n v="-62142.17"/>
    <n v="-24546.26"/>
    <n v="23296.02"/>
    <n v="0"/>
    <n v="0.04"/>
    <n v="0"/>
    <n v="0"/>
    <n v="1051595.17"/>
    <n v="7.1835999999999997E-2"/>
    <n v="1.1109"/>
    <n v="7.9800999999999997E-2"/>
    <s v="DonorCohort:202101+Seasonal(1.111)"/>
    <n v="83918.66"/>
    <n v="68536.22"/>
    <n v="15382.43"/>
    <x v="0"/>
    <n v="0"/>
    <n v="0.78500000000000003"/>
    <n v="0.24"/>
    <n v="0"/>
    <n v="0"/>
    <n v="0"/>
    <n v="68536.22"/>
    <n v="1114987.6200000001"/>
    <n v="6.1468000000000002E-2"/>
    <n v="15382.43"/>
    <n v="15382.48"/>
    <n v="0"/>
    <n v="15382.48"/>
    <n v="1036212.69"/>
    <s v="Forecast"/>
  </r>
  <r>
    <x v="13"/>
    <x v="3"/>
    <s v="202505"/>
    <n v="18"/>
    <n v="1405460.13"/>
    <n v="-4.9064420367964892E-2"/>
    <s v="CohortAvg"/>
    <n v="-2.1372248575897809E-2"/>
    <s v="CohortAvg"/>
    <n v="0.24186277243282719"/>
    <s v="CohortAvg"/>
    <n v="0"/>
    <s v="CohortAvg_NoData_ERROR"/>
    <n v="0"/>
    <s v="CohortAvg"/>
    <n v="0"/>
    <s v="Zero"/>
    <n v="0"/>
    <s v="CohortAvg"/>
    <n v="0"/>
    <s v="CohortAvg"/>
    <n v="0"/>
    <n v="-68958.09"/>
    <n v="-30037.84"/>
    <n v="28327.37"/>
    <n v="0"/>
    <n v="0"/>
    <n v="0"/>
    <n v="0"/>
    <n v="1334791.57"/>
    <n v="6.1674E-2"/>
    <n v="1.1109"/>
    <n v="6.8513000000000004E-2"/>
    <s v="DonorCohort:202101+Seasonal(1.111)"/>
    <n v="91450.54"/>
    <n v="82281.600000000006"/>
    <n v="9168.94"/>
    <x v="0"/>
    <n v="0"/>
    <n v="0.78500000000000003"/>
    <n v="0.24"/>
    <n v="0"/>
    <n v="0"/>
    <n v="0"/>
    <n v="82281.600000000006"/>
    <n v="1405460.13"/>
    <n v="5.8543999999999999E-2"/>
    <n v="9168.94"/>
    <n v="9168.94"/>
    <n v="0"/>
    <n v="9168.94"/>
    <n v="1325622.6299999999"/>
    <s v="Forecast"/>
  </r>
  <r>
    <x v="13"/>
    <x v="3"/>
    <s v="202506"/>
    <n v="17"/>
    <n v="1563438.18"/>
    <n v="-5.3193835318672091E-2"/>
    <s v="CohortAvg"/>
    <n v="-2.2411055285908161E-2"/>
    <s v="CohortAvg"/>
    <n v="0.25368060001016352"/>
    <s v="CohortAvg"/>
    <n v="0"/>
    <s v="CohortAvg_NoData_ERROR"/>
    <n v="0"/>
    <s v="CohortAvg"/>
    <n v="0"/>
    <s v="Zero"/>
    <n v="0"/>
    <s v="CohortAvg"/>
    <n v="0"/>
    <s v="CohortAvg"/>
    <n v="0"/>
    <n v="-83165.27"/>
    <n v="-35038.300000000003"/>
    <n v="33051.160000000003"/>
    <n v="0"/>
    <n v="0"/>
    <n v="0"/>
    <n v="0"/>
    <n v="1478285.77"/>
    <n v="5.8741000000000002E-2"/>
    <n v="1.1109"/>
    <n v="6.5254000000000006E-2"/>
    <s v="DonorCohort:202101+Seasonal(1.111)"/>
    <n v="96464.01"/>
    <n v="85526.05"/>
    <n v="10937.95"/>
    <x v="0"/>
    <n v="0"/>
    <n v="0.78500000000000003"/>
    <n v="0.24"/>
    <n v="0"/>
    <n v="0"/>
    <n v="0"/>
    <n v="85526.05"/>
    <n v="1563438.18"/>
    <n v="5.4704000000000003E-2"/>
    <n v="10937.95"/>
    <n v="10937.95"/>
    <n v="0"/>
    <n v="10937.95"/>
    <n v="1467347.82"/>
    <s v="Forecast"/>
  </r>
  <r>
    <x v="13"/>
    <x v="3"/>
    <s v="202507"/>
    <n v="16"/>
    <n v="2111892.5499999998"/>
    <n v="-3.9172265566011381E-2"/>
    <s v="CohortAvg"/>
    <n v="-2.3523320082054561E-2"/>
    <s v="CohortAvg"/>
    <n v="0.25452794401144641"/>
    <s v="CohortAvg"/>
    <n v="0"/>
    <s v="CohortAvg_NoData_ERROR"/>
    <n v="0"/>
    <s v="CohortAvg"/>
    <n v="0"/>
    <s v="Zero"/>
    <n v="0"/>
    <s v="CohortAvg"/>
    <n v="0"/>
    <s v="CohortAvg"/>
    <n v="0"/>
    <n v="-82727.62"/>
    <n v="-49678.720000000001"/>
    <n v="44794.64"/>
    <n v="0"/>
    <n v="0"/>
    <n v="0"/>
    <n v="0"/>
    <n v="2024280.85"/>
    <n v="5.4886999999999998E-2"/>
    <n v="1.1109"/>
    <n v="6.0972999999999999E-2"/>
    <s v="DonorCohort:202101+Seasonal(1.111)"/>
    <n v="123427.29"/>
    <n v="107517.74"/>
    <n v="15909.54"/>
    <x v="0"/>
    <n v="0"/>
    <n v="0.78500000000000003"/>
    <n v="0.24"/>
    <n v="0"/>
    <n v="0"/>
    <n v="0"/>
    <n v="107517.74"/>
    <n v="2111892.5499999998"/>
    <n v="5.0910999999999998E-2"/>
    <n v="15909.54"/>
    <n v="15909.54"/>
    <n v="0"/>
    <n v="15909.54"/>
    <n v="2008371.31"/>
    <s v="Forecast"/>
  </r>
  <r>
    <x v="13"/>
    <x v="3"/>
    <s v="202508"/>
    <n v="15"/>
    <n v="2388849.39"/>
    <n v="-3.9076762597691592E-2"/>
    <s v="CohortAvg"/>
    <n v="-1.7920740361408359E-2"/>
    <s v="CohortAvg"/>
    <n v="0.2443857257718281"/>
    <s v="CohortAvg"/>
    <n v="0"/>
    <s v="CohortAvg_NoData_ERROR"/>
    <n v="0"/>
    <s v="CohortAvg"/>
    <n v="0"/>
    <s v="Zero"/>
    <n v="0"/>
    <s v="CohortAvg"/>
    <n v="0"/>
    <s v="CohortAvg"/>
    <n v="0"/>
    <n v="-93348.5"/>
    <n v="-42809.95"/>
    <n v="48650.06"/>
    <n v="0"/>
    <n v="0"/>
    <n v="0"/>
    <n v="0"/>
    <n v="2301341"/>
    <n v="5.1081000000000001E-2"/>
    <n v="1.1109"/>
    <n v="5.6744999999999997E-2"/>
    <s v="DonorCohort:202101+Seasonal(1.111)"/>
    <n v="130590.63"/>
    <n v="102516.03"/>
    <n v="28074.59"/>
    <x v="0"/>
    <n v="0"/>
    <n v="0.78500000000000003"/>
    <n v="0.24"/>
    <n v="0"/>
    <n v="0"/>
    <n v="0"/>
    <n v="102516.03"/>
    <n v="2388849.39"/>
    <n v="4.2914000000000001E-2"/>
    <n v="28074.59"/>
    <n v="28074.59"/>
    <n v="0"/>
    <n v="28074.59"/>
    <n v="2273266.4"/>
    <s v="Forecast"/>
  </r>
  <r>
    <x v="13"/>
    <x v="3"/>
    <s v="202509"/>
    <n v="14"/>
    <n v="473422.47"/>
    <n v="-0.24932783142100631"/>
    <s v="CohortAvg"/>
    <n v="-3.647664463450456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18037.4"/>
    <n v="-17268.86"/>
    <n v="19725.939999999999"/>
    <n v="0"/>
    <n v="0"/>
    <n v="0"/>
    <n v="0"/>
    <n v="357842.15"/>
    <n v="4.3057999999999999E-2"/>
    <n v="1.1109"/>
    <n v="4.7833000000000001E-2"/>
    <s v="DonorCohort:202101+Seasonal(1.111)"/>
    <n v="17116.59"/>
    <n v="17942.62"/>
    <n v="-826.03"/>
    <x v="0"/>
    <n v="0"/>
    <n v="0.78500000000000003"/>
    <n v="0.24"/>
    <n v="0"/>
    <n v="0"/>
    <n v="0"/>
    <n v="17942.62"/>
    <n v="473422.47"/>
    <n v="3.7900000000000003E-2"/>
    <n v="-826.03"/>
    <n v="-826.03"/>
    <n v="0"/>
    <n v="-826.03"/>
    <n v="358668.18"/>
    <s v="Forecast"/>
  </r>
  <r>
    <x v="13"/>
    <x v="4"/>
    <s v="202101"/>
    <n v="68"/>
    <n v="444338.89"/>
    <n v="-0.13718525685277921"/>
    <s v="CohortAvg"/>
    <n v="-1.148067821544844E-2"/>
    <s v="CohortAvg"/>
    <n v="0.131233823754761"/>
    <s v="CohortAvg"/>
    <n v="4.5731265034861662E-2"/>
    <s v="CohortAvg_NonZero"/>
    <n v="0"/>
    <s v="CohortAvg"/>
    <n v="0"/>
    <s v="Zero"/>
    <n v="0"/>
    <s v="CohortAvg"/>
    <n v="0"/>
    <s v="CohortAvg"/>
    <n v="0"/>
    <n v="-60956.74"/>
    <n v="-5101.3100000000004"/>
    <n v="4859.3599999999997"/>
    <n v="0"/>
    <n v="0"/>
    <n v="0"/>
    <n v="0"/>
    <n v="383140.19"/>
    <n v="0.170124"/>
    <n v="0.88090000000000002"/>
    <n v="0.149862"/>
    <s v="CohortAvg+Seasonal(0.881)"/>
    <n v="57418.01"/>
    <n v="70570.91"/>
    <n v="-13152.9"/>
    <x v="0"/>
    <n v="0"/>
    <n v="0.78500000000000003"/>
    <n v="0.24"/>
    <n v="0"/>
    <n v="0"/>
    <n v="0"/>
    <n v="70570.91"/>
    <n v="444338.89"/>
    <n v="0.15882199999999999"/>
    <n v="-13152.9"/>
    <n v="-13152.9"/>
    <n v="0"/>
    <n v="-13152.9"/>
    <n v="396293.08"/>
    <s v="Forecast"/>
  </r>
  <r>
    <x v="13"/>
    <x v="4"/>
    <s v="202201"/>
    <n v="50"/>
    <n v="27508.22"/>
    <n v="-9.8610482714470329E-2"/>
    <s v="CohortAvg"/>
    <n v="-9.5698213167422063E-3"/>
    <s v="CohortAvg"/>
    <n v="9.9666914752294958E-2"/>
    <s v="CohortAvg"/>
    <n v="3.6374021618711963E-2"/>
    <s v="CohortAvg_NonZero"/>
    <n v="1.191408369277553E-9"/>
    <s v="CohortAvg"/>
    <n v="0"/>
    <s v="Zero"/>
    <n v="0"/>
    <s v="CohortAvg"/>
    <n v="0"/>
    <s v="CohortAvg"/>
    <n v="0"/>
    <n v="-2712.6"/>
    <n v="-263.25"/>
    <n v="228.47"/>
    <n v="0"/>
    <n v="0"/>
    <n v="0"/>
    <n v="0"/>
    <n v="24760.84"/>
    <n v="3.9147000000000001E-2"/>
    <n v="0.88090000000000002"/>
    <n v="3.4485000000000002E-2"/>
    <s v="CohortAvg+Seasonal(0.881)"/>
    <n v="853.88"/>
    <n v="1009.68"/>
    <n v="-155.81"/>
    <x v="0"/>
    <n v="0"/>
    <n v="0.78500000000000003"/>
    <n v="0.24"/>
    <n v="0"/>
    <n v="0"/>
    <n v="0"/>
    <n v="1009.68"/>
    <n v="27508.22"/>
    <n v="3.6705000000000002E-2"/>
    <n v="-155.81"/>
    <n v="-155.81"/>
    <n v="0"/>
    <n v="-155.81"/>
    <n v="24916.65"/>
    <s v="Forecast"/>
  </r>
  <r>
    <x v="13"/>
    <x v="4"/>
    <s v="202405"/>
    <n v="30"/>
    <n v="3868.43"/>
    <n v="-1.674327653103844E-2"/>
    <s v="CohortAvg"/>
    <n v="-1.045955956124767E-2"/>
    <s v="CohortAvg"/>
    <n v="0.12157284090484539"/>
    <s v="CohortAvg"/>
    <n v="0"/>
    <s v="CohortAvg_NoData_ERROR"/>
    <n v="0"/>
    <s v="CohortAvg"/>
    <n v="0"/>
    <s v="Zero"/>
    <n v="0"/>
    <s v="CohortAvg"/>
    <n v="0"/>
    <s v="CohortAvg"/>
    <n v="0"/>
    <n v="-64.77"/>
    <n v="-40.46"/>
    <n v="39.19"/>
    <n v="0"/>
    <n v="0"/>
    <n v="0"/>
    <n v="0"/>
    <n v="3802.39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3868.43"/>
    <n v="0"/>
    <n v="0"/>
    <n v="0"/>
    <n v="0"/>
    <n v="0"/>
    <n v="3802.39"/>
    <s v="Forecast"/>
  </r>
  <r>
    <x v="13"/>
    <x v="4"/>
    <s v="202407"/>
    <n v="28"/>
    <n v="1525.58"/>
    <n v="-5.3558432482210351E-2"/>
    <s v="CohortAvg"/>
    <n v="-1.049626704229777E-2"/>
    <s v="CohortAvg"/>
    <n v="0.12046131759514241"/>
    <s v="CohortAvg"/>
    <n v="0"/>
    <s v="CohortAvg_NoData_ERROR"/>
    <n v="0"/>
    <s v="CohortAvg"/>
    <n v="0"/>
    <s v="Zero"/>
    <n v="0"/>
    <s v="CohortAvg"/>
    <n v="0"/>
    <s v="CohortAvg"/>
    <n v="0"/>
    <n v="-81.709999999999994"/>
    <n v="-16.010000000000002"/>
    <n v="15.31"/>
    <n v="0"/>
    <n v="0"/>
    <n v="0"/>
    <n v="0"/>
    <n v="1443.17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1525.58"/>
    <n v="0"/>
    <n v="0"/>
    <n v="0"/>
    <n v="0"/>
    <n v="0"/>
    <n v="1443.17"/>
    <s v="Forecast"/>
  </r>
  <r>
    <x v="13"/>
    <x v="4"/>
    <s v="202409"/>
    <n v="26"/>
    <n v="5751.04"/>
    <n v="-4.3436427693886608E-2"/>
    <s v="CohortAvg"/>
    <n v="-1.0465924595537969E-2"/>
    <s v="CohortAvg"/>
    <n v="0.12081973657305189"/>
    <s v="CohortAvg"/>
    <n v="0"/>
    <s v="CohortAvg_NoData_ERROR"/>
    <n v="0"/>
    <s v="CohortAvg"/>
    <n v="0"/>
    <s v="Zero"/>
    <n v="0"/>
    <s v="CohortAvg"/>
    <n v="0"/>
    <s v="CohortAvg"/>
    <n v="0"/>
    <n v="-249.8"/>
    <n v="-60.19"/>
    <n v="57.9"/>
    <n v="0"/>
    <n v="0"/>
    <n v="0"/>
    <n v="0"/>
    <n v="5498.95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5751.04"/>
    <n v="0"/>
    <n v="0"/>
    <n v="0"/>
    <n v="0"/>
    <n v="0"/>
    <n v="5498.95"/>
    <s v="Forecast"/>
  </r>
  <r>
    <x v="13"/>
    <x v="4"/>
    <s v="202504"/>
    <n v="19"/>
    <n v="3932.77"/>
    <n v="-1.298098139951924E-2"/>
    <s v="CohortAvg"/>
    <n v="-1.043024849551066E-2"/>
    <s v="CohortAvg"/>
    <n v="0.12555199567580569"/>
    <s v="CohortAvg"/>
    <n v="0"/>
    <s v="CohortAvg_NoData_ERROR"/>
    <n v="0"/>
    <s v="CohortAvg"/>
    <n v="0"/>
    <s v="Zero"/>
    <n v="0"/>
    <s v="CohortAvg"/>
    <n v="0"/>
    <s v="CohortAvg"/>
    <n v="0"/>
    <n v="-51.05"/>
    <n v="-41.02"/>
    <n v="41.15"/>
    <n v="0"/>
    <n v="0"/>
    <n v="0"/>
    <n v="0"/>
    <n v="3881.85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3932.77"/>
    <n v="0"/>
    <n v="0"/>
    <n v="0"/>
    <n v="0"/>
    <n v="0"/>
    <n v="3881.85"/>
    <s v="Forecast"/>
  </r>
  <r>
    <x v="13"/>
    <x v="4"/>
    <s v="202507"/>
    <n v="16"/>
    <n v="8833.69"/>
    <n v="-1.151285313446513E-2"/>
    <s v="CohortAvg"/>
    <n v="-1.138035100271057E-2"/>
    <s v="CohortAvg"/>
    <n v="0.13541717865315911"/>
    <s v="CohortAvg"/>
    <n v="0"/>
    <s v="CohortAvg_NoData_ERROR"/>
    <n v="0"/>
    <s v="CohortAvg"/>
    <n v="0"/>
    <s v="Zero"/>
    <n v="0"/>
    <s v="CohortAvg"/>
    <n v="0"/>
    <s v="CohortAvg"/>
    <n v="0"/>
    <n v="-101.7"/>
    <n v="-100.53"/>
    <n v="99.69"/>
    <n v="0"/>
    <n v="0"/>
    <n v="0"/>
    <n v="0"/>
    <n v="8731.15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8833.69"/>
    <n v="0"/>
    <n v="0"/>
    <n v="0"/>
    <n v="0"/>
    <n v="0"/>
    <n v="8731.15"/>
    <s v="Forecast"/>
  </r>
  <r>
    <x v="13"/>
    <x v="4"/>
    <s v="202508"/>
    <n v="15"/>
    <n v="30016.32"/>
    <n v="-7.4640971624778353E-3"/>
    <s v="CohortAvg"/>
    <n v="-3.8416662085759661E-3"/>
    <s v="CohortAvg"/>
    <n v="0.1339279894288285"/>
    <s v="CohortAvg"/>
    <n v="0"/>
    <s v="CohortAvg_NoData_ERROR"/>
    <n v="0"/>
    <s v="CohortAvg"/>
    <n v="0"/>
    <s v="Zero"/>
    <n v="0"/>
    <s v="CohortAvg"/>
    <n v="0"/>
    <s v="CohortAvg"/>
    <n v="0"/>
    <n v="-224.04"/>
    <n v="-115.31"/>
    <n v="335"/>
    <n v="0"/>
    <n v="0"/>
    <n v="0"/>
    <n v="0"/>
    <n v="30011.96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30016.32"/>
    <n v="0"/>
    <n v="0"/>
    <n v="0"/>
    <n v="0"/>
    <n v="0"/>
    <n v="30011.96"/>
    <s v="Forecast"/>
  </r>
  <r>
    <x v="13"/>
    <x v="4"/>
    <s v="202509"/>
    <n v="14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88090000000000002"/>
    <n v="0"/>
    <s v="Manual+Seasonal(0.881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4"/>
    <x v="0"/>
    <s v="201912"/>
    <n v="84"/>
    <n v="320144.65999999997"/>
    <n v="-3.7916571564920271E-4"/>
    <s v="CohortAvg"/>
    <n v="1.486328873409215E-3"/>
    <s v="CohortAvg"/>
    <n v="0"/>
    <s v="CohortAvg"/>
    <n v="2.8990986778724869E-2"/>
    <s v="CohortAvg_NonZero"/>
    <n v="1.8135447030536711E-5"/>
    <s v="CohortAvg"/>
    <n v="0"/>
    <s v="Zero"/>
    <n v="0"/>
    <s v="CohortAvg"/>
    <n v="0"/>
    <s v="CohortAvg"/>
    <n v="0"/>
    <n v="-121.39"/>
    <n v="475.84"/>
    <n v="0"/>
    <n v="9281.31"/>
    <n v="5.81"/>
    <n v="0"/>
    <n v="0"/>
    <n v="310260.32"/>
    <n v="0.99666299999999997"/>
    <n v="1.0328999999999999"/>
    <n v="1.0294719999999999"/>
    <s v="CohortAvg+Seasonal(1.033)"/>
    <n v="319404.45"/>
    <n v="379060.51"/>
    <n v="-59656.05"/>
    <x v="1"/>
    <n v="9281.31"/>
    <n v="0.78500000000000003"/>
    <n v="0.24"/>
    <n v="7285.83"/>
    <n v="7285.83"/>
    <n v="2227.5100000000002"/>
    <n v="371774.68"/>
    <n v="310863.34999999998"/>
    <n v="1.1959420000000001"/>
    <n v="-52370.22"/>
    <n v="-52364.42"/>
    <n v="18794.650000000001"/>
    <n v="-33569.760000000002"/>
    <n v="343830.08"/>
    <s v="Forecast"/>
  </r>
  <r>
    <x v="14"/>
    <x v="0"/>
    <s v="202001"/>
    <n v="83"/>
    <n v="54477.279999999999"/>
    <n v="3.8498012582115708E-2"/>
    <s v="CohortAvg"/>
    <n v="1.6524894681215099E-3"/>
    <s v="CohortAvg"/>
    <n v="0"/>
    <s v="CohortAvg"/>
    <n v="1.301892961160255E-2"/>
    <s v="CohortAvg_NonZero"/>
    <n v="0"/>
    <s v="CohortAvg"/>
    <n v="0"/>
    <s v="Zero"/>
    <n v="0"/>
    <s v="CohortAvg"/>
    <n v="0"/>
    <s v="CohortAvg"/>
    <n v="0"/>
    <n v="2097.27"/>
    <n v="90.02"/>
    <n v="0"/>
    <n v="709.24"/>
    <n v="0"/>
    <n v="0"/>
    <n v="0"/>
    <n v="51580.75"/>
    <n v="0.998386"/>
    <n v="1.0328999999999999"/>
    <n v="1.0312520000000001"/>
    <s v="CohortAvg+Seasonal(1.033)"/>
    <n v="53192.78"/>
    <n v="64616.7"/>
    <n v="-11423.92"/>
    <x v="1"/>
    <n v="709.24"/>
    <n v="0.78500000000000003"/>
    <n v="0.24"/>
    <n v="556.75"/>
    <n v="556.75"/>
    <n v="170.22"/>
    <n v="64059.95"/>
    <n v="53768.04"/>
    <n v="1.1914130000000001"/>
    <n v="-10867.17"/>
    <n v="-10867.17"/>
    <n v="1436.2"/>
    <n v="-9430.9699999999993"/>
    <n v="61011.72"/>
    <s v="Forecast"/>
  </r>
  <r>
    <x v="14"/>
    <x v="0"/>
    <s v="202101"/>
    <n v="71"/>
    <n v="712364.83"/>
    <n v="-5.0932728443269966E-3"/>
    <s v="CohortAvg"/>
    <n v="-2.0387542767877358E-3"/>
    <s v="CohortAvg"/>
    <n v="0"/>
    <s v="CohortAvg"/>
    <n v="1.54372984696218E-2"/>
    <s v="CohortAvg_NonZero"/>
    <n v="1.4926231586575709E-5"/>
    <s v="CohortAvg"/>
    <n v="0"/>
    <s v="Zero"/>
    <n v="0"/>
    <s v="CohortAvg"/>
    <n v="0"/>
    <s v="CohortAvg"/>
    <n v="0"/>
    <n v="-3628.27"/>
    <n v="-1452.34"/>
    <n v="0"/>
    <n v="10996.99"/>
    <n v="10.63"/>
    <n v="0"/>
    <n v="0"/>
    <n v="696276.6"/>
    <n v="0.94513199999999997"/>
    <n v="1.0328999999999999"/>
    <n v="0.97624500000000003"/>
    <s v="CohortAvg+Seasonal(1.033)"/>
    <n v="679736.57"/>
    <n v="799723.19"/>
    <n v="-119986.62"/>
    <x v="1"/>
    <n v="10996.99"/>
    <n v="0.78500000000000003"/>
    <n v="0.24"/>
    <n v="8632.64"/>
    <n v="8632.64"/>
    <n v="2639.28"/>
    <n v="791090.55"/>
    <n v="701367.84"/>
    <n v="1.1279250000000001"/>
    <n v="-111353.98"/>
    <n v="-111343.35"/>
    <n v="22268.9"/>
    <n v="-89074.45"/>
    <n v="785351.05"/>
    <s v="Forecast"/>
  </r>
  <r>
    <x v="14"/>
    <x v="0"/>
    <s v="202201"/>
    <n v="51"/>
    <n v="175305.89"/>
    <n v="-0.11518473885983931"/>
    <s v="CohortAvg"/>
    <n v="-5.984497078397398E-3"/>
    <s v="CohortAvg"/>
    <n v="2.5728174594358711E-2"/>
    <s v="CohortAvg"/>
    <n v="4.2560946208270722E-2"/>
    <s v="CohortAvg_NonZero"/>
    <n v="4.5182160373088099E-3"/>
    <s v="CohortAvg"/>
    <n v="0"/>
    <s v="Zero"/>
    <n v="-2.261326581096148E-5"/>
    <s v="CohortAvg"/>
    <n v="-4.9843397275967469E-7"/>
    <s v="CohortAvg"/>
    <n v="0"/>
    <n v="-20192.560000000001"/>
    <n v="-1049.1199999999999"/>
    <n v="375.86"/>
    <n v="7461.18"/>
    <n v="792.07"/>
    <n v="-3.96"/>
    <n v="-0.09"/>
    <n v="146186.81"/>
    <n v="0.58492599999999995"/>
    <n v="1.0328999999999999"/>
    <n v="0.604182"/>
    <s v="CohortAvg+Seasonal(1.033)"/>
    <n v="88323.4"/>
    <n v="121850.5"/>
    <n v="-33527.11"/>
    <x v="1"/>
    <n v="7461.18"/>
    <n v="0.78500000000000003"/>
    <n v="0.24"/>
    <n v="5857.03"/>
    <n v="5857.03"/>
    <n v="1790.68"/>
    <n v="115993.47"/>
    <n v="167844.71"/>
    <n v="0.69107600000000002"/>
    <n v="-27670.080000000002"/>
    <n v="-26878.01"/>
    <n v="15108.9"/>
    <n v="-11769.11"/>
    <n v="157955.92000000001"/>
    <s v="Forecast"/>
  </r>
  <r>
    <x v="14"/>
    <x v="0"/>
    <s v="202301"/>
    <n v="42"/>
    <n v="1957744.53"/>
    <n v="-6.9418364832827872E-2"/>
    <s v="CohortAvg"/>
    <n v="-1.6853743191899639E-2"/>
    <s v="CohortAvg"/>
    <n v="0.2059647413895912"/>
    <s v="CohortAvg"/>
    <n v="6.6121625808425191E-2"/>
    <s v="CohortAvg_NonZero"/>
    <n v="1.124734311666088E-4"/>
    <s v="CohortAvg"/>
    <n v="0"/>
    <s v="Zero"/>
    <n v="-5.1750557115665743E-3"/>
    <s v="CohortAvg"/>
    <n v="-7.1360134418981786E-5"/>
    <s v="CohortAvg"/>
    <n v="0"/>
    <n v="-135903.42000000001"/>
    <n v="-32995.32"/>
    <n v="33602.199999999997"/>
    <n v="129449.25"/>
    <n v="220.19"/>
    <n v="-10131.44"/>
    <n v="-139.69999999999999"/>
    <n v="1692778.53"/>
    <n v="0.60564700000000005"/>
    <n v="1.0328999999999999"/>
    <n v="0.62558400000000003"/>
    <s v="CohortAvg+Seasonal(1.033)"/>
    <n v="1058975.94"/>
    <n v="1395712.87"/>
    <n v="-336736.93"/>
    <x v="1"/>
    <n v="129449.25"/>
    <n v="0.78500000000000003"/>
    <n v="0.24"/>
    <n v="101617.66"/>
    <n v="101617.66"/>
    <n v="31067.82"/>
    <n v="1294095.21"/>
    <n v="1828295.28"/>
    <n v="0.70781499999999997"/>
    <n v="-235119.27"/>
    <n v="-234899.07"/>
    <n v="262134.73"/>
    <n v="27235.66"/>
    <n v="1665542.87"/>
    <s v="Forecast"/>
  </r>
  <r>
    <x v="14"/>
    <x v="0"/>
    <s v="202404"/>
    <n v="32"/>
    <n v="306369.23"/>
    <n v="-7.2322844509732157E-2"/>
    <s v="CohortAvg"/>
    <n v="-2.4078760772500391E-2"/>
    <s v="CohortAvg"/>
    <n v="0.25313338874641939"/>
    <s v="CohortAvg"/>
    <n v="0.1094046435223493"/>
    <s v="CohortAvg_NonZero"/>
    <n v="9.5197875375725835E-5"/>
    <s v="CohortAvg"/>
    <n v="0"/>
    <s v="Zero"/>
    <n v="-7.6530382464097988E-3"/>
    <s v="CohortAvg"/>
    <n v="-1.536126188843241E-4"/>
    <s v="CohortAvg"/>
    <n v="0"/>
    <n v="-22157.49"/>
    <n v="-7376.99"/>
    <n v="6462.69"/>
    <n v="33518.22"/>
    <n v="29.17"/>
    <n v="-2344.66"/>
    <n v="-47.06"/>
    <n v="249750.05"/>
    <n v="0.43078699999999998"/>
    <n v="1.0328999999999999"/>
    <n v="0.44496799999999997"/>
    <s v="CohortTrend+Seasonal(1.033)"/>
    <n v="111130.88"/>
    <n v="153170.76"/>
    <n v="-42039.88"/>
    <x v="1"/>
    <n v="33518.22"/>
    <n v="0.78500000000000003"/>
    <n v="0.24"/>
    <n v="26311.8"/>
    <n v="26311.8"/>
    <n v="8044.37"/>
    <n v="126858.96"/>
    <n v="272851.02"/>
    <n v="0.46493899999999999"/>
    <n v="-15728.08"/>
    <n v="-15698.91"/>
    <n v="67874.39"/>
    <n v="52175.48"/>
    <n v="197574.58"/>
    <s v="Forecast"/>
  </r>
  <r>
    <x v="14"/>
    <x v="0"/>
    <s v="202405"/>
    <n v="31"/>
    <n v="446077.5"/>
    <n v="-6.0892716951191472E-2"/>
    <s v="CohortAvg"/>
    <n v="-2.430758002936248E-2"/>
    <s v="CohortAvg"/>
    <n v="0.2617460292237177"/>
    <s v="CohortAvg"/>
    <n v="0.10571745061034379"/>
    <s v="CohortAvg_NonZero"/>
    <n v="1.5053185194393231E-4"/>
    <s v="CohortAvg"/>
    <n v="0"/>
    <s v="Zero"/>
    <n v="-1.1497844592072841E-2"/>
    <s v="CohortAvg"/>
    <n v="-2.0267517391500271E-4"/>
    <s v="CohortAvg"/>
    <n v="0"/>
    <n v="-27162.87"/>
    <n v="-10843.06"/>
    <n v="9729.92"/>
    <n v="47158.18"/>
    <n v="67.150000000000006"/>
    <n v="-5128.93"/>
    <n v="-90.41"/>
    <n v="370576.16"/>
    <n v="0.37634200000000001"/>
    <n v="1.0328999999999999"/>
    <n v="0.38873099999999999"/>
    <s v="CohortTrend+Seasonal(1.033)"/>
    <n v="144054.39999999999"/>
    <n v="195507.36"/>
    <n v="-51452.959999999999"/>
    <x v="1"/>
    <n v="47158.18"/>
    <n v="0.78500000000000003"/>
    <n v="0.24"/>
    <n v="37019.17"/>
    <n v="37019.17"/>
    <n v="11317.96"/>
    <n v="158488.19"/>
    <n v="398919.33"/>
    <n v="0.39729399999999998"/>
    <n v="-14433.79"/>
    <n v="-14366.64"/>
    <n v="95495.31"/>
    <n v="81128.67"/>
    <n v="289447.49"/>
    <s v="Forecast"/>
  </r>
  <r>
    <x v="14"/>
    <x v="0"/>
    <s v="202406"/>
    <n v="30"/>
    <n v="755428.25"/>
    <n v="-5.5996535762490217E-2"/>
    <s v="CohortAvg"/>
    <n v="-2.547118827080001E-2"/>
    <s v="CohortAvg"/>
    <n v="0.28048408838659361"/>
    <s v="CohortAvg"/>
    <n v="6.6187515436489652E-2"/>
    <s v="CohortAvg_NonZero"/>
    <n v="1.494275078941264E-5"/>
    <s v="CohortAvg"/>
    <n v="0"/>
    <s v="Zero"/>
    <n v="-9.5989361922351624E-3"/>
    <s v="CohortAvg"/>
    <n v="-2.0832876286921751E-4"/>
    <s v="CohortAvg"/>
    <n v="0"/>
    <n v="-42301.37"/>
    <n v="-19241.66"/>
    <n v="17657.13"/>
    <n v="49999.92"/>
    <n v="11.29"/>
    <n v="-7251.31"/>
    <n v="-157.38"/>
    <n v="661531.16"/>
    <n v="0.335895"/>
    <n v="1.0328999999999999"/>
    <n v="0.34695199999999998"/>
    <s v="CohortTrend+Seasonal(1.033)"/>
    <n v="229519.58"/>
    <n v="294873.44"/>
    <n v="-65353.86"/>
    <x v="1"/>
    <n v="49999.92"/>
    <n v="0.78500000000000003"/>
    <n v="0.24"/>
    <n v="39249.94"/>
    <n v="39249.94"/>
    <n v="11999.98"/>
    <n v="255623.5"/>
    <n v="705428.34"/>
    <n v="0.36236600000000002"/>
    <n v="-26103.919999999998"/>
    <n v="-26092.63"/>
    <n v="101249.84"/>
    <n v="75157.2"/>
    <n v="586373.96"/>
    <s v="Forecast"/>
  </r>
  <r>
    <x v="14"/>
    <x v="0"/>
    <s v="202407"/>
    <n v="29"/>
    <n v="796991.25"/>
    <n v="-5.2900982847011682E-2"/>
    <s v="CohortAvg"/>
    <n v="-2.6783854031269979E-2"/>
    <s v="CohortAvg"/>
    <n v="0.28907022450329339"/>
    <s v="CohortAvg"/>
    <n v="7.3873839465328509E-2"/>
    <s v="CohortAvg_NonZero"/>
    <n v="1.9391265937783149E-5"/>
    <s v="CohortAvg"/>
    <n v="0"/>
    <s v="Zero"/>
    <n v="-1.2180579583553751E-2"/>
    <s v="CohortAvg"/>
    <n v="-6.6686582223258813E-5"/>
    <s v="CohortAvg"/>
    <n v="0"/>
    <n v="-42161.62"/>
    <n v="-21346.5"/>
    <n v="19198.87"/>
    <n v="58876.800000000003"/>
    <n v="15.45"/>
    <n v="-9707.82"/>
    <n v="-53.15"/>
    <n v="693789.75"/>
    <n v="0.28528300000000001"/>
    <n v="1.0328999999999999"/>
    <n v="0.29467500000000002"/>
    <s v="CohortTrend+Seasonal(1.033)"/>
    <n v="204442.38"/>
    <n v="265238.28000000003"/>
    <n v="-60795.9"/>
    <x v="1"/>
    <n v="58876.800000000003"/>
    <n v="0.78500000000000003"/>
    <n v="0.24"/>
    <n v="46218.29"/>
    <n v="46218.29"/>
    <n v="14130.43"/>
    <n v="219019.99"/>
    <n v="738114.45"/>
    <n v="0.29672900000000002"/>
    <n v="-14577.6"/>
    <n v="-14562.15"/>
    <n v="119225.53"/>
    <n v="104663.38"/>
    <n v="589126.37"/>
    <s v="Forecast"/>
  </r>
  <r>
    <x v="14"/>
    <x v="0"/>
    <s v="202408"/>
    <n v="28"/>
    <n v="655809.35"/>
    <n v="-6.4854922531641615E-2"/>
    <s v="CohortAvg"/>
    <n v="-2.6144945861377361E-2"/>
    <s v="CohortAvg"/>
    <n v="0.27929862490210128"/>
    <s v="CohortAvg"/>
    <n v="9.7128087230681878E-2"/>
    <s v="CohortAvg_NonZero"/>
    <n v="1.2264053045760691E-4"/>
    <s v="CohortAvg"/>
    <n v="0"/>
    <s v="Zero"/>
    <n v="-1.3648200079528289E-2"/>
    <s v="CohortAvg"/>
    <n v="-3.1134849232816671E-4"/>
    <s v="CohortAvg"/>
    <n v="0"/>
    <n v="-42532.46"/>
    <n v="-17146.099999999999"/>
    <n v="15263.89"/>
    <n v="63697.51"/>
    <n v="80.430000000000007"/>
    <n v="-8950.6200000000008"/>
    <n v="-204.19"/>
    <n v="547616.74"/>
    <n v="0.26367600000000002"/>
    <n v="1.0328999999999999"/>
    <n v="0.27235599999999999"/>
    <s v="CohortTrend+Seasonal(1.033)"/>
    <n v="149146.88"/>
    <n v="201960.51"/>
    <n v="-52813.63"/>
    <x v="1"/>
    <n v="63697.51"/>
    <n v="0.78500000000000003"/>
    <n v="0.24"/>
    <n v="50002.54"/>
    <n v="50002.54"/>
    <n v="15287.4"/>
    <n v="151957.97"/>
    <n v="592111.84"/>
    <n v="0.256637"/>
    <n v="-2811.09"/>
    <n v="-2730.66"/>
    <n v="128987.45"/>
    <n v="126256.79"/>
    <n v="421359.94"/>
    <s v="Forecast"/>
  </r>
  <r>
    <x v="14"/>
    <x v="0"/>
    <s v="202409"/>
    <n v="27"/>
    <n v="573869.72"/>
    <n v="-7.0420514280652949E-2"/>
    <s v="CohortAvg"/>
    <n v="-2.9358901144599749E-2"/>
    <s v="CohortAvg"/>
    <n v="0.29655770846354162"/>
    <s v="CohortAvg"/>
    <n v="0.10134911614476701"/>
    <s v="CohortAvg_NonZero"/>
    <n v="3.3182109211459768E-4"/>
    <s v="CohortAvg"/>
    <n v="0"/>
    <s v="Zero"/>
    <n v="-1.574929877798505E-2"/>
    <s v="CohortAvg"/>
    <n v="9.7420796954463624E-4"/>
    <s v="CohortAvg"/>
    <n v="0"/>
    <n v="-40412.199999999997"/>
    <n v="-16848.18"/>
    <n v="14182.12"/>
    <n v="58161.19"/>
    <n v="190.42"/>
    <n v="-9038.0499999999993"/>
    <n v="559.07000000000005"/>
    <n v="472439.85"/>
    <n v="0.24646000000000001"/>
    <n v="1.0328999999999999"/>
    <n v="0.25457299999999999"/>
    <s v="CohortTrend+Seasonal(1.033)"/>
    <n v="120270.59"/>
    <n v="165102.94"/>
    <n v="-44832.35"/>
    <x v="1"/>
    <n v="58161.19"/>
    <n v="0.78500000000000003"/>
    <n v="0.24"/>
    <n v="45656.53"/>
    <n v="45656.53"/>
    <n v="13958.69"/>
    <n v="119446.41"/>
    <n v="515708.53"/>
    <n v="0.23161599999999999"/>
    <n v="824.18"/>
    <n v="1014.6"/>
    <n v="117776.41"/>
    <n v="118791.01"/>
    <n v="353648.84"/>
    <s v="Forecast"/>
  </r>
  <r>
    <x v="14"/>
    <x v="0"/>
    <s v="202410"/>
    <n v="26"/>
    <n v="857285"/>
    <n v="-6.4956021107528239E-2"/>
    <s v="CohortAvg"/>
    <n v="-2.9852874588308039E-2"/>
    <s v="CohortAvg"/>
    <n v="0.29615496861249152"/>
    <s v="CohortAvg"/>
    <n v="9.1001744043946786E-2"/>
    <s v="CohortAvg_NonZero"/>
    <n v="8.4099801286737072E-5"/>
    <s v="CohortAvg"/>
    <n v="0"/>
    <s v="Zero"/>
    <n v="-1.93319253088651E-2"/>
    <s v="CohortAvg"/>
    <n v="-2.840736068458175E-4"/>
    <s v="CohortAvg"/>
    <n v="0"/>
    <n v="-55685.82"/>
    <n v="-25592.42"/>
    <n v="21157.43"/>
    <n v="78014.429999999993"/>
    <n v="72.099999999999994"/>
    <n v="-16572.97"/>
    <n v="-243.53"/>
    <n v="719077.66"/>
    <n v="0.233185"/>
    <n v="1.0328999999999999"/>
    <n v="0.24086199999999999"/>
    <s v="CohortTrend+Seasonal(1.033)"/>
    <n v="173198.14"/>
    <n v="233634.27"/>
    <n v="-60436.13"/>
    <x v="1"/>
    <n v="78014.429999999993"/>
    <n v="0.78500000000000003"/>
    <n v="0.24"/>
    <n v="61241.33"/>
    <n v="61241.33"/>
    <n v="18723.46"/>
    <n v="172392.94"/>
    <n v="779270.57"/>
    <n v="0.221223"/>
    <n v="805.2"/>
    <n v="877.3"/>
    <n v="157979.22"/>
    <n v="158856.51999999999"/>
    <n v="560221.14"/>
    <s v="Forecast"/>
  </r>
  <r>
    <x v="14"/>
    <x v="0"/>
    <s v="202411"/>
    <n v="25"/>
    <n v="906684.99"/>
    <n v="-6.9543309042523441E-2"/>
    <s v="CohortAvg"/>
    <n v="-3.0847839712333319E-2"/>
    <s v="CohortAvg"/>
    <n v="0.31681624514099122"/>
    <s v="CohortAvg"/>
    <n v="8.1030284116936441E-2"/>
    <s v="CohortAvg_NonZero"/>
    <n v="1.153417840633405E-5"/>
    <s v="CohortAvg"/>
    <n v="0"/>
    <s v="Zero"/>
    <n v="-1.8551298617101201E-2"/>
    <s v="CohortAvg"/>
    <n v="-3.7136239900863118E-4"/>
    <s v="CohortAvg"/>
    <n v="0"/>
    <n v="-63053.87"/>
    <n v="-27969.27"/>
    <n v="23937.71"/>
    <n v="73468.94"/>
    <n v="10.46"/>
    <n v="-16820.18"/>
    <n v="-336.71"/>
    <n v="766120.15"/>
    <n v="0.22706499999999999"/>
    <n v="1.0328999999999999"/>
    <n v="0.234539"/>
    <s v="CohortTrend+Seasonal(1.033)"/>
    <n v="179685.38"/>
    <n v="240104.11"/>
    <n v="-60418.720000000001"/>
    <x v="1"/>
    <n v="73468.94"/>
    <n v="0.78500000000000003"/>
    <n v="0.24"/>
    <n v="57673.120000000003"/>
    <n v="57673.120000000003"/>
    <n v="17632.55"/>
    <n v="182430.99"/>
    <n v="833216.04"/>
    <n v="0.218948"/>
    <n v="-2745.6"/>
    <n v="-2735.15"/>
    <n v="148774.60999999999"/>
    <n v="146039.46"/>
    <n v="620080.68999999994"/>
    <s v="Forecast"/>
  </r>
  <r>
    <x v="14"/>
    <x v="0"/>
    <s v="202412"/>
    <n v="24"/>
    <n v="1049091.68"/>
    <n v="-6.5960947194601147E-2"/>
    <s v="CohortAvg"/>
    <n v="-3.2048960002548962E-2"/>
    <s v="CohortAvg"/>
    <n v="0.32645556358252592"/>
    <s v="CohortAvg"/>
    <n v="7.7470404574171647E-2"/>
    <s v="CohortAvg_NonZero"/>
    <n v="3.5346001997368562E-5"/>
    <s v="CohortAvg"/>
    <n v="0"/>
    <s v="Zero"/>
    <n v="-3.3179772550978807E-2"/>
    <s v="CohortAvg"/>
    <n v="-4.4397115335147571E-4"/>
    <s v="CohortAvg"/>
    <n v="0"/>
    <n v="-69199.08"/>
    <n v="-33622.300000000003"/>
    <n v="28540.15"/>
    <n v="81273.56"/>
    <n v="37.08"/>
    <n v="-34808.620000000003"/>
    <n v="-465.77"/>
    <n v="893499.82"/>
    <n v="0.231105"/>
    <n v="1.0328999999999999"/>
    <n v="0.23871300000000001"/>
    <s v="CohortTrend+Seasonal(1.033)"/>
    <n v="213289.85"/>
    <n v="280936.32000000001"/>
    <n v="-67646.47"/>
    <x v="1"/>
    <n v="81273.56"/>
    <n v="0.78500000000000003"/>
    <n v="0.24"/>
    <n v="63799.74"/>
    <n v="63799.74"/>
    <n v="19505.650000000001"/>
    <n v="217136.58"/>
    <n v="967818.12"/>
    <n v="0.224357"/>
    <n v="-3846.73"/>
    <n v="-3809.65"/>
    <n v="164578.95000000001"/>
    <n v="160769.29999999999"/>
    <n v="732730.51"/>
    <s v="Forecast"/>
  </r>
  <r>
    <x v="14"/>
    <x v="0"/>
    <s v="202501"/>
    <n v="23"/>
    <n v="1295927.78"/>
    <n v="-6.3534076602545689E-2"/>
    <s v="CohortAvg"/>
    <n v="-3.1446315527344261E-2"/>
    <s v="CohortAvg"/>
    <n v="0.33569647153388887"/>
    <s v="CohortAvg"/>
    <n v="6.7830141266103997E-2"/>
    <s v="CohortAvg_NonZero"/>
    <n v="8.2658300974755569E-5"/>
    <s v="CohortAvg"/>
    <n v="0"/>
    <s v="Zero"/>
    <n v="-4.6118515318449911E-2"/>
    <s v="CohortAvg"/>
    <n v="-9.0783701133234466E-4"/>
    <s v="CohortAvg"/>
    <n v="0"/>
    <n v="-82335.570000000007"/>
    <n v="-40752.15"/>
    <n v="36253.199999999997"/>
    <n v="87902.96"/>
    <n v="107.12"/>
    <n v="-59766.27"/>
    <n v="-1176.49"/>
    <n v="1121083.17"/>
    <n v="0.230772"/>
    <n v="1.0328999999999999"/>
    <n v="0.238369"/>
    <s v="CohortTrend+Seasonal(1.033)"/>
    <n v="267231.03000000003"/>
    <n v="344869.37"/>
    <n v="-77638.34"/>
    <x v="1"/>
    <n v="87902.96"/>
    <n v="0.78500000000000003"/>
    <n v="0.24"/>
    <n v="69003.83"/>
    <n v="69003.83"/>
    <n v="21096.71"/>
    <n v="275865.55"/>
    <n v="1208024.82"/>
    <n v="0.22836100000000001"/>
    <n v="-8634.52"/>
    <n v="-8527.4"/>
    <n v="178003.5"/>
    <n v="169476.11"/>
    <n v="951607.06"/>
    <s v="Forecast"/>
  </r>
  <r>
    <x v="14"/>
    <x v="0"/>
    <s v="202502"/>
    <n v="22"/>
    <n v="1995491.14"/>
    <n v="-6.4675537913797668E-2"/>
    <s v="CohortAvg"/>
    <n v="-3.1815968779435252E-2"/>
    <s v="CohortAvg"/>
    <n v="0.352374231432039"/>
    <s v="CohortAvg"/>
    <n v="3.9881469720668208E-2"/>
    <s v="CohortAvg_NonZero"/>
    <n v="1.176560861438332E-4"/>
    <s v="CohortAvg"/>
    <n v="0"/>
    <s v="Zero"/>
    <n v="-9.996442477534008E-2"/>
    <s v="CohortAvg"/>
    <n v="-2.1614567333721941E-3"/>
    <s v="CohortAvg"/>
    <n v="0"/>
    <n v="-129059.46"/>
    <n v="-63488.480000000003"/>
    <n v="58596.639999999999"/>
    <n v="79583.12"/>
    <n v="234.78"/>
    <n v="-199478.12"/>
    <n v="-4313.17"/>
    <n v="1781721.93"/>
    <n v="0.222888"/>
    <n v="1.0328999999999999"/>
    <n v="0.23022599999999999"/>
    <s v="CohortTrend+Seasonal(1.033)"/>
    <n v="410197.89"/>
    <n v="512283.97"/>
    <n v="-102086.08"/>
    <x v="1"/>
    <n v="79583.12"/>
    <n v="0.78500000000000003"/>
    <n v="0.24"/>
    <n v="62472.75"/>
    <n v="62472.75"/>
    <n v="19099.95"/>
    <n v="449811.22"/>
    <n v="1915908.02"/>
    <n v="0.23477700000000001"/>
    <n v="-39613.33"/>
    <n v="-39378.550000000003"/>
    <n v="161155.82"/>
    <n v="121777.27"/>
    <n v="1659944.66"/>
    <s v="Forecast"/>
  </r>
  <r>
    <x v="14"/>
    <x v="0"/>
    <s v="202503"/>
    <n v="21"/>
    <n v="3138290.72"/>
    <n v="-5.4840631226860677E-2"/>
    <s v="CohortAvg"/>
    <n v="-3.4950643784547181E-2"/>
    <s v="CohortAvg"/>
    <n v="0.42522482821260699"/>
    <s v="CohortAvg"/>
    <n v="2.337347755521255E-2"/>
    <s v="CohortAvg_NonZero"/>
    <n v="7.1013731379203934E-6"/>
    <s v="CohortAvg"/>
    <n v="0"/>
    <s v="Zero"/>
    <n v="0"/>
    <s v="CohortAvg"/>
    <n v="0"/>
    <s v="CohortAvg"/>
    <n v="0"/>
    <n v="-172105.84"/>
    <n v="-109685.28"/>
    <n v="111206.59"/>
    <n v="73352.77"/>
    <n v="22.29"/>
    <n v="0"/>
    <n v="0"/>
    <n v="2894331.14"/>
    <n v="0.21839900000000001"/>
    <n v="1.0328999999999999"/>
    <n v="0.22558900000000001"/>
    <s v="CohortTrend+Seasonal(1.033)"/>
    <n v="652928.56000000006"/>
    <n v="786745.62"/>
    <n v="-133817.06"/>
    <x v="1"/>
    <n v="73352.77"/>
    <n v="0.78500000000000003"/>
    <n v="0.24"/>
    <n v="57581.919999999998"/>
    <n v="57581.919999999998"/>
    <n v="17604.66"/>
    <n v="729163.7"/>
    <n v="3064937.95"/>
    <n v="0.23790500000000001"/>
    <n v="-76235.14"/>
    <n v="-76212.86"/>
    <n v="148539.35"/>
    <n v="72326.5"/>
    <n v="2822004.64"/>
    <s v="Forecast"/>
  </r>
  <r>
    <x v="14"/>
    <x v="0"/>
    <s v="202504"/>
    <n v="20"/>
    <n v="4098308.75"/>
    <n v="-5.3643929732287737E-2"/>
    <s v="CohortAvg"/>
    <n v="-3.741031354100724E-2"/>
    <s v="CohortAvg"/>
    <n v="0.43762375503859419"/>
    <s v="CohortAvg"/>
    <n v="1.013329171740706E-2"/>
    <s v="CohortAvg_NonZero"/>
    <n v="1.6526935124126459E-6"/>
    <s v="CohortAvg"/>
    <n v="0"/>
    <s v="Zero"/>
    <n v="0"/>
    <s v="CohortAvg"/>
    <n v="0"/>
    <s v="CohortAvg"/>
    <n v="0"/>
    <n v="-219849.39"/>
    <n v="-153319.01999999999"/>
    <n v="149459.76999999999"/>
    <n v="41529.360000000001"/>
    <n v="6.77"/>
    <n v="0"/>
    <n v="0"/>
    <n v="3833063.99"/>
    <n v="0.21474299999999999"/>
    <n v="1.0328999999999999"/>
    <n v="0.22181200000000001"/>
    <s v="CohortTrend+Seasonal(1.033)"/>
    <n v="850218.53"/>
    <n v="928756.33"/>
    <n v="-78537.81"/>
    <x v="1"/>
    <n v="41529.360000000001"/>
    <n v="0.78500000000000003"/>
    <n v="0.24"/>
    <n v="32600.55"/>
    <n v="32600.55"/>
    <n v="9967.0499999999993"/>
    <n v="896155.79"/>
    <n v="4056779.39"/>
    <n v="0.22090299999999999"/>
    <n v="-45937.26"/>
    <n v="-45930.49"/>
    <n v="84096.95"/>
    <n v="38166.46"/>
    <n v="3794897.53"/>
    <s v="Forecast"/>
  </r>
  <r>
    <x v="14"/>
    <x v="0"/>
    <s v="202505"/>
    <n v="19"/>
    <n v="5730449.9800000004"/>
    <n v="-4.6479871191116448E-2"/>
    <s v="CohortAvg"/>
    <n v="-3.6540852021242423E-2"/>
    <s v="CohortAvg"/>
    <n v="0.44054495450924042"/>
    <s v="CohortAvg"/>
    <n v="0"/>
    <s v="CohortAvg_NoData_ERROR"/>
    <n v="9.2351405584199224E-7"/>
    <s v="CohortAvg"/>
    <n v="0"/>
    <s v="Zero"/>
    <n v="0"/>
    <s v="CohortAvg"/>
    <n v="0"/>
    <s v="CohortAvg"/>
    <n v="0"/>
    <n v="-266350.58"/>
    <n v="-209395.52"/>
    <n v="210376.74"/>
    <n v="0"/>
    <n v="5.29"/>
    <n v="0"/>
    <n v="0"/>
    <n v="5465075.3200000003"/>
    <n v="0.190751"/>
    <n v="1.0328999999999999"/>
    <n v="0.19703000000000001"/>
    <s v="DonorCohort:202101+Seasonal(1.033)"/>
    <n v="1076785.6100000001"/>
    <n v="1203413.32"/>
    <n v="-126627.72"/>
    <x v="1"/>
    <n v="0"/>
    <n v="0.78500000000000003"/>
    <n v="0.24"/>
    <n v="0"/>
    <n v="0"/>
    <n v="0"/>
    <n v="1203413.32"/>
    <n v="5730449.9800000004"/>
    <n v="0.210003"/>
    <n v="-126627.72"/>
    <n v="-126622.42"/>
    <n v="0"/>
    <n v="-126622.42"/>
    <n v="5591697.75"/>
    <s v="Forecast"/>
  </r>
  <r>
    <x v="14"/>
    <x v="0"/>
    <s v="202506"/>
    <n v="18"/>
    <n v="6573176.9000000004"/>
    <n v="-4.4922414161483647E-2"/>
    <s v="CohortAvg"/>
    <n v="-3.7978700084950037E-2"/>
    <s v="CohortAvg"/>
    <n v="0.45659197414745761"/>
    <s v="CohortAvg"/>
    <n v="0"/>
    <s v="CohortAvg_NoData_ERROR"/>
    <n v="0"/>
    <s v="CohortAvg"/>
    <n v="0"/>
    <s v="Zero"/>
    <n v="0"/>
    <s v="CohortAvg"/>
    <n v="0"/>
    <s v="CohortAvg"/>
    <n v="0"/>
    <n v="-295282.96999999997"/>
    <n v="-249640.71"/>
    <n v="250104.98"/>
    <n v="0"/>
    <n v="0"/>
    <n v="0"/>
    <n v="0"/>
    <n v="6278358.1900000004"/>
    <n v="0.17676500000000001"/>
    <n v="1.0328999999999999"/>
    <n v="0.182584"/>
    <s v="DonorCohort:202101+Seasonal(1.033)"/>
    <n v="1146326.03"/>
    <n v="1399915.72"/>
    <n v="-253589.69"/>
    <x v="1"/>
    <n v="0"/>
    <n v="0.78500000000000003"/>
    <n v="0.24"/>
    <n v="0"/>
    <n v="0"/>
    <n v="0"/>
    <n v="1399915.72"/>
    <n v="6573176.9000000004"/>
    <n v="0.212974"/>
    <n v="-253589.69"/>
    <n v="-253589.69"/>
    <n v="0"/>
    <n v="-253589.69"/>
    <n v="6531947.8799999999"/>
    <s v="Forecast"/>
  </r>
  <r>
    <x v="14"/>
    <x v="0"/>
    <s v="202507"/>
    <n v="17"/>
    <n v="8371874.4100000001"/>
    <n v="-4.3093730984181559E-2"/>
    <s v="CohortAvg"/>
    <n v="-4.0607757642758563E-2"/>
    <s v="CohortAvg"/>
    <n v="0.45480394647513628"/>
    <s v="CohortAvg"/>
    <n v="0"/>
    <s v="CohortAvg_NoData_ERROR"/>
    <n v="1.3185576638324119E-5"/>
    <s v="CohortAvg"/>
    <n v="0"/>
    <s v="Zero"/>
    <n v="0"/>
    <s v="CohortAvg"/>
    <n v="0"/>
    <s v="CohortAvg"/>
    <n v="0"/>
    <n v="-360775.3"/>
    <n v="-339963.05"/>
    <n v="317296.78999999998"/>
    <n v="0"/>
    <n v="110.39"/>
    <n v="0"/>
    <n v="0"/>
    <n v="7988322.46"/>
    <n v="0.17926500000000001"/>
    <n v="1.0328999999999999"/>
    <n v="0.185167"/>
    <s v="DonorCohort:202101+Seasonal(1.033)"/>
    <n v="1479170.14"/>
    <n v="1899584.45"/>
    <n v="-420414.3"/>
    <x v="1"/>
    <n v="0"/>
    <n v="0.78500000000000003"/>
    <n v="0.24"/>
    <n v="0"/>
    <n v="0"/>
    <n v="0"/>
    <n v="1899584.45"/>
    <n v="8371874.4100000001"/>
    <n v="0.22690099999999999"/>
    <n v="-420414.3"/>
    <n v="-420303.92"/>
    <n v="0"/>
    <n v="-420303.92"/>
    <n v="8408626.3800000008"/>
    <s v="Forecast"/>
  </r>
  <r>
    <x v="14"/>
    <x v="0"/>
    <s v="202508"/>
    <n v="16"/>
    <n v="7061044.9000000004"/>
    <n v="-4.8374906304867772E-2"/>
    <s v="CohortAvg"/>
    <n v="-3.2305266029936372E-2"/>
    <s v="CohortAvg"/>
    <n v="0.45465729131872518"/>
    <s v="CohortAvg"/>
    <n v="0"/>
    <s v="CohortAvg_NoData_ERROR"/>
    <n v="1.1272670145448409E-5"/>
    <s v="CohortAvg"/>
    <n v="0"/>
    <s v="Zero"/>
    <n v="0"/>
    <s v="CohortAvg"/>
    <n v="0"/>
    <s v="CohortAvg"/>
    <n v="0"/>
    <n v="-341577.39"/>
    <n v="-228108.93"/>
    <n v="267529.63"/>
    <n v="0"/>
    <n v="79.599999999999994"/>
    <n v="0"/>
    <n v="0"/>
    <n v="6758808.6100000003"/>
    <n v="0.19098799999999999"/>
    <n v="1.0328999999999999"/>
    <n v="0.19727500000000001"/>
    <s v="DonorCohort:202101+Seasonal(1.033)"/>
    <n v="1333343.42"/>
    <n v="1580187.07"/>
    <n v="-246843.64"/>
    <x v="1"/>
    <n v="0"/>
    <n v="0.78500000000000003"/>
    <n v="0.24"/>
    <n v="0"/>
    <n v="0"/>
    <n v="0"/>
    <n v="1580187.07"/>
    <n v="7061044.9000000004"/>
    <n v="0.22378899999999999"/>
    <n v="-246843.64"/>
    <n v="-246764.04"/>
    <n v="0"/>
    <n v="-246764.04"/>
    <n v="7005572.6500000004"/>
    <s v="Forecast"/>
  </r>
  <r>
    <x v="14"/>
    <x v="0"/>
    <s v="202509"/>
    <n v="15"/>
    <n v="117779.04"/>
    <n v="-0.40238435826731622"/>
    <s v="CohortAvg"/>
    <n v="-8.363485961720407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7392.44"/>
    <n v="-9850.43"/>
    <n v="4907.46"/>
    <n v="0"/>
    <n v="0"/>
    <n v="0"/>
    <n v="0"/>
    <n v="65443.62"/>
    <n v="0.18836900000000001"/>
    <n v="1.0328999999999999"/>
    <n v="0.19456999999999999"/>
    <s v="DonorCohort:202101+Seasonal(1.033)"/>
    <n v="12733.35"/>
    <n v="22947.29"/>
    <n v="-10213.94"/>
    <x v="1"/>
    <n v="0"/>
    <n v="0.78500000000000003"/>
    <n v="0.24"/>
    <n v="0"/>
    <n v="0"/>
    <n v="0"/>
    <n v="22947.29"/>
    <n v="117779.04"/>
    <n v="0.19483300000000001"/>
    <n v="-10213.94"/>
    <n v="-10213.94"/>
    <n v="0"/>
    <n v="-10213.94"/>
    <n v="75657.56"/>
    <s v="Forecast"/>
  </r>
  <r>
    <x v="14"/>
    <x v="1"/>
    <s v="202301"/>
    <n v="37"/>
    <n v="893715.45"/>
    <n v="-8.6071461955257323E-3"/>
    <s v="CohortAvg"/>
    <n v="-4.6092828850879267E-3"/>
    <s v="CohortAvg"/>
    <n v="8.9366970588954306E-2"/>
    <s v="CohortAvg"/>
    <n v="2.3805723483034062E-2"/>
    <s v="CohortAvg_NonZero"/>
    <n v="0"/>
    <s v="CohortAvg"/>
    <n v="0"/>
    <s v="Zero"/>
    <n v="0"/>
    <s v="CohortAvg"/>
    <n v="0"/>
    <s v="CohortAvg"/>
    <n v="0"/>
    <n v="-7692.34"/>
    <n v="-4119.3900000000003"/>
    <n v="6655.72"/>
    <n v="21275.54"/>
    <n v="0"/>
    <n v="0"/>
    <n v="0"/>
    <n v="867283.9"/>
    <n v="0.39324700000000001"/>
    <n v="0.68640000000000001"/>
    <n v="0.26993800000000001"/>
    <s v="CohortTrend+Seasonal(0.686)"/>
    <n v="234113.19"/>
    <n v="189628.31"/>
    <n v="44484.87"/>
    <x v="1"/>
    <n v="21275.54"/>
    <n v="0.78500000000000003"/>
    <n v="0.24"/>
    <n v="16701.3"/>
    <n v="16701.3"/>
    <n v="5106.13"/>
    <n v="172927.01"/>
    <n v="872439.91"/>
    <n v="0.198211"/>
    <n v="61186.17"/>
    <n v="61186.17"/>
    <n v="43082.97"/>
    <n v="104269.15"/>
    <n v="763014.76"/>
    <s v="Forecast"/>
  </r>
  <r>
    <x v="14"/>
    <x v="1"/>
    <s v="202404"/>
    <n v="32"/>
    <n v="109021.49"/>
    <n v="-6.3213137717337456E-2"/>
    <s v="CohortAvg"/>
    <n v="-1.522307627620199E-2"/>
    <s v="CohortAvg"/>
    <n v="0.1565864302965107"/>
    <s v="CohortAvg"/>
    <n v="5.0282884663036133E-2"/>
    <s v="CohortAvg_NonZero"/>
    <n v="0"/>
    <s v="CohortAvg"/>
    <n v="0"/>
    <s v="Zero"/>
    <n v="0"/>
    <s v="CohortAvg"/>
    <n v="0"/>
    <s v="CohortAvg"/>
    <n v="0"/>
    <n v="-6891.59"/>
    <n v="-1659.64"/>
    <n v="1422.61"/>
    <n v="5481.91"/>
    <n v="0"/>
    <n v="0"/>
    <n v="0"/>
    <n v="96410.95"/>
    <n v="0.22028500000000001"/>
    <n v="0.68640000000000001"/>
    <n v="0.15121100000000001"/>
    <s v="CohortTrend+Seasonal(0.686)"/>
    <n v="14578.41"/>
    <n v="13048.66"/>
    <n v="1529.74"/>
    <x v="1"/>
    <n v="5481.91"/>
    <n v="0.78500000000000003"/>
    <n v="0.24"/>
    <n v="4303.3"/>
    <n v="4303.3"/>
    <n v="1315.66"/>
    <n v="8745.36"/>
    <n v="103539.57"/>
    <n v="8.4463999999999997E-2"/>
    <n v="5833.05"/>
    <n v="5833.05"/>
    <n v="11100.88"/>
    <n v="16933.93"/>
    <n v="79477.02"/>
    <s v="Forecast"/>
  </r>
  <r>
    <x v="14"/>
    <x v="1"/>
    <s v="202405"/>
    <n v="31"/>
    <n v="275106.09000000003"/>
    <n v="-1.194445176257177E-2"/>
    <s v="CohortAvg"/>
    <n v="-1.2730966009332141E-2"/>
    <s v="CohortAvg"/>
    <n v="0.14734513873395069"/>
    <s v="CohortAvg"/>
    <n v="6.9695074434478435E-2"/>
    <s v="CohortAvg_NonZero"/>
    <n v="9.2031101340267727E-8"/>
    <s v="CohortAvg"/>
    <n v="0"/>
    <s v="Zero"/>
    <n v="0"/>
    <s v="CohortAvg"/>
    <n v="0"/>
    <s v="CohortAvg"/>
    <n v="0"/>
    <n v="-3285.99"/>
    <n v="-3502.37"/>
    <n v="3377.96"/>
    <n v="19173.54"/>
    <n v="0.03"/>
    <n v="0"/>
    <n v="0"/>
    <n v="252522.13"/>
    <n v="0.37832399999999999"/>
    <n v="0.68640000000000001"/>
    <n v="0.25969399999999998"/>
    <s v="CohortTrend+Seasonal(0.686)"/>
    <n v="65578.570000000007"/>
    <n v="55543.51"/>
    <n v="10035.06"/>
    <x v="1"/>
    <n v="19173.54"/>
    <n v="0.78500000000000003"/>
    <n v="0.24"/>
    <n v="15051.23"/>
    <n v="15051.23"/>
    <n v="4601.6499999999996"/>
    <n v="40492.28"/>
    <n v="255932.55"/>
    <n v="0.15821499999999999"/>
    <n v="25086.29"/>
    <n v="25086.31"/>
    <n v="38826.42"/>
    <n v="63912.73"/>
    <n v="188609.4"/>
    <s v="Forecast"/>
  </r>
  <r>
    <x v="14"/>
    <x v="1"/>
    <s v="202406"/>
    <n v="30"/>
    <n v="158960.54999999999"/>
    <n v="-1.5573493735177571E-2"/>
    <s v="CohortAvg"/>
    <n v="-1.4885692618617309E-2"/>
    <s v="CohortAvg"/>
    <n v="0.17825032236599059"/>
    <s v="CohortAvg"/>
    <n v="5.620844502272148E-2"/>
    <s v="CohortAvg_NonZero"/>
    <n v="0"/>
    <s v="CohortAvg"/>
    <n v="0"/>
    <s v="Zero"/>
    <n v="0"/>
    <s v="CohortAvg"/>
    <n v="0"/>
    <s v="CohortAvg"/>
    <n v="0"/>
    <n v="-2475.5700000000002"/>
    <n v="-2366.2399999999998"/>
    <n v="2361.23"/>
    <n v="8934.93"/>
    <n v="0"/>
    <n v="0"/>
    <n v="0"/>
    <n v="147545.04999999999"/>
    <n v="0.263322"/>
    <n v="0.68640000000000001"/>
    <n v="0.180753"/>
    <s v="CohortTrend+Seasonal(0.686)"/>
    <n v="26669.200000000001"/>
    <n v="22402.66"/>
    <n v="4266.55"/>
    <x v="1"/>
    <n v="8934.93"/>
    <n v="0.78500000000000003"/>
    <n v="0.24"/>
    <n v="7013.92"/>
    <n v="7013.92"/>
    <n v="2144.38"/>
    <n v="15388.74"/>
    <n v="150025.63"/>
    <n v="0.102574"/>
    <n v="11280.46"/>
    <n v="11280.46"/>
    <n v="18093.22"/>
    <n v="29373.69"/>
    <n v="118171.36"/>
    <s v="Forecast"/>
  </r>
  <r>
    <x v="14"/>
    <x v="1"/>
    <s v="202407"/>
    <n v="29"/>
    <n v="180610.24"/>
    <n v="-4.2394806939002459E-2"/>
    <s v="CohortAvg"/>
    <n v="-1.532661776889736E-2"/>
    <s v="CohortAvg"/>
    <n v="0.16908202168653849"/>
    <s v="CohortAvg"/>
    <n v="8.2761551975630079E-2"/>
    <s v="CohortAvg_NonZero"/>
    <n v="0"/>
    <s v="CohortAvg"/>
    <n v="0"/>
    <s v="Zero"/>
    <n v="0"/>
    <s v="CohortAvg"/>
    <n v="0"/>
    <s v="CohortAvg"/>
    <n v="0"/>
    <n v="-7656.94"/>
    <n v="-2768.14"/>
    <n v="2544.83"/>
    <n v="14947.58"/>
    <n v="0"/>
    <n v="0"/>
    <n v="0"/>
    <n v="157782.39999999999"/>
    <n v="0.23977299999999999"/>
    <n v="0.68640000000000001"/>
    <n v="0.16458800000000001"/>
    <s v="CohortTrend+Seasonal(0.686)"/>
    <n v="25969.1"/>
    <n v="23320.84"/>
    <n v="2648.26"/>
    <x v="1"/>
    <n v="14947.58"/>
    <n v="0.78500000000000003"/>
    <n v="0.24"/>
    <n v="11733.85"/>
    <n v="11733.85"/>
    <n v="3587.42"/>
    <n v="11586.98"/>
    <n v="165662.65"/>
    <n v="6.9943000000000005E-2"/>
    <n v="14382.12"/>
    <n v="14382.12"/>
    <n v="30268.86"/>
    <n v="44650.97"/>
    <n v="113131.43"/>
    <s v="Forecast"/>
  </r>
  <r>
    <x v="14"/>
    <x v="1"/>
    <s v="202408"/>
    <n v="28"/>
    <n v="160020.32"/>
    <n v="-6.2026350259426377E-2"/>
    <s v="CohortAvg"/>
    <n v="-1.6596948017693899E-2"/>
    <s v="CohortAvg"/>
    <n v="0.18295410603248599"/>
    <s v="CohortAvg"/>
    <n v="0.1104761026857973"/>
    <s v="CohortAvg_NonZero"/>
    <n v="2.9417378188291223E-10"/>
    <s v="CohortAvg"/>
    <n v="0"/>
    <s v="Zero"/>
    <n v="0"/>
    <s v="CohortAvg"/>
    <n v="0"/>
    <s v="CohortAvg"/>
    <n v="0"/>
    <n v="-9925.48"/>
    <n v="-2655.85"/>
    <n v="2439.6999999999998"/>
    <n v="17678.419999999998"/>
    <n v="0"/>
    <n v="0"/>
    <n v="0"/>
    <n v="132200.26999999999"/>
    <n v="0.24667700000000001"/>
    <n v="0.68640000000000001"/>
    <n v="0.16932800000000001"/>
    <s v="CohortTrend+Seasonal(0.686)"/>
    <n v="22385.15"/>
    <n v="21220.959999999999"/>
    <n v="1164.2"/>
    <x v="1"/>
    <n v="17678.419999999998"/>
    <n v="0.78500000000000003"/>
    <n v="0.24"/>
    <n v="13877.56"/>
    <n v="13877.56"/>
    <n v="4242.82"/>
    <n v="7343.4"/>
    <n v="142341.9"/>
    <n v="5.1589999999999997E-2"/>
    <n v="15041.76"/>
    <n v="15041.76"/>
    <n v="35798.800000000003"/>
    <n v="50840.56"/>
    <n v="81359.710000000006"/>
    <s v="Forecast"/>
  </r>
  <r>
    <x v="14"/>
    <x v="1"/>
    <s v="202409"/>
    <n v="27"/>
    <n v="317705.13"/>
    <n v="-4.0868642451737297E-2"/>
    <s v="CohortAvg"/>
    <n v="-1.5075777308355539E-2"/>
    <s v="CohortAvg"/>
    <n v="0.18234456422121659"/>
    <s v="CohortAvg"/>
    <n v="3.1817120376877603E-2"/>
    <s v="CohortAvg_NonZero"/>
    <n v="0"/>
    <s v="CohortAvg"/>
    <n v="0"/>
    <s v="Zero"/>
    <n v="0"/>
    <s v="CohortAvg"/>
    <n v="0"/>
    <s v="CohortAvg"/>
    <n v="0"/>
    <n v="-12984.18"/>
    <n v="-4789.6499999999996"/>
    <n v="4827.6499999999996"/>
    <n v="10108.459999999999"/>
    <n v="0"/>
    <n v="0"/>
    <n v="0"/>
    <n v="294650.49"/>
    <n v="0.27948899999999999"/>
    <n v="0.68640000000000001"/>
    <n v="0.19185099999999999"/>
    <s v="CohortTrend+Seasonal(0.686)"/>
    <n v="56528.97"/>
    <n v="47262.38"/>
    <n v="9266.59"/>
    <x v="1"/>
    <n v="10108.459999999999"/>
    <n v="0.78500000000000003"/>
    <n v="0.24"/>
    <n v="7935.14"/>
    <n v="7935.14"/>
    <n v="2426.0300000000002"/>
    <n v="39327.24"/>
    <n v="307596.67"/>
    <n v="0.12785299999999999"/>
    <n v="17201.73"/>
    <n v="17201.73"/>
    <n v="20469.64"/>
    <n v="37671.370000000003"/>
    <n v="256979.12"/>
    <s v="Forecast"/>
  </r>
  <r>
    <x v="14"/>
    <x v="1"/>
    <s v="202410"/>
    <n v="26"/>
    <n v="308984.74"/>
    <n v="-1.272214050168843E-2"/>
    <s v="CohortAvg"/>
    <n v="-1.8261793003136649E-2"/>
    <s v="CohortAvg"/>
    <n v="0.18758485432356739"/>
    <s v="CohortAvg"/>
    <n v="3.5381854554803603E-2"/>
    <s v="CohortAvg_NonZero"/>
    <n v="1.2906500105980921E-7"/>
    <s v="CohortAvg"/>
    <n v="0"/>
    <s v="Zero"/>
    <n v="0"/>
    <s v="CohortAvg"/>
    <n v="0"/>
    <s v="CohortAvg"/>
    <n v="0"/>
    <n v="-3930.95"/>
    <n v="-5642.62"/>
    <n v="4830.07"/>
    <n v="10932.45"/>
    <n v="0.04"/>
    <n v="0"/>
    <n v="0"/>
    <n v="293308.76"/>
    <n v="0.27621400000000002"/>
    <n v="0.68640000000000001"/>
    <n v="0.18960199999999999"/>
    <s v="CohortTrend+Seasonal(0.686)"/>
    <n v="55612.05"/>
    <n v="45290.22"/>
    <n v="10321.82"/>
    <x v="1"/>
    <n v="10932.45"/>
    <n v="0.78500000000000003"/>
    <n v="0.24"/>
    <n v="8581.98"/>
    <n v="8581.98"/>
    <n v="2623.79"/>
    <n v="36708.25"/>
    <n v="298052.28999999998"/>
    <n v="0.12316000000000001"/>
    <n v="18903.8"/>
    <n v="18903.84"/>
    <n v="22138.22"/>
    <n v="41042.06"/>
    <n v="252266.7"/>
    <s v="Forecast"/>
  </r>
  <r>
    <x v="14"/>
    <x v="1"/>
    <s v="202411"/>
    <n v="25"/>
    <n v="288139.39"/>
    <n v="-4.4425894043106699E-2"/>
    <s v="CohortAvg"/>
    <n v="-1.4801830434386929E-2"/>
    <s v="CohortAvg"/>
    <n v="0.17337965875813979"/>
    <s v="CohortAvg"/>
    <n v="3.2386495415502287E-2"/>
    <s v="CohortAvg_NonZero"/>
    <n v="0"/>
    <s v="CohortAvg"/>
    <n v="0"/>
    <s v="Zero"/>
    <n v="0"/>
    <s v="CohortAvg"/>
    <n v="0"/>
    <s v="CohortAvg"/>
    <n v="0"/>
    <n v="-12800.85"/>
    <n v="-4264.99"/>
    <n v="4163.13"/>
    <n v="9331.82"/>
    <n v="0"/>
    <n v="0"/>
    <n v="0"/>
    <n v="265904.84999999998"/>
    <n v="0.22648399999999999"/>
    <n v="0.68640000000000001"/>
    <n v="0.15546599999999999"/>
    <s v="CohortTrend+Seasonal(0.686)"/>
    <n v="41339.24"/>
    <n v="35100.730000000003"/>
    <n v="6238.51"/>
    <x v="1"/>
    <n v="9331.82"/>
    <n v="0.78500000000000003"/>
    <n v="0.24"/>
    <n v="7325.48"/>
    <n v="7325.48"/>
    <n v="2239.64"/>
    <n v="27775.24"/>
    <n v="278807.56"/>
    <n v="9.9622000000000002E-2"/>
    <n v="13564"/>
    <n v="13564"/>
    <n v="18896.95"/>
    <n v="32460.94"/>
    <n v="233443.91"/>
    <s v="Forecast"/>
  </r>
  <r>
    <x v="14"/>
    <x v="1"/>
    <s v="202412"/>
    <n v="24"/>
    <n v="19142.28"/>
    <n v="-8.5851544149320672E-3"/>
    <s v="CohortAvg"/>
    <n v="-1.2418295208091699E-2"/>
    <s v="CohortAvg"/>
    <n v="0.1455297782734653"/>
    <s v="CohortAvg"/>
    <n v="0.2"/>
    <s v="CohortAvg_NonZero"/>
    <n v="0"/>
    <s v="CohortAvg"/>
    <n v="0"/>
    <s v="Zero"/>
    <n v="0"/>
    <s v="CohortAvg"/>
    <n v="0"/>
    <s v="CohortAvg"/>
    <n v="0"/>
    <n v="-164.34"/>
    <n v="-237.71"/>
    <n v="232.15"/>
    <n v="3828.46"/>
    <n v="0"/>
    <n v="0"/>
    <n v="0"/>
    <n v="15143.92"/>
    <n v="0.211094"/>
    <n v="0.68640000000000001"/>
    <n v="0.144902"/>
    <s v="CohortTrend+Seasonal(0.686)"/>
    <n v="2194.38"/>
    <n v="2178.08"/>
    <n v="16.309999999999999"/>
    <x v="1"/>
    <n v="3828.46"/>
    <n v="0.78500000000000003"/>
    <n v="0.24"/>
    <n v="3005.34"/>
    <n v="3005.34"/>
    <n v="918.83"/>
    <n v="-827.26"/>
    <n v="15313.82"/>
    <n v="-5.4019999999999999E-2"/>
    <n v="3021.64"/>
    <n v="3021.64"/>
    <n v="7752.62"/>
    <n v="10774.27"/>
    <n v="4369.6499999999996"/>
    <s v="Forecast"/>
  </r>
  <r>
    <x v="14"/>
    <x v="1"/>
    <s v="202501"/>
    <n v="23"/>
    <n v="48518.13"/>
    <n v="-1.5288075444115749E-2"/>
    <s v="CohortAvg"/>
    <n v="-1.752358097940436E-2"/>
    <s v="CohortAvg"/>
    <n v="0.20437024159626241"/>
    <s v="CohortAvg"/>
    <n v="0"/>
    <s v="CohortAvg_NoData_ERROR"/>
    <n v="0"/>
    <s v="CohortAvg"/>
    <n v="0"/>
    <s v="Zero"/>
    <n v="0"/>
    <s v="CohortAvg"/>
    <n v="0"/>
    <s v="CohortAvg"/>
    <n v="0"/>
    <n v="-741.75"/>
    <n v="-850.21"/>
    <n v="826.31"/>
    <n v="0"/>
    <n v="0"/>
    <n v="0"/>
    <n v="0"/>
    <n v="47752.480000000003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48518.13"/>
    <n v="0"/>
    <n v="0"/>
    <n v="0"/>
    <n v="0"/>
    <n v="0"/>
    <n v="47752.480000000003"/>
    <s v="Forecast"/>
  </r>
  <r>
    <x v="14"/>
    <x v="1"/>
    <s v="202502"/>
    <n v="22"/>
    <n v="102257.85"/>
    <n v="-1.3846845833053539E-2"/>
    <s v="CohortAvg"/>
    <n v="-1.8923956549936689E-2"/>
    <s v="CohortAvg"/>
    <n v="0.19410422611012049"/>
    <s v="CohortAvg"/>
    <n v="0"/>
    <s v="CohortAvg_NoData_ERROR"/>
    <n v="0"/>
    <s v="CohortAvg"/>
    <n v="0"/>
    <s v="Zero"/>
    <n v="0"/>
    <s v="CohortAvg"/>
    <n v="0"/>
    <s v="CohortAvg"/>
    <n v="0"/>
    <n v="-1415.95"/>
    <n v="-1935.12"/>
    <n v="1654.06"/>
    <n v="0"/>
    <n v="0"/>
    <n v="0"/>
    <n v="0"/>
    <n v="100560.84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02257.85"/>
    <n v="0"/>
    <n v="0"/>
    <n v="0"/>
    <n v="0"/>
    <n v="0"/>
    <n v="100560.84"/>
    <s v="Forecast"/>
  </r>
  <r>
    <x v="14"/>
    <x v="1"/>
    <s v="202503"/>
    <n v="21"/>
    <n v="75806.83"/>
    <n v="-9.8306380565142942E-3"/>
    <s v="CohortAvg"/>
    <n v="-1.379331982876396E-2"/>
    <s v="CohortAvg"/>
    <n v="0.20835115758485789"/>
    <s v="CohortAvg"/>
    <n v="0"/>
    <s v="CohortAvg_NoData_ERROR"/>
    <n v="0"/>
    <s v="CohortAvg"/>
    <n v="0"/>
    <s v="Zero"/>
    <n v="0"/>
    <s v="CohortAvg"/>
    <n v="0"/>
    <s v="CohortAvg"/>
    <n v="0"/>
    <n v="-745.23"/>
    <n v="-1045.6300000000001"/>
    <n v="1316.2"/>
    <n v="0"/>
    <n v="0"/>
    <n v="0"/>
    <n v="0"/>
    <n v="75332.179999999993"/>
    <n v="0.22703200000000001"/>
    <n v="0.68640000000000001"/>
    <n v="0.15584300000000001"/>
    <s v="CohortTrend+Seasonal(0.686)"/>
    <n v="11739.96"/>
    <n v="9024.35"/>
    <n v="2715.61"/>
    <x v="1"/>
    <n v="0"/>
    <n v="0.78500000000000003"/>
    <n v="0.24"/>
    <n v="0"/>
    <n v="0"/>
    <n v="0"/>
    <n v="9024.35"/>
    <n v="75806.83"/>
    <n v="0.119044"/>
    <n v="2715.61"/>
    <n v="2715.61"/>
    <n v="0"/>
    <n v="2715.61"/>
    <n v="72616.58"/>
    <s v="Forecast"/>
  </r>
  <r>
    <x v="14"/>
    <x v="1"/>
    <s v="202504"/>
    <n v="20"/>
    <n v="46927.11"/>
    <n v="-2.070919879930723E-2"/>
    <s v="CohortAvg"/>
    <n v="-1.6747492019201018E-2"/>
    <s v="CohortAvg"/>
    <n v="0.2022347239914373"/>
    <s v="CohortAvg"/>
    <n v="0"/>
    <s v="CohortAvg_NoData_ERROR"/>
    <n v="0"/>
    <s v="CohortAvg"/>
    <n v="0"/>
    <s v="Zero"/>
    <n v="0"/>
    <s v="CohortAvg"/>
    <n v="0"/>
    <s v="CohortAvg"/>
    <n v="0"/>
    <n v="-971.82"/>
    <n v="-785.91"/>
    <n v="790.86"/>
    <n v="0"/>
    <n v="0"/>
    <n v="0"/>
    <n v="0"/>
    <n v="45960.23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46927.11"/>
    <n v="0"/>
    <n v="0"/>
    <n v="0"/>
    <n v="0"/>
    <n v="0"/>
    <n v="45960.23"/>
    <s v="Forecast"/>
  </r>
  <r>
    <x v="14"/>
    <x v="1"/>
    <s v="202505"/>
    <n v="19"/>
    <n v="14597.54"/>
    <n v="-1.0191258844059281E-2"/>
    <s v="CohortAvg"/>
    <n v="-1.6641869939397039E-2"/>
    <s v="CohortAvg"/>
    <n v="0.2011936677220626"/>
    <s v="CohortAvg"/>
    <n v="0"/>
    <s v="CohortAvg_NoData_ERROR"/>
    <n v="0"/>
    <s v="CohortAvg"/>
    <n v="0"/>
    <s v="Zero"/>
    <n v="0"/>
    <s v="CohortAvg"/>
    <n v="0"/>
    <s v="CohortAvg"/>
    <n v="0"/>
    <n v="-148.77000000000001"/>
    <n v="-242.93"/>
    <n v="244.74"/>
    <n v="0"/>
    <n v="0"/>
    <n v="0"/>
    <n v="0"/>
    <n v="14450.59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4597.54"/>
    <n v="0"/>
    <n v="0"/>
    <n v="0"/>
    <n v="0"/>
    <n v="0"/>
    <n v="14450.59"/>
    <s v="Forecast"/>
  </r>
  <r>
    <x v="14"/>
    <x v="1"/>
    <s v="202506"/>
    <n v="18"/>
    <n v="25380.3"/>
    <n v="-1.4216441911840129E-2"/>
    <s v="CohortAvg"/>
    <n v="-1.6807148618330551E-2"/>
    <s v="CohortAvg"/>
    <n v="0.19526789642819481"/>
    <s v="CohortAvg"/>
    <n v="0"/>
    <s v="CohortAvg_NoData_ERROR"/>
    <n v="0"/>
    <s v="CohortAvg"/>
    <n v="0"/>
    <s v="Zero"/>
    <n v="0"/>
    <s v="CohortAvg"/>
    <n v="0"/>
    <s v="CohortAvg"/>
    <n v="0"/>
    <n v="-360.82"/>
    <n v="-426.57"/>
    <n v="413"/>
    <n v="0"/>
    <n v="0"/>
    <n v="0"/>
    <n v="0"/>
    <n v="25005.91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25380.3"/>
    <n v="0"/>
    <n v="0"/>
    <n v="0"/>
    <n v="0"/>
    <n v="0"/>
    <n v="25005.91"/>
    <s v="Forecast"/>
  </r>
  <r>
    <x v="14"/>
    <x v="1"/>
    <s v="202507"/>
    <n v="17"/>
    <n v="100157.92"/>
    <n v="-1.1344358268878311E-2"/>
    <s v="CohortAvg"/>
    <n v="-1.830990282078403E-2"/>
    <s v="CohortAvg"/>
    <n v="0.20283405530904591"/>
    <s v="CohortAvg"/>
    <n v="0"/>
    <s v="CohortAvg_NoData_ERROR"/>
    <n v="0"/>
    <s v="CohortAvg"/>
    <n v="0"/>
    <s v="Zero"/>
    <n v="0"/>
    <s v="CohortAvg"/>
    <n v="0"/>
    <s v="CohortAvg"/>
    <n v="0"/>
    <n v="-1136.23"/>
    <n v="-1833.88"/>
    <n v="1692.95"/>
    <n v="0"/>
    <n v="0"/>
    <n v="0"/>
    <n v="0"/>
    <n v="98880.76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00157.92"/>
    <n v="0"/>
    <n v="0"/>
    <n v="0"/>
    <n v="0"/>
    <n v="0"/>
    <n v="98880.76"/>
    <s v="Forecast"/>
  </r>
  <r>
    <x v="14"/>
    <x v="1"/>
    <s v="202508"/>
    <n v="16"/>
    <n v="40954.79"/>
    <n v="-1.4836507840520929E-2"/>
    <s v="CohortAvg"/>
    <n v="-1.491208176820027E-2"/>
    <s v="CohortAvg"/>
    <n v="0.18357003012197651"/>
    <s v="CohortAvg"/>
    <n v="0"/>
    <s v="CohortAvg_NoData_ERROR"/>
    <n v="0"/>
    <s v="CohortAvg"/>
    <n v="0"/>
    <s v="Zero"/>
    <n v="0"/>
    <s v="CohortAvg"/>
    <n v="0"/>
    <s v="CohortAvg"/>
    <n v="0"/>
    <n v="-607.63"/>
    <n v="-610.72"/>
    <n v="626.51"/>
    <n v="0"/>
    <n v="0"/>
    <n v="0"/>
    <n v="0"/>
    <n v="40362.949999999997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40954.79"/>
    <n v="0"/>
    <n v="0"/>
    <n v="0"/>
    <n v="0"/>
    <n v="0"/>
    <n v="40362.949999999997"/>
    <s v="Forecast"/>
  </r>
  <r>
    <x v="14"/>
    <x v="1"/>
    <s v="202509"/>
    <n v="15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0.68640000000000001"/>
    <n v="0"/>
    <s v="Manual+Seasonal(0.686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4"/>
    <x v="2"/>
    <s v="202101"/>
    <n v="71"/>
    <n v="173783.52"/>
    <n v="-0.19273516955806111"/>
    <s v="CohortAvg"/>
    <n v="-1.427396489467013E-2"/>
    <s v="CohortAvg"/>
    <n v="0.15620321774078241"/>
    <s v="CohortAvg"/>
    <n v="1.7891798413812679E-2"/>
    <s v="CohortAvg_NonZero"/>
    <n v="0"/>
    <s v="CohortAvg"/>
    <n v="0"/>
    <s v="Zero"/>
    <n v="0"/>
    <s v="CohortAvg"/>
    <n v="0"/>
    <s v="CohortAvg"/>
    <n v="0"/>
    <n v="-33494.199999999997"/>
    <n v="-2480.58"/>
    <n v="2262.13"/>
    <n v="3109.3"/>
    <n v="0"/>
    <n v="0"/>
    <n v="0"/>
    <n v="136961.57999999999"/>
    <n v="0.26073499999999999"/>
    <n v="1.1053999999999999"/>
    <n v="0.28822500000000001"/>
    <s v="CohortAvg+Seasonal(1.105)"/>
    <n v="39475.79"/>
    <n v="44182.36"/>
    <n v="-4706.57"/>
    <x v="1"/>
    <n v="3109.3"/>
    <n v="0.78500000000000003"/>
    <n v="0.24"/>
    <n v="2440.8000000000002"/>
    <n v="2440.8000000000002"/>
    <n v="746.23"/>
    <n v="41741.56"/>
    <n v="170674.23"/>
    <n v="0.24456900000000001"/>
    <n v="-2265.77"/>
    <n v="-2265.77"/>
    <n v="6296.33"/>
    <n v="4030.56"/>
    <n v="132931.01999999999"/>
    <s v="Forecast"/>
  </r>
  <r>
    <x v="14"/>
    <x v="2"/>
    <s v="202201"/>
    <n v="51"/>
    <n v="62242.76"/>
    <n v="-6.4496772502710145E-2"/>
    <s v="CohortAvg"/>
    <n v="-1.3463728408767309E-2"/>
    <s v="CohortAvg"/>
    <n v="0.14983199258448909"/>
    <s v="CohortAvg"/>
    <n v="3.4337151802100473E-2"/>
    <s v="CohortAvg_NonZero"/>
    <n v="3.9960223664022182E-7"/>
    <s v="CohortAvg"/>
    <n v="0"/>
    <s v="Zero"/>
    <n v="-3.8679376627584031E-6"/>
    <s v="CohortAvg"/>
    <n v="-1.7463045331353929E-8"/>
    <s v="CohortAvg"/>
    <n v="0"/>
    <n v="-4014.46"/>
    <n v="-838.02"/>
    <n v="777.16"/>
    <n v="2137.2399999999998"/>
    <n v="0.02"/>
    <n v="-0.24"/>
    <n v="0"/>
    <n v="56030.19"/>
    <n v="0.186089"/>
    <n v="1.1053999999999999"/>
    <n v="0.205708"/>
    <s v="CohortAvg+Seasonal(1.105)"/>
    <n v="11525.87"/>
    <n v="11316.46"/>
    <n v="209.4"/>
    <x v="1"/>
    <n v="2137.2399999999998"/>
    <n v="0.78500000000000003"/>
    <n v="0.24"/>
    <n v="1677.73"/>
    <n v="1677.73"/>
    <n v="512.94000000000005"/>
    <n v="9638.73"/>
    <n v="60105.52"/>
    <n v="0.16036300000000001"/>
    <n v="1887.14"/>
    <n v="1887.16"/>
    <n v="4327.91"/>
    <n v="6215.07"/>
    <n v="49815.11"/>
    <s v="Forecast"/>
  </r>
  <r>
    <x v="14"/>
    <x v="2"/>
    <s v="202301"/>
    <n v="42"/>
    <n v="6218498.3600000003"/>
    <n v="-3.5970694900747398E-2"/>
    <s v="CohortAvg"/>
    <n v="-1.532978233057939E-2"/>
    <s v="CohortAvg"/>
    <n v="0.174336547966914"/>
    <s v="CohortAvg"/>
    <n v="1.8569516053373789E-2"/>
    <s v="CohortAvg_NonZero"/>
    <n v="2.7070276496785719E-8"/>
    <s v="CohortAvg"/>
    <n v="0"/>
    <s v="Zero"/>
    <n v="-7.8511445520516727E-5"/>
    <s v="CohortAvg"/>
    <n v="-1.9478264364017549E-7"/>
    <s v="CohortAvg"/>
    <n v="0"/>
    <n v="-223683.71"/>
    <n v="-95328.23"/>
    <n v="90342.63"/>
    <n v="115474.51"/>
    <n v="0.17"/>
    <n v="-488.22"/>
    <n v="-1.21"/>
    <n v="5874354.3799999999"/>
    <n v="0.21857499999999999"/>
    <n v="1.1053999999999999"/>
    <n v="0.24162"/>
    <s v="CohortAvg+Seasonal(1.105)"/>
    <n v="1419363.03"/>
    <n v="1312139.53"/>
    <n v="107223.5"/>
    <x v="1"/>
    <n v="115474.51"/>
    <n v="0.78500000000000003"/>
    <n v="0.24"/>
    <n v="90647.49"/>
    <n v="90647.49"/>
    <n v="27713.88"/>
    <n v="1221492.04"/>
    <n v="6103023.8600000003"/>
    <n v="0.20014499999999999"/>
    <n v="197870.99"/>
    <n v="197871.16"/>
    <n v="233835.87"/>
    <n v="431707.03"/>
    <n v="5442647.3499999996"/>
    <s v="Forecast"/>
  </r>
  <r>
    <x v="14"/>
    <x v="2"/>
    <s v="202404"/>
    <n v="32"/>
    <n v="1490657.11"/>
    <n v="-4.2750771557352067E-2"/>
    <s v="CohortAvg"/>
    <n v="-1.6108332731926678E-2"/>
    <s v="CohortAvg"/>
    <n v="0.17590819448529779"/>
    <s v="CohortAvg"/>
    <n v="2.133506297302552E-2"/>
    <s v="CohortAvg_NonZero"/>
    <n v="1.364923370969536E-7"/>
    <s v="CohortAvg"/>
    <n v="0"/>
    <s v="Zero"/>
    <n v="-2.4345983222252049E-3"/>
    <s v="CohortAvg"/>
    <n v="-1.125937051070021E-5"/>
    <s v="CohortAvg"/>
    <n v="0"/>
    <n v="-63726.74"/>
    <n v="-24012"/>
    <n v="21851.57"/>
    <n v="31803.26"/>
    <n v="0.2"/>
    <n v="-3629.15"/>
    <n v="-16.78"/>
    <n v="1392966.47"/>
    <n v="0.18820899999999999"/>
    <n v="1.1053999999999999"/>
    <n v="0.20805199999999999"/>
    <s v="CohortTrend+Seasonal(1.105)"/>
    <n v="289810.03000000003"/>
    <n v="265916.28000000003"/>
    <n v="23893.75"/>
    <x v="1"/>
    <n v="31803.26"/>
    <n v="0.78500000000000003"/>
    <n v="0.24"/>
    <n v="24965.56"/>
    <n v="24965.56"/>
    <n v="7632.78"/>
    <n v="240950.72"/>
    <n v="1458853.85"/>
    <n v="0.16516400000000001"/>
    <n v="48859.31"/>
    <n v="48859.519999999997"/>
    <n v="64401.61"/>
    <n v="113261.12"/>
    <n v="1279705.3500000001"/>
    <s v="Forecast"/>
  </r>
  <r>
    <x v="14"/>
    <x v="2"/>
    <s v="202405"/>
    <n v="31"/>
    <n v="1762197.66"/>
    <n v="-1.9143235517067082E-2"/>
    <s v="CohortAvg"/>
    <n v="-1.51176938951847E-2"/>
    <s v="CohortAvg"/>
    <n v="0.1732667500134539"/>
    <s v="CohortAvg"/>
    <n v="3.1620861449205499E-2"/>
    <s v="CohortAvg_NonZero"/>
    <n v="1.2972445846359691E-7"/>
    <s v="CohortAvg"/>
    <n v="0"/>
    <s v="Zero"/>
    <n v="-5.6571608261893258E-3"/>
    <s v="CohortAvg"/>
    <n v="-3.4145934856720613E-5"/>
    <s v="CohortAvg"/>
    <n v="0"/>
    <n v="-33734.160000000003"/>
    <n v="-26640.36"/>
    <n v="25444.19"/>
    <n v="55722.21"/>
    <n v="0.23"/>
    <n v="-9969.0400000000009"/>
    <n v="-60.17"/>
    <n v="1671544.89"/>
    <n v="0.15976899999999999"/>
    <n v="1.1053999999999999"/>
    <n v="0.17661399999999999"/>
    <s v="CohortTrend+Seasonal(1.105)"/>
    <n v="295217.78000000003"/>
    <n v="266838.31"/>
    <n v="28379.46"/>
    <x v="1"/>
    <n v="55722.21"/>
    <n v="0.78500000000000003"/>
    <n v="0.24"/>
    <n v="43741.93"/>
    <n v="43741.93"/>
    <n v="13373.33"/>
    <n v="223096.38"/>
    <n v="1706475.46"/>
    <n v="0.13073499999999999"/>
    <n v="72121.399999999994"/>
    <n v="72121.63"/>
    <n v="112837.47"/>
    <n v="184959.1"/>
    <n v="1486585.79"/>
    <s v="Forecast"/>
  </r>
  <r>
    <x v="14"/>
    <x v="2"/>
    <s v="202406"/>
    <n v="30"/>
    <n v="1331674.94"/>
    <n v="-2.763343424968466E-2"/>
    <s v="CohortAvg"/>
    <n v="-1.514308090536264E-2"/>
    <s v="CohortAvg"/>
    <n v="0.1718841404006323"/>
    <s v="CohortAvg"/>
    <n v="6.2579706269301261E-2"/>
    <s v="CohortAvg_NonZero"/>
    <n v="1.125091554862019E-7"/>
    <s v="CohortAvg"/>
    <n v="0"/>
    <s v="Zero"/>
    <n v="-3.5012146624842939E-3"/>
    <s v="CohortAvg"/>
    <n v="-5.4504476167194032E-5"/>
    <s v="CohortAvg"/>
    <n v="0"/>
    <n v="-36798.75"/>
    <n v="-20165.66"/>
    <n v="19074.48"/>
    <n v="83335.83"/>
    <n v="0.15"/>
    <n v="-4662.4799999999996"/>
    <n v="-72.58"/>
    <n v="1210449.03"/>
    <n v="0.16430700000000001"/>
    <n v="1.1053999999999999"/>
    <n v="0.18163000000000001"/>
    <s v="CohortTrend+Seasonal(1.105)"/>
    <n v="219853.65"/>
    <n v="207750.9"/>
    <n v="12102.75"/>
    <x v="1"/>
    <n v="83335.83"/>
    <n v="0.78500000000000003"/>
    <n v="0.24"/>
    <n v="65418.62"/>
    <n v="65418.62"/>
    <n v="20000.599999999999"/>
    <n v="142332.28"/>
    <n v="1248339.1100000001"/>
    <n v="0.11401699999999999"/>
    <n v="77521.37"/>
    <n v="77521.52"/>
    <n v="168755.05"/>
    <n v="246276.57"/>
    <n v="964172.46"/>
    <s v="Forecast"/>
  </r>
  <r>
    <x v="14"/>
    <x v="2"/>
    <s v="202407"/>
    <n v="29"/>
    <n v="2573254.64"/>
    <n v="-2.728024284372476E-2"/>
    <s v="CohortAvg"/>
    <n v="-1.5652528963746401E-2"/>
    <s v="CohortAvg"/>
    <n v="0.17586364743086649"/>
    <s v="CohortAvg"/>
    <n v="3.1698284264406983E-2"/>
    <s v="CohortAvg_NonZero"/>
    <n v="6.583518988845967E-6"/>
    <s v="CohortAvg"/>
    <n v="0"/>
    <s v="Zero"/>
    <n v="-4.8971409475872356E-3"/>
    <s v="CohortAvg"/>
    <n v="-4.1062758801126812E-5"/>
    <s v="CohortAvg"/>
    <n v="0"/>
    <n v="-70199.009999999995"/>
    <n v="-40277.94"/>
    <n v="37711.83"/>
    <n v="81567.759999999995"/>
    <n v="16.940000000000001"/>
    <n v="-12601.59"/>
    <n v="-105.66"/>
    <n v="2418904.8199999998"/>
    <n v="0.141292"/>
    <n v="1.1053999999999999"/>
    <n v="0.15618799999999999"/>
    <s v="CohortTrend+Seasonal(1.105)"/>
    <n v="377804.46"/>
    <n v="344157.79"/>
    <n v="33646.660000000003"/>
    <x v="1"/>
    <n v="81567.759999999995"/>
    <n v="0.78500000000000003"/>
    <n v="0.24"/>
    <n v="64030.69"/>
    <n v="64030.69"/>
    <n v="19576.259999999998"/>
    <n v="280127.11"/>
    <n v="2491686.89"/>
    <n v="0.112425"/>
    <n v="97677.35"/>
    <n v="97694.29"/>
    <n v="165174.71"/>
    <n v="262869"/>
    <n v="2156035.8199999998"/>
    <s v="Forecast"/>
  </r>
  <r>
    <x v="14"/>
    <x v="2"/>
    <s v="202408"/>
    <n v="28"/>
    <n v="1903755.99"/>
    <n v="-2.3973488231368811E-2"/>
    <s v="CohortAvg"/>
    <n v="-1.6485838854516741E-2"/>
    <s v="CohortAvg"/>
    <n v="0.18800918301467809"/>
    <s v="CohortAvg"/>
    <n v="2.164222437047458E-2"/>
    <s v="CohortAvg_NonZero"/>
    <n v="4.5433690652233788E-8"/>
    <s v="CohortAvg"/>
    <n v="0"/>
    <s v="Zero"/>
    <n v="-2.1757719658173969E-3"/>
    <s v="CohortAvg"/>
    <n v="-2.3550766738684821E-5"/>
    <s v="CohortAvg"/>
    <n v="0"/>
    <n v="-45639.67"/>
    <n v="-31385.01"/>
    <n v="29826.97"/>
    <n v="41201.51"/>
    <n v="0.09"/>
    <n v="-4142.1400000000003"/>
    <n v="-44.83"/>
    <n v="1815356.67"/>
    <n v="0.14235999999999999"/>
    <n v="1.1053999999999999"/>
    <n v="0.15736900000000001"/>
    <s v="CohortTrend+Seasonal(1.105)"/>
    <n v="285681.13"/>
    <n v="255141.89"/>
    <n v="30539.23"/>
    <x v="1"/>
    <n v="41201.51"/>
    <n v="0.78500000000000003"/>
    <n v="0.24"/>
    <n v="32343.19"/>
    <n v="32343.19"/>
    <n v="9888.36"/>
    <n v="222798.7"/>
    <n v="1862554.48"/>
    <n v="0.11962"/>
    <n v="62882.42"/>
    <n v="62882.51"/>
    <n v="83433.070000000007"/>
    <n v="146315.57999999999"/>
    <n v="1669041.1"/>
    <s v="Forecast"/>
  </r>
  <r>
    <x v="14"/>
    <x v="2"/>
    <s v="202409"/>
    <n v="27"/>
    <n v="1651442.24"/>
    <n v="-3.2610541102191512E-2"/>
    <s v="CohortAvg"/>
    <n v="-1.6761138610459071E-2"/>
    <s v="CohortAvg"/>
    <n v="0.18517060612603711"/>
    <s v="CohortAvg"/>
    <n v="3.5077118301669097E-2"/>
    <s v="CohortAvg_NonZero"/>
    <n v="7.3672267983211097E-6"/>
    <s v="CohortAvg"/>
    <n v="0"/>
    <s v="Zero"/>
    <n v="-1.1652328644558519E-2"/>
    <s v="CohortAvg"/>
    <n v="-9.4131177267836326E-5"/>
    <s v="CohortAvg"/>
    <n v="0"/>
    <n v="-53854.43"/>
    <n v="-27680.05"/>
    <n v="25483.21"/>
    <n v="57927.83"/>
    <n v="12.17"/>
    <n v="-19243.150000000001"/>
    <n v="-155.44999999999999"/>
    <n v="1537450.98"/>
    <n v="0.124838"/>
    <n v="1.1053999999999999"/>
    <n v="0.13800000000000001"/>
    <s v="CohortTrend+Seasonal(1.105)"/>
    <n v="212167.9"/>
    <n v="194087.32"/>
    <n v="18080.57"/>
    <x v="1"/>
    <n v="57927.83"/>
    <n v="0.78500000000000003"/>
    <n v="0.24"/>
    <n v="45473.35"/>
    <n v="45473.35"/>
    <n v="13902.68"/>
    <n v="148613.97"/>
    <n v="1593514.41"/>
    <n v="9.3261999999999998E-2"/>
    <n v="63553.919999999998"/>
    <n v="63566.09"/>
    <n v="117303.87"/>
    <n v="180869.96"/>
    <n v="1356581.02"/>
    <s v="Forecast"/>
  </r>
  <r>
    <x v="14"/>
    <x v="2"/>
    <s v="202410"/>
    <n v="26"/>
    <n v="1509017.35"/>
    <n v="-4.0614763440261957E-2"/>
    <s v="CohortAvg"/>
    <n v="-1.671866296176449E-2"/>
    <s v="CohortAvg"/>
    <n v="0.18199802042648661"/>
    <s v="CohortAvg"/>
    <n v="2.9377663243576629E-2"/>
    <s v="CohortAvg_NonZero"/>
    <n v="2.087995618052255E-7"/>
    <s v="CohortAvg"/>
    <n v="0"/>
    <s v="Zero"/>
    <n v="-7.2466612303758856E-3"/>
    <s v="CohortAvg"/>
    <n v="-1.1087299921312291E-4"/>
    <s v="CohortAvg"/>
    <n v="0"/>
    <n v="-61288.38"/>
    <n v="-25228.75"/>
    <n v="22886.51"/>
    <n v="44331.4"/>
    <n v="0.32"/>
    <n v="-10935.34"/>
    <n v="-167.31"/>
    <n v="1401055.01"/>
    <n v="0.114175"/>
    <n v="1.1053999999999999"/>
    <n v="0.12621199999999999"/>
    <s v="CohortTrend+Seasonal(1.105)"/>
    <n v="176830.53"/>
    <n v="162828.07"/>
    <n v="14002.46"/>
    <x v="1"/>
    <n v="44331.4"/>
    <n v="0.78500000000000003"/>
    <n v="0.24"/>
    <n v="34800.15"/>
    <n v="34800.15"/>
    <n v="10639.54"/>
    <n v="128027.92"/>
    <n v="1464685.95"/>
    <n v="8.7410000000000002E-2"/>
    <n v="48802.61"/>
    <n v="48802.93"/>
    <n v="89771.09"/>
    <n v="138574.01999999999"/>
    <n v="1262480.99"/>
    <s v="Forecast"/>
  </r>
  <r>
    <x v="14"/>
    <x v="2"/>
    <s v="202411"/>
    <n v="25"/>
    <n v="1767622.57"/>
    <n v="-3.7029589819656247E-2"/>
    <s v="CohortAvg"/>
    <n v="-1.7560552338009339E-2"/>
    <s v="CohortAvg"/>
    <n v="0.1900858197878563"/>
    <s v="CohortAvg"/>
    <n v="2.1674198577310559E-2"/>
    <s v="CohortAvg_NonZero"/>
    <n v="1.796975756878557E-6"/>
    <s v="CohortAvg"/>
    <n v="0"/>
    <s v="Zero"/>
    <n v="-1.0873875445821199E-2"/>
    <s v="CohortAvg"/>
    <n v="-9.5284293329778278E-5"/>
    <s v="CohortAvg"/>
    <n v="0"/>
    <n v="-65454.34"/>
    <n v="-31040.43"/>
    <n v="28000"/>
    <n v="38311.800000000003"/>
    <n v="3.18"/>
    <n v="-19220.91"/>
    <n v="-168.43"/>
    <n v="1660812.82"/>
    <n v="0.114326"/>
    <n v="1.1053999999999999"/>
    <n v="0.12637899999999999"/>
    <s v="CohortTrend+Seasonal(1.105)"/>
    <n v="209892.33"/>
    <n v="189232.18"/>
    <n v="20660.150000000001"/>
    <x v="1"/>
    <n v="38311.800000000003"/>
    <n v="0.78500000000000003"/>
    <n v="0.24"/>
    <n v="30074.76"/>
    <n v="30074.76"/>
    <n v="9194.83"/>
    <n v="159157.42000000001"/>
    <n v="1729310.76"/>
    <n v="9.2035000000000006E-2"/>
    <n v="50734.91"/>
    <n v="50738.09"/>
    <n v="77581.399999999994"/>
    <n v="128319.49"/>
    <n v="1532493.33"/>
    <s v="Forecast"/>
  </r>
  <r>
    <x v="14"/>
    <x v="2"/>
    <s v="202412"/>
    <n v="24"/>
    <n v="1760305.6"/>
    <n v="-2.005121304018528E-2"/>
    <s v="CohortAvg"/>
    <n v="-1.6655655209721461E-2"/>
    <s v="CohortAvg"/>
    <n v="0.1894878521590167"/>
    <s v="CohortAvg"/>
    <n v="2.8168826513836832E-2"/>
    <s v="CohortAvg_NonZero"/>
    <n v="1.3186952888776209E-7"/>
    <s v="CohortAvg"/>
    <n v="0"/>
    <s v="Zero"/>
    <n v="-1.025955205642325E-2"/>
    <s v="CohortAvg"/>
    <n v="-7.0009518137834789E-5"/>
    <s v="CohortAvg"/>
    <n v="0"/>
    <n v="-35296.26"/>
    <n v="-29319.040000000001"/>
    <n v="27796.38"/>
    <n v="49585.74"/>
    <n v="0.23"/>
    <n v="-18059.95"/>
    <n v="-123.24"/>
    <n v="1673900.7"/>
    <n v="9.3514E-2"/>
    <n v="1.1053999999999999"/>
    <n v="0.10337399999999999"/>
    <s v="CohortTrend+Seasonal(1.105)"/>
    <n v="173037.29"/>
    <n v="155926.01"/>
    <n v="17111.28"/>
    <x v="1"/>
    <n v="49585.74"/>
    <n v="0.78500000000000003"/>
    <n v="0.24"/>
    <n v="38924.81"/>
    <n v="38924.81"/>
    <n v="11900.58"/>
    <n v="117001.21"/>
    <n v="1710719.86"/>
    <n v="6.8392999999999995E-2"/>
    <n v="56036.09"/>
    <n v="56036.32"/>
    <n v="100411.13"/>
    <n v="156447.45000000001"/>
    <n v="1517453.25"/>
    <s v="Forecast"/>
  </r>
  <r>
    <x v="14"/>
    <x v="2"/>
    <s v="202501"/>
    <n v="23"/>
    <n v="2993644.79"/>
    <n v="-3.0433636142948708E-2"/>
    <s v="CohortAvg"/>
    <n v="-1.7539521416144749E-2"/>
    <s v="CohortAvg"/>
    <n v="0.1908118460387917"/>
    <s v="CohortAvg"/>
    <n v="1.553355535345541E-2"/>
    <s v="CohortAvg_NonZero"/>
    <n v="5.5401683210423674E-6"/>
    <s v="CohortAvg"/>
    <n v="0"/>
    <s v="Zero"/>
    <n v="-1.8872951303618352E-2"/>
    <s v="CohortAvg"/>
    <n v="-1.5411357586264161E-4"/>
    <s v="CohortAvg"/>
    <n v="0"/>
    <n v="-91107.5"/>
    <n v="-52507.1"/>
    <n v="47601.91"/>
    <n v="46501.95"/>
    <n v="16.59"/>
    <n v="-56498.91"/>
    <n v="-461.36"/>
    <n v="2851113.57"/>
    <n v="9.7897999999999999E-2"/>
    <n v="1.1053999999999999"/>
    <n v="0.10822"/>
    <s v="CohortTrend+Seasonal(1.105)"/>
    <n v="308546.26"/>
    <n v="274611.09000000003"/>
    <n v="33935.17"/>
    <x v="1"/>
    <n v="46501.95"/>
    <n v="0.78500000000000003"/>
    <n v="0.24"/>
    <n v="36504.03"/>
    <n v="36504.03"/>
    <n v="11160.47"/>
    <n v="238107.06"/>
    <n v="2947142.84"/>
    <n v="8.0793000000000004E-2"/>
    <n v="70439.199999999997"/>
    <n v="70455.78"/>
    <n v="94166.44"/>
    <n v="164622.23000000001"/>
    <n v="2686491.35"/>
    <s v="Forecast"/>
  </r>
  <r>
    <x v="14"/>
    <x v="2"/>
    <s v="202502"/>
    <n v="22"/>
    <n v="3046171.64"/>
    <n v="-3.4058420916469843E-2"/>
    <s v="CohortAvg"/>
    <n v="-1.7639594817065941E-2"/>
    <s v="CohortAvg"/>
    <n v="0.19724553800698749"/>
    <s v="CohortAvg"/>
    <n v="7.9645373695133598E-3"/>
    <s v="CohortAvg_NonZero"/>
    <n v="0"/>
    <s v="CohortAvg"/>
    <n v="0"/>
    <s v="Zero"/>
    <n v="-3.4572333159251498E-2"/>
    <s v="CohortAvg"/>
    <n v="-3.1606471161761441E-4"/>
    <s v="CohortAvg"/>
    <n v="0"/>
    <n v="-103747.8"/>
    <n v="-53733.23"/>
    <n v="50070.31"/>
    <n v="24261.35"/>
    <n v="0"/>
    <n v="-105313.26"/>
    <n v="-962.79"/>
    <n v="2914499.58"/>
    <n v="0.10047300000000001"/>
    <n v="1.1053999999999999"/>
    <n v="0.111066"/>
    <s v="CohortTrend+Seasonal(1.105)"/>
    <n v="323702.65999999997"/>
    <n v="283837.52"/>
    <n v="39865.129999999997"/>
    <x v="1"/>
    <n v="24261.35"/>
    <n v="0.78500000000000003"/>
    <n v="0.24"/>
    <n v="19045.16"/>
    <n v="19045.16"/>
    <n v="5822.72"/>
    <n v="264792.36"/>
    <n v="3021910.29"/>
    <n v="8.7623999999999994E-2"/>
    <n v="58910.29"/>
    <n v="58910.29"/>
    <n v="49129.23"/>
    <n v="108039.52"/>
    <n v="2806460.06"/>
    <s v="Forecast"/>
  </r>
  <r>
    <x v="14"/>
    <x v="2"/>
    <s v="202503"/>
    <n v="21"/>
    <n v="4319586.07"/>
    <n v="-2.2745268485032819E-2"/>
    <s v="CohortAvg"/>
    <n v="-1.6983467356680729E-2"/>
    <s v="CohortAvg"/>
    <n v="0.20119689878332561"/>
    <s v="CohortAvg"/>
    <n v="7.1848262480383477E-3"/>
    <s v="CohortAvg_NonZero"/>
    <n v="7.7308061608547704E-9"/>
    <s v="CohortAvg"/>
    <n v="0"/>
    <s v="Zero"/>
    <n v="0"/>
    <s v="CohortAvg"/>
    <n v="0"/>
    <s v="CohortAvg"/>
    <n v="0"/>
    <n v="-98250.15"/>
    <n v="-73361.55"/>
    <n v="72423.94"/>
    <n v="31035.48"/>
    <n v="0.03"/>
    <n v="0"/>
    <n v="0"/>
    <n v="4189362.81"/>
    <n v="9.6258999999999997E-2"/>
    <n v="1.1053999999999999"/>
    <n v="0.106408"/>
    <s v="CohortTrend+Seasonal(1.105)"/>
    <n v="445781.51"/>
    <n v="383780.51"/>
    <n v="62001.01"/>
    <x v="1"/>
    <n v="31035.48"/>
    <n v="0.78500000000000003"/>
    <n v="0.24"/>
    <n v="24362.85"/>
    <n v="24362.85"/>
    <n v="7448.51"/>
    <n v="359417.66"/>
    <n v="4288550.5999999996"/>
    <n v="8.3808999999999995E-2"/>
    <n v="86363.86"/>
    <n v="86363.89"/>
    <n v="62846.84"/>
    <n v="149210.73000000001"/>
    <n v="4040152.09"/>
    <s v="Forecast"/>
  </r>
  <r>
    <x v="14"/>
    <x v="2"/>
    <s v="202504"/>
    <n v="20"/>
    <n v="5409877.1900000004"/>
    <n v="-2.4617208686832499E-2"/>
    <s v="CohortAvg"/>
    <n v="-1.6905637798279079E-2"/>
    <s v="CohortAvg"/>
    <n v="0.1964190336553491"/>
    <s v="CohortAvg"/>
    <n v="3.260907177009143E-3"/>
    <s v="CohortAvg_NonZero"/>
    <n v="0"/>
    <s v="CohortAvg"/>
    <n v="0"/>
    <s v="Zero"/>
    <n v="0"/>
    <s v="CohortAvg"/>
    <n v="0"/>
    <s v="CohortAvg"/>
    <n v="0"/>
    <n v="-133176.07999999999"/>
    <n v="-91457.42"/>
    <n v="88550.24"/>
    <n v="17641.11"/>
    <n v="0"/>
    <n v="0"/>
    <n v="0"/>
    <n v="5256152.82"/>
    <n v="9.3283000000000005E-2"/>
    <n v="1.1053999999999999"/>
    <n v="0.103118"/>
    <s v="CohortTrend+Seasonal(1.105)"/>
    <n v="542001.54"/>
    <n v="506693.17"/>
    <n v="35308.370000000003"/>
    <x v="1"/>
    <n v="17641.11"/>
    <n v="0.78500000000000003"/>
    <n v="0.24"/>
    <n v="13848.27"/>
    <n v="13848.27"/>
    <n v="4233.87"/>
    <n v="492844.9"/>
    <n v="5392236.0899999999"/>
    <n v="9.1398999999999994E-2"/>
    <n v="49156.639999999999"/>
    <n v="49156.639999999999"/>
    <n v="35723.24"/>
    <n v="84879.88"/>
    <n v="5171272.9400000004"/>
    <s v="Forecast"/>
  </r>
  <r>
    <x v="14"/>
    <x v="2"/>
    <s v="202505"/>
    <n v="19"/>
    <n v="5236924.18"/>
    <n v="-2.7327427673373011E-2"/>
    <s v="CohortAvg"/>
    <n v="-1.6510142590894519E-2"/>
    <s v="CohortAvg"/>
    <n v="0.19314610428560119"/>
    <s v="CohortAvg"/>
    <n v="0"/>
    <s v="CohortAvg_NoData_ERROR"/>
    <n v="0"/>
    <s v="CohortAvg"/>
    <n v="0"/>
    <s v="Zero"/>
    <n v="0"/>
    <s v="CohortAvg"/>
    <n v="0"/>
    <s v="CohortAvg"/>
    <n v="0"/>
    <n v="-143111.67000000001"/>
    <n v="-86462.37"/>
    <n v="84290.96"/>
    <n v="0"/>
    <n v="0"/>
    <n v="0"/>
    <n v="0"/>
    <n v="5091641.1100000003"/>
    <n v="9.6042000000000002E-2"/>
    <n v="1.1053999999999999"/>
    <n v="0.106168"/>
    <s v="DonorCohort:202101+Seasonal(1.105)"/>
    <n v="540569.43000000005"/>
    <n v="423869.45"/>
    <n v="116699.98"/>
    <x v="1"/>
    <n v="0"/>
    <n v="0.78500000000000003"/>
    <n v="0.24"/>
    <n v="0"/>
    <n v="0"/>
    <n v="0"/>
    <n v="423869.45"/>
    <n v="5236924.18"/>
    <n v="8.0938999999999997E-2"/>
    <n v="116699.98"/>
    <n v="116699.98"/>
    <n v="0"/>
    <n v="116699.98"/>
    <n v="4974941.13"/>
    <s v="Forecast"/>
  </r>
  <r>
    <x v="14"/>
    <x v="2"/>
    <s v="202506"/>
    <n v="18"/>
    <n v="5668292.6299999999"/>
    <n v="-1.995985862112519E-2"/>
    <s v="CohortAvg"/>
    <n v="-1.6165182154048011E-2"/>
    <s v="CohortAvg"/>
    <n v="0.19651201590203141"/>
    <s v="CohortAvg"/>
    <n v="0"/>
    <s v="CohortAvg_NoData_ERROR"/>
    <n v="0"/>
    <s v="CohortAvg"/>
    <n v="0"/>
    <s v="Zero"/>
    <n v="0"/>
    <s v="CohortAvg"/>
    <n v="0"/>
    <s v="CohortAvg"/>
    <n v="0"/>
    <n v="-113138.32"/>
    <n v="-91628.98"/>
    <n v="92823.97"/>
    <n v="0"/>
    <n v="0"/>
    <n v="0"/>
    <n v="0"/>
    <n v="5556349.29"/>
    <n v="8.2997000000000001E-2"/>
    <n v="1.1053999999999999"/>
    <n v="9.1746999999999995E-2"/>
    <s v="DonorCohort:202101+Seasonal(1.105)"/>
    <n v="509778.38"/>
    <n v="428165.39"/>
    <n v="81612.990000000005"/>
    <x v="1"/>
    <n v="0"/>
    <n v="0.78500000000000003"/>
    <n v="0.24"/>
    <n v="0"/>
    <n v="0"/>
    <n v="0"/>
    <n v="428165.39"/>
    <n v="5668292.6299999999"/>
    <n v="7.5537000000000007E-2"/>
    <n v="81612.990000000005"/>
    <n v="81612.990000000005"/>
    <n v="0"/>
    <n v="81612.990000000005"/>
    <n v="5474736.2999999998"/>
    <s v="Forecast"/>
  </r>
  <r>
    <x v="14"/>
    <x v="2"/>
    <s v="202507"/>
    <n v="17"/>
    <n v="7242685.5999999996"/>
    <n v="-1.616750460261826E-2"/>
    <s v="CohortAvg"/>
    <n v="-1.699194988465361E-2"/>
    <s v="CohortAvg"/>
    <n v="0.18722194558161381"/>
    <s v="CohortAvg"/>
    <n v="0"/>
    <s v="CohortAvg_NoData_ERROR"/>
    <n v="0"/>
    <s v="CohortAvg"/>
    <n v="0"/>
    <s v="Zero"/>
    <n v="0"/>
    <s v="CohortAvg"/>
    <n v="0"/>
    <s v="CohortAvg"/>
    <n v="0"/>
    <n v="-117096.15"/>
    <n v="-123067.35"/>
    <n v="112999.14"/>
    <n v="0"/>
    <n v="0"/>
    <n v="0"/>
    <n v="0"/>
    <n v="7115521.2400000002"/>
    <n v="7.7456999999999998E-2"/>
    <n v="1.1053999999999999"/>
    <n v="8.5624000000000006E-2"/>
    <s v="DonorCohort:202101+Seasonal(1.105)"/>
    <n v="609259.17000000004"/>
    <n v="536451.37"/>
    <n v="72807.789999999994"/>
    <x v="1"/>
    <n v="0"/>
    <n v="0.78500000000000003"/>
    <n v="0.24"/>
    <n v="0"/>
    <n v="0"/>
    <n v="0"/>
    <n v="536451.37"/>
    <n v="7242685.5999999996"/>
    <n v="7.4067999999999995E-2"/>
    <n v="72807.789999999994"/>
    <n v="72807.789999999994"/>
    <n v="0"/>
    <n v="72807.789999999994"/>
    <n v="7042713.4500000002"/>
    <s v="Forecast"/>
  </r>
  <r>
    <x v="14"/>
    <x v="2"/>
    <s v="202508"/>
    <n v="16"/>
    <n v="6496530.2000000002"/>
    <n v="-1.9575287668192679E-2"/>
    <s v="CohortAvg"/>
    <n v="-1.197459403298219E-2"/>
    <s v="CohortAvg"/>
    <n v="0.18872416243333279"/>
    <s v="CohortAvg"/>
    <n v="0"/>
    <s v="CohortAvg_NoData_ERROR"/>
    <n v="3.4919166734398988E-5"/>
    <s v="CohortAvg"/>
    <n v="0"/>
    <s v="Zero"/>
    <n v="0"/>
    <s v="CohortAvg"/>
    <n v="0"/>
    <s v="CohortAvg"/>
    <n v="0"/>
    <n v="-127171.45"/>
    <n v="-77793.31"/>
    <n v="102171.02"/>
    <n v="0"/>
    <n v="226.85"/>
    <n v="0"/>
    <n v="0"/>
    <n v="6393509.6100000003"/>
    <n v="7.5951000000000005E-2"/>
    <n v="1.1053999999999999"/>
    <n v="8.3959000000000006E-2"/>
    <s v="DonorCohort:202101+Seasonal(1.105)"/>
    <n v="536792.07999999996"/>
    <n v="431785.18"/>
    <n v="105006.91"/>
    <x v="1"/>
    <n v="0"/>
    <n v="0.78500000000000003"/>
    <n v="0.24"/>
    <n v="0"/>
    <n v="0"/>
    <n v="0"/>
    <n v="431785.18"/>
    <n v="6496530.2000000002"/>
    <n v="6.6463999999999995E-2"/>
    <n v="105006.91"/>
    <n v="105233.76"/>
    <n v="0"/>
    <n v="105233.76"/>
    <n v="6288275.8499999996"/>
    <s v="Forecast"/>
  </r>
  <r>
    <x v="14"/>
    <x v="2"/>
    <s v="202509"/>
    <n v="15"/>
    <n v="902270.54"/>
    <n v="-0.26030192887201881"/>
    <s v="CohortAvg"/>
    <n v="-3.193781239667981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34862.76"/>
    <n v="-28816.55"/>
    <n v="37594.61"/>
    <n v="0"/>
    <n v="0"/>
    <n v="0"/>
    <n v="0"/>
    <n v="676185.83"/>
    <n v="6.8154000000000006E-2"/>
    <n v="1.1053999999999999"/>
    <n v="7.5339000000000003E-2"/>
    <s v="DonorCohort:202101+Seasonal(1.105)"/>
    <n v="50943.45"/>
    <n v="49293.72"/>
    <n v="1649.73"/>
    <x v="1"/>
    <n v="0"/>
    <n v="0.78500000000000003"/>
    <n v="0.24"/>
    <n v="0"/>
    <n v="0"/>
    <n v="0"/>
    <n v="49293.72"/>
    <n v="902270.54"/>
    <n v="5.4633000000000001E-2"/>
    <n v="1649.73"/>
    <n v="1649.73"/>
    <n v="0"/>
    <n v="1649.73"/>
    <n v="674536.1"/>
    <s v="Forecast"/>
  </r>
  <r>
    <x v="14"/>
    <x v="3"/>
    <s v="201912"/>
    <n v="84"/>
    <n v="48119.27"/>
    <n v="-6.8655587400455612E-3"/>
    <s v="CohortAvg"/>
    <n v="-6.4338122050609087E-4"/>
    <s v="CohortAvg"/>
    <n v="0"/>
    <s v="CohortAvg"/>
    <n v="3.0094147500062271E-2"/>
    <s v="CohortAvg_NonZero"/>
    <n v="1.4682099587030459E-7"/>
    <s v="CohortAvg"/>
    <n v="0"/>
    <s v="Zero"/>
    <n v="0"/>
    <s v="CohortAvg"/>
    <n v="0"/>
    <s v="CohortAvg"/>
    <n v="0"/>
    <n v="-330.37"/>
    <n v="-30.96"/>
    <n v="0"/>
    <n v="1448.11"/>
    <n v="0.01"/>
    <n v="0"/>
    <n v="0"/>
    <n v="46309.83"/>
    <n v="0.98816599999999999"/>
    <n v="1.0192000000000001"/>
    <n v="1.007172"/>
    <s v="CohortAvg+Seasonal(1.019)"/>
    <n v="46641.98"/>
    <n v="52820.25"/>
    <n v="-6178.27"/>
    <x v="1"/>
    <n v="1448.11"/>
    <n v="0.78500000000000003"/>
    <n v="0.24"/>
    <n v="1136.77"/>
    <n v="1136.77"/>
    <n v="347.55"/>
    <n v="51683.49"/>
    <n v="46671.16"/>
    <n v="1.107397"/>
    <n v="-5041.51"/>
    <n v="-5041.5"/>
    <n v="2932.42"/>
    <n v="-2109.08"/>
    <n v="48418.91"/>
    <s v="Forecast"/>
  </r>
  <r>
    <x v="14"/>
    <x v="3"/>
    <s v="202001"/>
    <n v="83"/>
    <n v="0.43"/>
    <n v="-0.5"/>
    <s v="CohortAvg"/>
    <n v="-3.953521685914833E-6"/>
    <s v="CohortAvg"/>
    <n v="0"/>
    <s v="CohortAvg"/>
    <n v="1.8020094338277681E-2"/>
    <s v="CohortAvg_NonZero"/>
    <n v="0"/>
    <s v="CohortAvg"/>
    <n v="0"/>
    <s v="Zero"/>
    <n v="0"/>
    <s v="CohortAvg"/>
    <n v="0"/>
    <s v="CohortAvg"/>
    <n v="0"/>
    <n v="-0.21"/>
    <n v="0"/>
    <n v="0"/>
    <n v="0.01"/>
    <n v="0"/>
    <n v="0"/>
    <n v="0"/>
    <n v="0.21"/>
    <n v="0.81988300000000003"/>
    <n v="1.0192000000000001"/>
    <n v="0.83565299999999998"/>
    <s v="CohortAvg+Seasonal(1.019)"/>
    <n v="0.17"/>
    <n v="0.39"/>
    <n v="-0.22"/>
    <x v="1"/>
    <n v="0.01"/>
    <n v="0.78500000000000003"/>
    <n v="0.24"/>
    <n v="0.01"/>
    <n v="0.01"/>
    <n v="0"/>
    <n v="0.38"/>
    <n v="0.42"/>
    <n v="0.91245200000000004"/>
    <n v="-0.21"/>
    <n v="-0.21"/>
    <n v="0.02"/>
    <n v="-0.2"/>
    <n v="0.4"/>
    <s v="Forecast"/>
  </r>
  <r>
    <x v="14"/>
    <x v="3"/>
    <s v="202101"/>
    <n v="71"/>
    <n v="454423.31"/>
    <n v="-0.1052308348351217"/>
    <s v="CohortAvg"/>
    <n v="-8.1362639795603282E-3"/>
    <s v="CohortAvg"/>
    <n v="0.10900555571394439"/>
    <s v="CohortAvg"/>
    <n v="6.1821054687074854E-3"/>
    <s v="CohortAvg_NonZero"/>
    <n v="0"/>
    <s v="CohortAvg"/>
    <n v="0"/>
    <s v="Zero"/>
    <n v="-3.5001912622884787E-5"/>
    <s v="CohortAvg"/>
    <n v="-3.715857141216033E-7"/>
    <s v="CohortAvg"/>
    <n v="0"/>
    <n v="-47819.34"/>
    <n v="-3697.31"/>
    <n v="4127.8900000000003"/>
    <n v="2809.29"/>
    <n v="0"/>
    <n v="-15.91"/>
    <n v="-0.17"/>
    <n v="404225.25"/>
    <n v="0.27624799999999999"/>
    <n v="1.0192000000000001"/>
    <n v="0.28156199999999998"/>
    <s v="CohortAvg+Seasonal(1.019)"/>
    <n v="113814.3"/>
    <n v="139425.46"/>
    <n v="-25611.16"/>
    <x v="1"/>
    <n v="2809.29"/>
    <n v="0.78500000000000003"/>
    <n v="0.24"/>
    <n v="2205.29"/>
    <n v="2205.29"/>
    <n v="674.23"/>
    <n v="137220.17000000001"/>
    <n v="451614.01"/>
    <n v="0.303844"/>
    <n v="-23405.87"/>
    <n v="-23405.87"/>
    <n v="5688.82"/>
    <n v="-17717.05"/>
    <n v="421942.3"/>
    <s v="Forecast"/>
  </r>
  <r>
    <x v="14"/>
    <x v="3"/>
    <s v="202201"/>
    <n v="51"/>
    <n v="108720.43"/>
    <n v="-8.8821434507500019E-2"/>
    <s v="CohortAvg"/>
    <n v="-1.0376419758374861E-2"/>
    <s v="CohortAvg"/>
    <n v="0.112677164121981"/>
    <s v="CohortAvg"/>
    <n v="3.3505669593692368E-2"/>
    <s v="CohortAvg_NonZero"/>
    <n v="9.0349572570737086E-4"/>
    <s v="CohortAvg"/>
    <n v="0"/>
    <s v="Zero"/>
    <n v="-3.6674343873755142E-5"/>
    <s v="CohortAvg"/>
    <n v="-3.1213334085384751E-7"/>
    <s v="CohortAvg"/>
    <n v="0"/>
    <n v="-9656.7000000000007"/>
    <n v="-1128.1300000000001"/>
    <n v="1020.86"/>
    <n v="3642.75"/>
    <n v="98.23"/>
    <n v="-3.99"/>
    <n v="-0.03"/>
    <n v="95215.48"/>
    <n v="0.30422100000000002"/>
    <n v="1.0192000000000001"/>
    <n v="0.31007200000000001"/>
    <s v="CohortAvg+Seasonal(1.019)"/>
    <n v="29523.69"/>
    <n v="36755.43"/>
    <n v="-7231.75"/>
    <x v="1"/>
    <n v="3642.75"/>
    <n v="0.78500000000000003"/>
    <n v="0.24"/>
    <n v="2859.56"/>
    <n v="2859.56"/>
    <n v="874.26"/>
    <n v="33895.870000000003"/>
    <n v="105077.68"/>
    <n v="0.322579"/>
    <n v="-4372.1899999999996"/>
    <n v="-4273.96"/>
    <n v="7376.57"/>
    <n v="3102.61"/>
    <n v="92112.86"/>
    <s v="Forecast"/>
  </r>
  <r>
    <x v="14"/>
    <x v="3"/>
    <s v="202301"/>
    <n v="42"/>
    <n v="1569170.16"/>
    <n v="-6.9832488796818679E-2"/>
    <s v="CohortAvg"/>
    <n v="-1.6140347049919439E-2"/>
    <s v="CohortAvg"/>
    <n v="0.19079916911198749"/>
    <s v="CohortAvg"/>
    <n v="2.521877848672845E-2"/>
    <s v="CohortAvg_NonZero"/>
    <n v="8.7529808743962255E-7"/>
    <s v="CohortAvg"/>
    <n v="0"/>
    <s v="Zero"/>
    <n v="-2.3912908065605721E-3"/>
    <s v="CohortAvg"/>
    <n v="-1.421814313588729E-5"/>
    <s v="CohortAvg"/>
    <n v="0"/>
    <n v="-109579.06"/>
    <n v="-25326.95"/>
    <n v="24949.7"/>
    <n v="39572.550000000003"/>
    <n v="1.37"/>
    <n v="-3752.34"/>
    <n v="-22.31"/>
    <n v="1419639.92"/>
    <n v="0.28038999999999997"/>
    <n v="1.0192000000000001"/>
    <n v="0.28578300000000001"/>
    <s v="CohortAvg+Seasonal(1.019)"/>
    <n v="405708.91"/>
    <n v="483987.53"/>
    <n v="-78278.61"/>
    <x v="1"/>
    <n v="39572.550000000003"/>
    <n v="0.78500000000000003"/>
    <n v="0.24"/>
    <n v="31064.46"/>
    <n v="31064.46"/>
    <n v="9497.41"/>
    <n v="452923.07"/>
    <n v="1529597.6"/>
    <n v="0.29610599999999998"/>
    <n v="-47214.16"/>
    <n v="-47212.78"/>
    <n v="80134.42"/>
    <n v="32921.64"/>
    <n v="1386718.28"/>
    <s v="Forecast"/>
  </r>
  <r>
    <x v="14"/>
    <x v="3"/>
    <s v="202404"/>
    <n v="32"/>
    <n v="422852.21"/>
    <n v="-5.0033363011279412E-2"/>
    <s v="CohortAvg"/>
    <n v="-1.7542111776068459E-2"/>
    <s v="CohortAvg"/>
    <n v="0.19125414443640229"/>
    <s v="CohortAvg"/>
    <n v="6.3314447194625936E-2"/>
    <s v="CohortAvg_NonZero"/>
    <n v="1.0355390763843331E-6"/>
    <s v="CohortAvg"/>
    <n v="0"/>
    <s v="Zero"/>
    <n v="-1.058495046907062E-2"/>
    <s v="CohortAvg"/>
    <n v="-1.193997224546831E-4"/>
    <s v="CohortAvg"/>
    <n v="0"/>
    <n v="-21156.720000000001"/>
    <n v="-7417.72"/>
    <n v="6739.35"/>
    <n v="26772.65"/>
    <n v="0.44"/>
    <n v="-4475.87"/>
    <n v="-50.49"/>
    <n v="374244.03"/>
    <n v="0.20005500000000001"/>
    <n v="1.0192000000000001"/>
    <n v="0.203903"/>
    <s v="CohortTrend+Seasonal(1.019)"/>
    <n v="76309.48"/>
    <n v="91614.18"/>
    <n v="-15304.71"/>
    <x v="1"/>
    <n v="26772.65"/>
    <n v="0.78500000000000003"/>
    <n v="0.24"/>
    <n v="21016.53"/>
    <n v="21016.53"/>
    <n v="6425.44"/>
    <n v="70597.649999999994"/>
    <n v="396079.55"/>
    <n v="0.17824100000000001"/>
    <n v="5711.83"/>
    <n v="5712.26"/>
    <n v="54214.62"/>
    <n v="59926.89"/>
    <n v="314317.14"/>
    <s v="Forecast"/>
  </r>
  <r>
    <x v="14"/>
    <x v="3"/>
    <s v="202405"/>
    <n v="31"/>
    <n v="388634.97"/>
    <n v="-5.2128214539936428E-2"/>
    <s v="CohortAvg"/>
    <n v="-1.793260978485051E-2"/>
    <s v="CohortAvg"/>
    <n v="0.19983555713096979"/>
    <s v="CohortAvg"/>
    <n v="4.5702623755847792E-2"/>
    <s v="CohortAvg_NonZero"/>
    <n v="3.4363449175147641E-7"/>
    <s v="CohortAvg"/>
    <n v="0"/>
    <s v="Zero"/>
    <n v="-1.2047216476054331E-2"/>
    <s v="CohortAvg"/>
    <n v="-1.075899741003194E-4"/>
    <s v="CohortAvg"/>
    <n v="0"/>
    <n v="-20258.849999999999"/>
    <n v="-6969.24"/>
    <n v="6471.92"/>
    <n v="17761.64"/>
    <n v="0.13"/>
    <n v="-4681.97"/>
    <n v="-41.81"/>
    <n v="350117.04"/>
    <n v="0.16176599999999999"/>
    <n v="1.0192000000000001"/>
    <n v="0.164877"/>
    <s v="CohortTrend+Seasonal(1.019)"/>
    <n v="57726.41"/>
    <n v="68325.570000000007"/>
    <n v="-10599.16"/>
    <x v="1"/>
    <n v="17761.64"/>
    <n v="0.78500000000000003"/>
    <n v="0.24"/>
    <n v="13942.89"/>
    <n v="13942.89"/>
    <n v="4262.79"/>
    <n v="54382.68"/>
    <n v="370873.33"/>
    <n v="0.14663399999999999"/>
    <n v="3343.73"/>
    <n v="3343.86"/>
    <n v="35967.32"/>
    <n v="39311.18"/>
    <n v="310805.86"/>
    <s v="Forecast"/>
  </r>
  <r>
    <x v="14"/>
    <x v="3"/>
    <s v="202406"/>
    <n v="30"/>
    <n v="501936.55"/>
    <n v="-4.8021290332834109E-2"/>
    <s v="CohortAvg"/>
    <n v="-1.8107401798275378E-2"/>
    <s v="CohortAvg"/>
    <n v="0.20243758797847219"/>
    <s v="CohortAvg"/>
    <n v="3.9448709452583497E-2"/>
    <s v="CohortAvg_NonZero"/>
    <n v="2.4780694777802251E-7"/>
    <s v="CohortAvg"/>
    <n v="0"/>
    <s v="Zero"/>
    <n v="-1.379820919643843E-2"/>
    <s v="CohortAvg"/>
    <n v="-1.049557947511418E-4"/>
    <s v="CohortAvg"/>
    <n v="0"/>
    <n v="-24103.64"/>
    <n v="-9088.77"/>
    <n v="8467.57"/>
    <n v="19800.75"/>
    <n v="0.12"/>
    <n v="-6925.83"/>
    <n v="-52.68"/>
    <n v="457410.84"/>
    <n v="0.127191"/>
    <n v="1.0192000000000001"/>
    <n v="0.129637"/>
    <s v="CohortTrend+Seasonal(1.019)"/>
    <n v="59297.38"/>
    <n v="69440.38"/>
    <n v="-10143.01"/>
    <x v="1"/>
    <n v="19800.75"/>
    <n v="0.78500000000000003"/>
    <n v="0.24"/>
    <n v="15543.59"/>
    <n v="15543.59"/>
    <n v="4752.18"/>
    <n v="53896.800000000003"/>
    <n v="482135.8"/>
    <n v="0.111788"/>
    <n v="5400.58"/>
    <n v="5400.7"/>
    <n v="40096.519999999997"/>
    <n v="45497.22"/>
    <n v="411913.62"/>
    <s v="Forecast"/>
  </r>
  <r>
    <x v="14"/>
    <x v="3"/>
    <s v="202407"/>
    <n v="29"/>
    <n v="406267.94"/>
    <n v="-6.7647637792487683E-2"/>
    <s v="CohortAvg"/>
    <n v="-1.8946738778449899E-2"/>
    <s v="CohortAvg"/>
    <n v="0.20669070232797551"/>
    <s v="CohortAvg"/>
    <n v="2.7060433301890351E-2"/>
    <s v="CohortAvg_NonZero"/>
    <n v="4.6726730853645383E-6"/>
    <s v="CohortAvg"/>
    <n v="0"/>
    <s v="Zero"/>
    <n v="-1.6921968286553429E-2"/>
    <s v="CohortAvg"/>
    <n v="-2.0096765804237699E-4"/>
    <s v="CohortAvg"/>
    <n v="0"/>
    <n v="-27483.07"/>
    <n v="-7697.45"/>
    <n v="6997.65"/>
    <n v="10993.79"/>
    <n v="1.9"/>
    <n v="-6874.85"/>
    <n v="-81.650000000000006"/>
    <n v="367089.39"/>
    <n v="0.103659"/>
    <n v="1.0192000000000001"/>
    <n v="0.105652"/>
    <s v="CohortTrend+Seasonal(1.019)"/>
    <n v="38783.86"/>
    <n v="45932.49"/>
    <n v="-7148.63"/>
    <x v="1"/>
    <n v="10993.79"/>
    <n v="0.78500000000000003"/>
    <n v="0.24"/>
    <n v="8630.1200000000008"/>
    <n v="8630.1200000000008"/>
    <n v="2638.51"/>
    <n v="37302.370000000003"/>
    <n v="395274.16"/>
    <n v="9.4370999999999997E-2"/>
    <n v="1481.49"/>
    <n v="1483.39"/>
    <n v="22262.42"/>
    <n v="23745.81"/>
    <n v="343343.58"/>
    <s v="Forecast"/>
  </r>
  <r>
    <x v="14"/>
    <x v="3"/>
    <s v="202408"/>
    <n v="28"/>
    <n v="562324"/>
    <n v="-4.9786926584904079E-2"/>
    <s v="CohortAvg"/>
    <n v="-1.927176992225197E-2"/>
    <s v="CohortAvg"/>
    <n v="0.2138350945226429"/>
    <s v="CohortAvg"/>
    <n v="3.2130285569064027E-2"/>
    <s v="CohortAvg_NonZero"/>
    <n v="4.4935363941614358E-7"/>
    <s v="CohortAvg"/>
    <n v="0"/>
    <s v="Zero"/>
    <n v="-1.1474827437044321E-2"/>
    <s v="CohortAvg"/>
    <n v="-9.8892412432893028E-5"/>
    <s v="CohortAvg"/>
    <n v="0"/>
    <n v="-27996.38"/>
    <n v="-10836.98"/>
    <n v="10020.379999999999"/>
    <n v="18067.63"/>
    <n v="0.25"/>
    <n v="-6452.57"/>
    <n v="-55.61"/>
    <n v="515443.13"/>
    <n v="8.8900999999999994E-2"/>
    <n v="1.0192000000000001"/>
    <n v="9.0610999999999997E-2"/>
    <s v="CohortTrend+Seasonal(1.019)"/>
    <n v="46704.81"/>
    <n v="54711.82"/>
    <n v="-8007"/>
    <x v="1"/>
    <n v="18067.63"/>
    <n v="0.78500000000000003"/>
    <n v="0.24"/>
    <n v="14183.09"/>
    <n v="14183.09"/>
    <n v="4336.2299999999996"/>
    <n v="40528.730000000003"/>
    <n v="544256.37"/>
    <n v="7.4466000000000004E-2"/>
    <n v="6176.09"/>
    <n v="6176.34"/>
    <n v="36586.949999999997"/>
    <n v="42763.29"/>
    <n v="472679.84"/>
    <s v="Forecast"/>
  </r>
  <r>
    <x v="14"/>
    <x v="3"/>
    <s v="202409"/>
    <n v="27"/>
    <n v="372770.6"/>
    <n v="-7.3792295198944868E-2"/>
    <s v="CohortAvg"/>
    <n v="-2.0173163976718301E-2"/>
    <s v="CohortAvg"/>
    <n v="0.210474732141683"/>
    <s v="CohortAvg"/>
    <n v="3.5678136557422233E-2"/>
    <s v="CohortAvg_NonZero"/>
    <n v="3.0852563438695039E-7"/>
    <s v="CohortAvg"/>
    <n v="0"/>
    <s v="Zero"/>
    <n v="-1.417071553200939E-2"/>
    <s v="CohortAvg"/>
    <n v="-1.109502787367575E-4"/>
    <s v="CohortAvg"/>
    <n v="0"/>
    <n v="-27507.599999999999"/>
    <n v="-7519.96"/>
    <n v="6538.23"/>
    <n v="13299.76"/>
    <n v="0.12"/>
    <n v="-5282.43"/>
    <n v="-41.36"/>
    <n v="330981.40000000002"/>
    <n v="7.3768E-2"/>
    <n v="1.0192000000000001"/>
    <n v="7.5187000000000004E-2"/>
    <s v="CohortTrend+Seasonal(1.019)"/>
    <n v="24885.360000000001"/>
    <n v="30227.119999999999"/>
    <n v="-5341.76"/>
    <x v="1"/>
    <n v="13299.76"/>
    <n v="0.78500000000000003"/>
    <n v="0.24"/>
    <n v="10440.31"/>
    <n v="10440.31"/>
    <n v="3191.94"/>
    <n v="19786.810000000001"/>
    <n v="359470.84"/>
    <n v="5.5044000000000003E-2"/>
    <n v="5098.55"/>
    <n v="5098.67"/>
    <n v="26932.02"/>
    <n v="32030.68"/>
    <n v="298950.71999999997"/>
    <s v="Forecast"/>
  </r>
  <r>
    <x v="14"/>
    <x v="3"/>
    <s v="202410"/>
    <n v="26"/>
    <n v="476974.82"/>
    <n v="-4.8339629720624187E-2"/>
    <s v="CohortAvg"/>
    <n v="-1.9993119459868151E-2"/>
    <s v="CohortAvg"/>
    <n v="0.21315747280057459"/>
    <s v="CohortAvg"/>
    <n v="3.7636304798128503E-2"/>
    <s v="CohortAvg_NonZero"/>
    <n v="9.8835066423837911E-7"/>
    <s v="CohortAvg"/>
    <n v="0"/>
    <s v="Zero"/>
    <n v="-1.9541947142534179E-2"/>
    <s v="CohortAvg"/>
    <n v="-1.5900304240406101E-4"/>
    <s v="CohortAvg"/>
    <n v="0"/>
    <n v="-23056.79"/>
    <n v="-9536.2099999999991"/>
    <n v="8472.56"/>
    <n v="17951.57"/>
    <n v="0.47"/>
    <n v="-9321.02"/>
    <n v="-75.84"/>
    <n v="434902.34"/>
    <n v="6.8419999999999995E-2"/>
    <n v="1.0192000000000001"/>
    <n v="6.9736000000000006E-2"/>
    <s v="CohortTrend+Seasonal(1.019)"/>
    <n v="30328.53"/>
    <n v="35898.879999999997"/>
    <n v="-5570.35"/>
    <x v="1"/>
    <n v="17951.57"/>
    <n v="0.78500000000000003"/>
    <n v="0.24"/>
    <n v="14091.98"/>
    <n v="14091.98"/>
    <n v="4308.38"/>
    <n v="21806.9"/>
    <n v="459023.25"/>
    <n v="4.7507000000000001E-2"/>
    <n v="8521.6299999999992"/>
    <n v="8522.1"/>
    <n v="36351.93"/>
    <n v="44874.03"/>
    <n v="390028.31"/>
    <s v="Forecast"/>
  </r>
  <r>
    <x v="14"/>
    <x v="3"/>
    <s v="202411"/>
    <n v="25"/>
    <n v="534786.13"/>
    <n v="-5.2212940566049533E-2"/>
    <s v="CohortAvg"/>
    <n v="-2.012091302416533E-2"/>
    <s v="CohortAvg"/>
    <n v="0.22305950302879529"/>
    <s v="CohortAvg"/>
    <n v="2.8718044277545211E-2"/>
    <s v="CohortAvg_NonZero"/>
    <n v="1.006316045745375E-7"/>
    <s v="CohortAvg"/>
    <n v="0"/>
    <s v="Zero"/>
    <n v="-2.4397345181786122E-2"/>
    <s v="CohortAvg"/>
    <n v="-2.2582267348025681E-4"/>
    <s v="CohortAvg"/>
    <n v="0"/>
    <n v="-27922.76"/>
    <n v="-10760.39"/>
    <n v="9940.76"/>
    <n v="15358.01"/>
    <n v="0.05"/>
    <n v="-13047.36"/>
    <n v="-120.77"/>
    <n v="490685.68"/>
    <n v="6.3293000000000002E-2"/>
    <n v="1.0192000000000001"/>
    <n v="6.4509999999999998E-2"/>
    <s v="CohortTrend+Seasonal(1.019)"/>
    <n v="31654.26"/>
    <n v="37144.58"/>
    <n v="-5490.32"/>
    <x v="1"/>
    <n v="15358.01"/>
    <n v="0.78500000000000003"/>
    <n v="0.24"/>
    <n v="12056.04"/>
    <n v="12056.04"/>
    <n v="3685.92"/>
    <n v="25088.54"/>
    <n v="519428.12"/>
    <n v="4.8300000000000003E-2"/>
    <n v="6565.72"/>
    <n v="6565.78"/>
    <n v="31099.97"/>
    <n v="37665.75"/>
    <n v="453019.93"/>
    <s v="Forecast"/>
  </r>
  <r>
    <x v="14"/>
    <x v="3"/>
    <s v="202412"/>
    <n v="24"/>
    <n v="569067.09"/>
    <n v="-5.0399537659532069E-2"/>
    <s v="CohortAvg"/>
    <n v="-2.0611123997630001E-2"/>
    <s v="CohortAvg"/>
    <n v="0.22209564725517561"/>
    <s v="CohortAvg"/>
    <n v="3.2905288791332629E-2"/>
    <s v="CohortAvg_NonZero"/>
    <n v="1.0187241684767799E-6"/>
    <s v="CohortAvg"/>
    <n v="0"/>
    <s v="Zero"/>
    <n v="-4.4494978378278573E-2"/>
    <s v="CohortAvg"/>
    <n v="-4.6206474715718642E-4"/>
    <s v="CohortAvg"/>
    <n v="0"/>
    <n v="-28680.720000000001"/>
    <n v="-11729.11"/>
    <n v="10532.28"/>
    <n v="18725.32"/>
    <n v="0.57999999999999996"/>
    <n v="-25320.63"/>
    <n v="-262.95"/>
    <n v="520463.64"/>
    <n v="6.4016000000000003E-2"/>
    <n v="1.0192000000000001"/>
    <n v="6.5246999999999999E-2"/>
    <s v="CohortTrend+Seasonal(1.019)"/>
    <n v="33958.910000000003"/>
    <n v="39709.43"/>
    <n v="-5750.52"/>
    <x v="1"/>
    <n v="18725.32"/>
    <n v="0.78500000000000003"/>
    <n v="0.24"/>
    <n v="14699.37"/>
    <n v="14699.37"/>
    <n v="4494.08"/>
    <n v="25010.05"/>
    <n v="550341.77"/>
    <n v="4.5444999999999999E-2"/>
    <n v="8948.86"/>
    <n v="8949.44"/>
    <n v="37918.769999999997"/>
    <n v="46868.21"/>
    <n v="473595.44"/>
    <s v="Forecast"/>
  </r>
  <r>
    <x v="14"/>
    <x v="3"/>
    <s v="202501"/>
    <n v="23"/>
    <n v="963870.4"/>
    <n v="-5.2553647450291043E-2"/>
    <s v="CohortAvg"/>
    <n v="-2.0829096257576118E-2"/>
    <s v="CohortAvg"/>
    <n v="0.22503748617106409"/>
    <s v="CohortAvg"/>
    <n v="1.412228345497272E-2"/>
    <s v="CohortAvg_NonZero"/>
    <n v="1.528260970612805E-5"/>
    <s v="CohortAvg"/>
    <n v="0"/>
    <s v="Zero"/>
    <n v="-4.3303156021002022E-2"/>
    <s v="CohortAvg"/>
    <n v="-4.6102873503592708E-4"/>
    <s v="CohortAvg"/>
    <n v="0"/>
    <n v="-50654.91"/>
    <n v="-20076.55"/>
    <n v="18075.580000000002"/>
    <n v="13612.05"/>
    <n v="14.73"/>
    <n v="-41738.629999999997"/>
    <n v="-444.37"/>
    <n v="897587.75"/>
    <n v="6.5189999999999998E-2"/>
    <n v="1.0192000000000001"/>
    <n v="6.6443000000000002E-2"/>
    <s v="CohortTrend+Seasonal(1.019)"/>
    <n v="59638.83"/>
    <n v="67910.16"/>
    <n v="-8271.34"/>
    <x v="1"/>
    <n v="13612.05"/>
    <n v="0.78500000000000003"/>
    <n v="0.24"/>
    <n v="10685.46"/>
    <n v="10685.46"/>
    <n v="3266.89"/>
    <n v="57224.7"/>
    <n v="950258.35"/>
    <n v="6.0220000000000003E-2"/>
    <n v="2414.12"/>
    <n v="2428.85"/>
    <n v="27564.400000000001"/>
    <n v="29993.26"/>
    <n v="867594.49"/>
    <s v="Forecast"/>
  </r>
  <r>
    <x v="14"/>
    <x v="3"/>
    <s v="202502"/>
    <n v="22"/>
    <n v="1034912.01"/>
    <n v="-5.3347095560438838E-2"/>
    <s v="CohortAvg"/>
    <n v="-1.91537846633912E-2"/>
    <s v="CohortAvg"/>
    <n v="0.22686397687422541"/>
    <s v="CohortAvg"/>
    <n v="1.9441024747408501E-2"/>
    <s v="CohortAvg_NonZero"/>
    <n v="3.8772025576083502E-4"/>
    <s v="CohortAvg"/>
    <n v="0"/>
    <s v="Zero"/>
    <n v="-9.1614489659251674E-2"/>
    <s v="CohortAvg"/>
    <n v="-1.1912802027445931E-3"/>
    <s v="CohortAvg"/>
    <n v="0"/>
    <n v="-55209.55"/>
    <n v="-19822.48"/>
    <n v="19565.349999999999"/>
    <n v="20119.75"/>
    <n v="401.26"/>
    <n v="-94812.94"/>
    <n v="-1232.8699999999999"/>
    <n v="958924.33"/>
    <n v="6.2984999999999999E-2"/>
    <n v="1.0192000000000001"/>
    <n v="6.4197000000000004E-2"/>
    <s v="CohortTrend+Seasonal(1.019)"/>
    <n v="61559.71"/>
    <n v="70189.67"/>
    <n v="-8629.9699999999993"/>
    <x v="1"/>
    <n v="20119.75"/>
    <n v="0.78500000000000003"/>
    <n v="0.24"/>
    <n v="15794"/>
    <n v="15794"/>
    <n v="4828.74"/>
    <n v="54395.67"/>
    <n v="1014792.26"/>
    <n v="5.3602999999999998E-2"/>
    <n v="7164.04"/>
    <n v="7565.29"/>
    <n v="40742.49"/>
    <n v="48307.79"/>
    <n v="910616.54"/>
    <s v="Forecast"/>
  </r>
  <r>
    <x v="14"/>
    <x v="3"/>
    <s v="202503"/>
    <n v="21"/>
    <n v="1322558.47"/>
    <n v="-4.5543955165151639E-2"/>
    <s v="CohortAvg"/>
    <n v="-2.1956496004386369E-2"/>
    <s v="CohortAvg"/>
    <n v="0.2547756431081819"/>
    <s v="CohortAvg"/>
    <n v="4.6176837495393924E-3"/>
    <s v="CohortAvg_NonZero"/>
    <n v="3.4449745009216349E-8"/>
    <s v="CohortAvg"/>
    <n v="0"/>
    <s v="Zero"/>
    <n v="0"/>
    <s v="CohortAvg"/>
    <n v="0"/>
    <s v="CohortAvg"/>
    <n v="0"/>
    <n v="-60234.54"/>
    <n v="-29038.75"/>
    <n v="28079.64"/>
    <n v="6107.16"/>
    <n v="0.05"/>
    <n v="0"/>
    <n v="0"/>
    <n v="1255257.6200000001"/>
    <n v="6.6809999999999994E-2"/>
    <n v="1.0192000000000001"/>
    <n v="6.8096000000000004E-2"/>
    <s v="CohortTrend+Seasonal(1.019)"/>
    <n v="85477.4"/>
    <n v="93732.22"/>
    <n v="-8254.82"/>
    <x v="1"/>
    <n v="6107.16"/>
    <n v="0.78500000000000003"/>
    <n v="0.24"/>
    <n v="4794.12"/>
    <n v="4794.12"/>
    <n v="1465.72"/>
    <n v="88938.11"/>
    <n v="1316451.31"/>
    <n v="6.7558999999999994E-2"/>
    <n v="-3460.7"/>
    <n v="-3460.66"/>
    <n v="12366.99"/>
    <n v="8906.34"/>
    <n v="1246351.28"/>
    <s v="Forecast"/>
  </r>
  <r>
    <x v="14"/>
    <x v="3"/>
    <s v="202504"/>
    <n v="20"/>
    <n v="1051595.17"/>
    <n v="-5.5746909454876703E-2"/>
    <s v="CohortAvg"/>
    <n v="-2.2017176305579759E-2"/>
    <s v="CohortAvg"/>
    <n v="0.250711811000212"/>
    <s v="CohortAvg"/>
    <n v="2.1791689037598898E-3"/>
    <s v="CohortAvg_NonZero"/>
    <n v="2.7219046348434152E-8"/>
    <s v="CohortAvg"/>
    <n v="0"/>
    <s v="Zero"/>
    <n v="0"/>
    <s v="CohortAvg"/>
    <n v="0"/>
    <s v="CohortAvg"/>
    <n v="0"/>
    <n v="-58623.18"/>
    <n v="-23153.16"/>
    <n v="21970.61"/>
    <n v="2291.6"/>
    <n v="0.03"/>
    <n v="0"/>
    <n v="0"/>
    <n v="989497.81"/>
    <n v="6.4821000000000004E-2"/>
    <n v="1.0192000000000001"/>
    <n v="6.6068000000000002E-2"/>
    <s v="CohortTrend+Seasonal(1.019)"/>
    <n v="65374.01"/>
    <n v="83918.66"/>
    <n v="-18544.64"/>
    <x v="1"/>
    <n v="2291.6"/>
    <n v="0.78500000000000003"/>
    <n v="0.24"/>
    <n v="1798.91"/>
    <n v="1798.91"/>
    <n v="549.98"/>
    <n v="82119.75"/>
    <n v="1049303.57"/>
    <n v="7.8260999999999997E-2"/>
    <n v="-16745.740000000002"/>
    <n v="-16745.71"/>
    <n v="4640.5"/>
    <n v="-12105.21"/>
    <n v="1001603.02"/>
    <s v="Forecast"/>
  </r>
  <r>
    <x v="14"/>
    <x v="3"/>
    <s v="202505"/>
    <n v="19"/>
    <n v="1334791.57"/>
    <n v="-4.9177356503907407E-2"/>
    <s v="CohortAvg"/>
    <n v="-2.14214430665789E-2"/>
    <s v="CohortAvg"/>
    <n v="0.2424194904525665"/>
    <s v="CohortAvg"/>
    <n v="0"/>
    <s v="CohortAvg_NoData_ERROR"/>
    <n v="0"/>
    <s v="CohortAvg"/>
    <n v="0"/>
    <s v="Zero"/>
    <n v="0"/>
    <s v="CohortAvg"/>
    <n v="0"/>
    <s v="CohortAvg"/>
    <n v="0"/>
    <n v="-65641.52"/>
    <n v="-28593.16"/>
    <n v="26964.959999999999"/>
    <n v="0"/>
    <n v="0"/>
    <n v="0"/>
    <n v="0"/>
    <n v="1267521.8500000001"/>
    <n v="7.1835999999999997E-2"/>
    <n v="1.0192000000000001"/>
    <n v="7.3218000000000005E-2"/>
    <s v="DonorCohort:202101+Seasonal(1.019)"/>
    <n v="92805.05"/>
    <n v="91450.54"/>
    <n v="1354.51"/>
    <x v="1"/>
    <n v="0"/>
    <n v="0.78500000000000003"/>
    <n v="0.24"/>
    <n v="0"/>
    <n v="0"/>
    <n v="0"/>
    <n v="91450.54"/>
    <n v="1334791.57"/>
    <n v="6.8513000000000004E-2"/>
    <n v="1354.51"/>
    <n v="1354.51"/>
    <n v="0"/>
    <n v="1354.51"/>
    <n v="1266167.3400000001"/>
    <s v="Forecast"/>
  </r>
  <r>
    <x v="14"/>
    <x v="3"/>
    <s v="202506"/>
    <n v="18"/>
    <n v="1478285.77"/>
    <n v="-5.3354141848034962E-2"/>
    <s v="CohortAvg"/>
    <n v="-2.247859391083943E-2"/>
    <s v="CohortAvg"/>
    <n v="0.25444509943590887"/>
    <s v="CohortAvg"/>
    <n v="0"/>
    <s v="CohortAvg_NoData_ERROR"/>
    <n v="0"/>
    <s v="CohortAvg"/>
    <n v="0"/>
    <s v="Zero"/>
    <n v="0"/>
    <s v="CohortAvg"/>
    <n v="0"/>
    <s v="CohortAvg"/>
    <n v="0"/>
    <n v="-78872.67"/>
    <n v="-33229.79"/>
    <n v="31345.21"/>
    <n v="0"/>
    <n v="0"/>
    <n v="0"/>
    <n v="0"/>
    <n v="1397528.53"/>
    <n v="6.1674E-2"/>
    <n v="1.0192000000000001"/>
    <n v="6.2861E-2"/>
    <s v="DonorCohort:202101+Seasonal(1.019)"/>
    <n v="87849.59"/>
    <n v="96464.01"/>
    <n v="-8614.42"/>
    <x v="1"/>
    <n v="0"/>
    <n v="0.78500000000000003"/>
    <n v="0.24"/>
    <n v="0"/>
    <n v="0"/>
    <n v="0"/>
    <n v="96464.01"/>
    <n v="1478285.77"/>
    <n v="6.5254000000000006E-2"/>
    <n v="-8614.42"/>
    <n v="-8614.42"/>
    <n v="0"/>
    <n v="-8614.42"/>
    <n v="1406142.95"/>
    <s v="Forecast"/>
  </r>
  <r>
    <x v="14"/>
    <x v="3"/>
    <s v="202507"/>
    <n v="17"/>
    <n v="2024280.85"/>
    <n v="-3.9339678196996353E-2"/>
    <s v="CohortAvg"/>
    <n v="-2.362385296795063E-2"/>
    <s v="CohortAvg"/>
    <n v="0.25561573385843261"/>
    <s v="CohortAvg"/>
    <n v="0"/>
    <s v="CohortAvg_NoData_ERROR"/>
    <n v="0"/>
    <s v="CohortAvg"/>
    <n v="0"/>
    <s v="Zero"/>
    <n v="0"/>
    <s v="CohortAvg"/>
    <n v="0"/>
    <s v="CohortAvg"/>
    <n v="0"/>
    <n v="-79634.559999999998"/>
    <n v="-47821.31"/>
    <n v="43119.839999999997"/>
    <n v="0"/>
    <n v="0"/>
    <n v="0"/>
    <n v="0"/>
    <n v="1939944.82"/>
    <n v="5.8741000000000002E-2"/>
    <n v="1.0192000000000001"/>
    <n v="5.9871000000000001E-2"/>
    <s v="DonorCohort:202101+Seasonal(1.019)"/>
    <n v="116145.52"/>
    <n v="123427.29"/>
    <n v="-7281.77"/>
    <x v="1"/>
    <n v="0"/>
    <n v="0.78500000000000003"/>
    <n v="0.24"/>
    <n v="0"/>
    <n v="0"/>
    <n v="0"/>
    <n v="123427.29"/>
    <n v="2024280.85"/>
    <n v="6.0972999999999999E-2"/>
    <n v="-7281.77"/>
    <n v="-7281.77"/>
    <n v="0"/>
    <n v="-7281.77"/>
    <n v="1947226.58"/>
    <s v="Forecast"/>
  </r>
  <r>
    <x v="14"/>
    <x v="3"/>
    <s v="202508"/>
    <n v="16"/>
    <n v="2301341"/>
    <n v="-3.9308215736377501E-2"/>
    <s v="CohortAvg"/>
    <n v="-1.80268855824679E-2"/>
    <s v="CohortAvg"/>
    <n v="0.24583323164283041"/>
    <s v="CohortAvg"/>
    <n v="0"/>
    <s v="CohortAvg_NoData_ERROR"/>
    <n v="0"/>
    <s v="CohortAvg"/>
    <n v="0"/>
    <s v="Zero"/>
    <n v="0"/>
    <s v="CohortAvg"/>
    <n v="0"/>
    <s v="CohortAvg"/>
    <n v="0"/>
    <n v="-90461.61"/>
    <n v="-41486.01"/>
    <n v="47145.51"/>
    <n v="0"/>
    <n v="0"/>
    <n v="0"/>
    <n v="0"/>
    <n v="2216538.89"/>
    <n v="5.4886999999999998E-2"/>
    <n v="1.0192000000000001"/>
    <n v="5.5943E-2"/>
    <s v="DonorCohort:202101+Seasonal(1.019)"/>
    <n v="124000.09"/>
    <n v="130590.63"/>
    <n v="-6590.54"/>
    <x v="1"/>
    <n v="0"/>
    <n v="0.78500000000000003"/>
    <n v="0.24"/>
    <n v="0"/>
    <n v="0"/>
    <n v="0"/>
    <n v="130590.63"/>
    <n v="2301341"/>
    <n v="5.6744999999999997E-2"/>
    <n v="-6590.54"/>
    <n v="-6590.54"/>
    <n v="0"/>
    <n v="-6590.54"/>
    <n v="2223129.4300000002"/>
    <s v="Forecast"/>
  </r>
  <r>
    <x v="14"/>
    <x v="3"/>
    <s v="202509"/>
    <n v="15"/>
    <n v="357842.15"/>
    <n v="-0.25134981689603408"/>
    <s v="CohortAvg"/>
    <n v="-3.677246097080508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89943.56"/>
    <n v="-13158.74"/>
    <n v="14910.09"/>
    <n v="0"/>
    <n v="0"/>
    <n v="0"/>
    <n v="0"/>
    <n v="269649.94"/>
    <n v="5.1081000000000001E-2"/>
    <n v="1.0192000000000001"/>
    <n v="5.2063999999999999E-2"/>
    <s v="DonorCohort:202101+Seasonal(1.019)"/>
    <n v="14039.05"/>
    <n v="17116.59"/>
    <n v="-3077.54"/>
    <x v="1"/>
    <n v="0"/>
    <n v="0.78500000000000003"/>
    <n v="0.24"/>
    <n v="0"/>
    <n v="0"/>
    <n v="0"/>
    <n v="17116.59"/>
    <n v="357842.15"/>
    <n v="4.7833000000000001E-2"/>
    <n v="-3077.54"/>
    <n v="-3077.54"/>
    <n v="0"/>
    <n v="-3077.54"/>
    <n v="272727.49"/>
    <s v="Forecast"/>
  </r>
  <r>
    <x v="14"/>
    <x v="4"/>
    <s v="202101"/>
    <n v="69"/>
    <n v="383140.19"/>
    <n v="-0.1372748749281765"/>
    <s v="CohortAvg"/>
    <n v="-1.149706302335206E-2"/>
    <s v="CohortAvg"/>
    <n v="0.13145100245699351"/>
    <s v="CohortAvg"/>
    <n v="4.6074193961880908E-2"/>
    <s v="CohortAvg_NonZero"/>
    <n v="0"/>
    <s v="CohortAvg"/>
    <n v="0"/>
    <s v="Zero"/>
    <n v="0"/>
    <s v="CohortAvg"/>
    <n v="0"/>
    <s v="CohortAvg"/>
    <n v="0"/>
    <n v="-52595.519999999997"/>
    <n v="-4404.99"/>
    <n v="4197.01"/>
    <n v="17652.88"/>
    <n v="0"/>
    <n v="0"/>
    <n v="0"/>
    <n v="312683.82"/>
    <n v="0.17016200000000001"/>
    <n v="1.0286999999999999"/>
    <n v="0.17505100000000001"/>
    <s v="CohortAvg+Seasonal(1.029)"/>
    <n v="54735.58"/>
    <n v="57418.01"/>
    <n v="-2682.43"/>
    <x v="1"/>
    <n v="17652.88"/>
    <n v="0.78500000000000003"/>
    <n v="0.24"/>
    <n v="13857.51"/>
    <n v="13857.51"/>
    <n v="4236.6899999999996"/>
    <n v="43560.5"/>
    <n v="365487.31"/>
    <n v="0.119185"/>
    <n v="11175.07"/>
    <n v="11175.07"/>
    <n v="35747.07"/>
    <n v="46922.14"/>
    <n v="265761.67"/>
    <s v="Forecast"/>
  </r>
  <r>
    <x v="14"/>
    <x v="4"/>
    <s v="202201"/>
    <n v="51"/>
    <n v="24760.84"/>
    <n v="-9.8711147472807667E-2"/>
    <s v="CohortAvg"/>
    <n v="-9.5707152666344875E-3"/>
    <s v="CohortAvg"/>
    <n v="9.9642871996857188E-2"/>
    <s v="CohortAvg"/>
    <n v="3.6328760182954493E-2"/>
    <s v="CohortAvg_NonZero"/>
    <n v="8.656989336911081E-10"/>
    <s v="CohortAvg"/>
    <n v="0"/>
    <s v="Zero"/>
    <n v="0"/>
    <s v="CohortAvg"/>
    <n v="0"/>
    <s v="CohortAvg"/>
    <n v="0"/>
    <n v="-2444.17"/>
    <n v="-236.98"/>
    <n v="205.6"/>
    <n v="899.53"/>
    <n v="0"/>
    <n v="0"/>
    <n v="0"/>
    <n v="21385.759999999998"/>
    <n v="3.9042E-2"/>
    <n v="1.0286999999999999"/>
    <n v="4.0163999999999998E-2"/>
    <s v="CohortAvg+Seasonal(1.029)"/>
    <n v="858.94"/>
    <n v="853.88"/>
    <n v="5.0599999999999996"/>
    <x v="1"/>
    <n v="899.53"/>
    <n v="0.78500000000000003"/>
    <n v="0.24"/>
    <n v="706.13"/>
    <n v="706.13"/>
    <n v="215.89"/>
    <n v="147.74"/>
    <n v="23861.31"/>
    <n v="6.1919999999999996E-3"/>
    <n v="711.19"/>
    <n v="711.19"/>
    <n v="1821.55"/>
    <n v="2532.7399999999998"/>
    <n v="18853.02"/>
    <s v="Forecast"/>
  </r>
  <r>
    <x v="14"/>
    <x v="4"/>
    <s v="202405"/>
    <n v="31"/>
    <n v="3802.39"/>
    <n v="-1.6746123070098529E-2"/>
    <s v="CohortAvg"/>
    <n v="-1.045988967276181E-2"/>
    <s v="CohortAvg"/>
    <n v="0.1215725336284178"/>
    <s v="CohortAvg"/>
    <n v="0"/>
    <s v="CohortAvg_NoData_ERROR"/>
    <n v="0"/>
    <s v="CohortAvg"/>
    <n v="0"/>
    <s v="Zero"/>
    <n v="0"/>
    <s v="CohortAvg"/>
    <n v="0"/>
    <s v="CohortAvg"/>
    <n v="0"/>
    <n v="-63.68"/>
    <n v="-39.770000000000003"/>
    <n v="38.520000000000003"/>
    <n v="0"/>
    <n v="0"/>
    <n v="0"/>
    <n v="0"/>
    <n v="3737.47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3802.39"/>
    <n v="0"/>
    <n v="0"/>
    <n v="0"/>
    <n v="0"/>
    <n v="0"/>
    <n v="3737.47"/>
    <s v="Forecast"/>
  </r>
  <r>
    <x v="14"/>
    <x v="4"/>
    <s v="202407"/>
    <n v="29"/>
    <n v="1443.17"/>
    <n v="-5.357976834916859E-2"/>
    <s v="CohortAvg"/>
    <n v="-1.0496600388340389E-2"/>
    <s v="CohortAvg"/>
    <n v="0.12046017727252679"/>
    <s v="CohortAvg"/>
    <n v="0"/>
    <s v="CohortAvg_NoData_ERROR"/>
    <n v="0"/>
    <s v="CohortAvg"/>
    <n v="0"/>
    <s v="Zero"/>
    <n v="0"/>
    <s v="CohortAvg"/>
    <n v="0"/>
    <s v="CohortAvg"/>
    <n v="0"/>
    <n v="-77.319999999999993"/>
    <n v="-15.15"/>
    <n v="14.49"/>
    <n v="0"/>
    <n v="0"/>
    <n v="0"/>
    <n v="0"/>
    <n v="1365.19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1443.17"/>
    <n v="0"/>
    <n v="0"/>
    <n v="0"/>
    <n v="0"/>
    <n v="0"/>
    <n v="1365.19"/>
    <s v="Forecast"/>
  </r>
  <r>
    <x v="14"/>
    <x v="4"/>
    <s v="202409"/>
    <n v="27"/>
    <n v="5498.95"/>
    <n v="-4.3451254988546392E-2"/>
    <s v="CohortAvg"/>
    <n v="-1.046625599716948E-2"/>
    <s v="CohortAvg"/>
    <n v="0.1208190643583924"/>
    <s v="CohortAvg"/>
    <n v="0"/>
    <s v="CohortAvg_NoData_ERROR"/>
    <n v="0"/>
    <s v="CohortAvg"/>
    <n v="0"/>
    <s v="Zero"/>
    <n v="0"/>
    <s v="CohortAvg"/>
    <n v="0"/>
    <s v="CohortAvg"/>
    <n v="0"/>
    <n v="-238.94"/>
    <n v="-57.55"/>
    <n v="55.36"/>
    <n v="0"/>
    <n v="0"/>
    <n v="0"/>
    <n v="0"/>
    <n v="5257.83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5498.95"/>
    <n v="0"/>
    <n v="0"/>
    <n v="0"/>
    <n v="0"/>
    <n v="0"/>
    <n v="5257.83"/>
    <s v="Forecast"/>
  </r>
  <r>
    <x v="14"/>
    <x v="4"/>
    <s v="202504"/>
    <n v="20"/>
    <n v="3881.85"/>
    <n v="-1.2981639700119819E-2"/>
    <s v="CohortAvg"/>
    <n v="-1.043025524344283E-2"/>
    <s v="CohortAvg"/>
    <n v="0.1255693356992828"/>
    <s v="CohortAvg"/>
    <n v="0"/>
    <s v="CohortAvg_NoData_ERROR"/>
    <n v="0"/>
    <s v="CohortAvg"/>
    <n v="0"/>
    <s v="Zero"/>
    <n v="0"/>
    <s v="CohortAvg"/>
    <n v="0"/>
    <s v="CohortAvg"/>
    <n v="0"/>
    <n v="-50.39"/>
    <n v="-40.49"/>
    <n v="40.619999999999997"/>
    <n v="0"/>
    <n v="0"/>
    <n v="0"/>
    <n v="0"/>
    <n v="3831.58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3881.85"/>
    <n v="0"/>
    <n v="0"/>
    <n v="0"/>
    <n v="0"/>
    <n v="0"/>
    <n v="3831.58"/>
    <s v="Forecast"/>
  </r>
  <r>
    <x v="14"/>
    <x v="4"/>
    <s v="202507"/>
    <n v="17"/>
    <n v="8731.15"/>
    <n v="-1.1562056237873489E-2"/>
    <s v="CohortAvg"/>
    <n v="-1.1428987824588691E-2"/>
    <s v="CohortAvg"/>
    <n v="0.13599591837707631"/>
    <s v="CohortAvg"/>
    <n v="0"/>
    <s v="CohortAvg_NoData_ERROR"/>
    <n v="0"/>
    <s v="CohortAvg"/>
    <n v="0"/>
    <s v="Zero"/>
    <n v="0"/>
    <s v="CohortAvg"/>
    <n v="0"/>
    <s v="CohortAvg"/>
    <n v="0"/>
    <n v="-100.95"/>
    <n v="-99.79"/>
    <n v="98.95"/>
    <n v="0"/>
    <n v="0"/>
    <n v="0"/>
    <n v="0"/>
    <n v="8629.36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8731.15"/>
    <n v="0"/>
    <n v="0"/>
    <n v="0"/>
    <n v="0"/>
    <n v="0"/>
    <n v="8629.36"/>
    <s v="Forecast"/>
  </r>
  <r>
    <x v="14"/>
    <x v="4"/>
    <s v="202508"/>
    <n v="16"/>
    <n v="30011.96"/>
    <n v="-7.5083072914871943E-3"/>
    <s v="CohortAvg"/>
    <n v="-3.864420542421703E-3"/>
    <s v="CohortAvg"/>
    <n v="0.13472124996144549"/>
    <s v="CohortAvg"/>
    <n v="0"/>
    <s v="CohortAvg_NoData_ERROR"/>
    <n v="0"/>
    <s v="CohortAvg"/>
    <n v="0"/>
    <s v="Zero"/>
    <n v="0"/>
    <s v="CohortAvg"/>
    <n v="0"/>
    <s v="CohortAvg"/>
    <n v="0"/>
    <n v="-225.34"/>
    <n v="-115.98"/>
    <n v="336.94"/>
    <n v="0"/>
    <n v="0"/>
    <n v="0"/>
    <n v="0"/>
    <n v="30007.58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30011.96"/>
    <n v="0"/>
    <n v="0"/>
    <n v="0"/>
    <n v="0"/>
    <n v="0"/>
    <n v="30007.58"/>
    <s v="Forecast"/>
  </r>
  <r>
    <x v="14"/>
    <x v="4"/>
    <s v="202509"/>
    <n v="15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0286999999999999"/>
    <n v="0"/>
    <s v="Manual+Seasonal(1.029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5"/>
    <x v="0"/>
    <s v="201912"/>
    <n v="85"/>
    <n v="310260.32"/>
    <n v="-4.2050185525892877E-4"/>
    <s v="CohortAvg"/>
    <n v="1.483628731204649E-3"/>
    <s v="CohortAvg"/>
    <n v="0"/>
    <s v="CohortAvg"/>
    <n v="2.8952377859474229E-2"/>
    <s v="CohortAvg_NonZero"/>
    <n v="1.303524801287238E-5"/>
    <s v="CohortAvg"/>
    <n v="0"/>
    <s v="Zero"/>
    <n v="0"/>
    <s v="CohortAvg"/>
    <n v="0"/>
    <s v="CohortAvg"/>
    <n v="0"/>
    <n v="-130.47"/>
    <n v="460.31"/>
    <n v="0"/>
    <n v="0"/>
    <n v="4.04"/>
    <n v="0"/>
    <n v="0"/>
    <n v="309665.5"/>
    <n v="0.99668999999999996"/>
    <n v="1.0859000000000001"/>
    <n v="1.0823339999999999"/>
    <s v="CohortAvg+Seasonal(1.086)"/>
    <n v="335161.49"/>
    <n v="319404.45"/>
    <n v="15757.04"/>
    <x v="0"/>
    <n v="0"/>
    <n v="0.78500000000000003"/>
    <n v="0.24"/>
    <n v="0"/>
    <n v="0"/>
    <n v="0"/>
    <n v="319404.45"/>
    <n v="310260.32"/>
    <n v="1.0294719999999999"/>
    <n v="15757.04"/>
    <n v="15761.08"/>
    <n v="0"/>
    <n v="15761.08"/>
    <n v="293904.42"/>
    <s v="Forecast"/>
  </r>
  <r>
    <x v="15"/>
    <x v="0"/>
    <s v="202001"/>
    <n v="84"/>
    <n v="51580.75"/>
    <n v="3.8521863387553257E-2"/>
    <s v="CohortAvg"/>
    <n v="1.6533415286007871E-3"/>
    <s v="CohortAvg"/>
    <n v="0"/>
    <s v="CohortAvg"/>
    <n v="1.307101872155618E-2"/>
    <s v="CohortAvg_NonZero"/>
    <n v="0"/>
    <s v="CohortAvg"/>
    <n v="0"/>
    <s v="Zero"/>
    <n v="0"/>
    <s v="CohortAvg"/>
    <n v="0"/>
    <s v="CohortAvg"/>
    <n v="0"/>
    <n v="1986.99"/>
    <n v="85.28"/>
    <n v="0"/>
    <n v="0"/>
    <n v="0"/>
    <n v="0"/>
    <n v="0"/>
    <n v="49508.49"/>
    <n v="0.99838800000000005"/>
    <n v="1.0859000000000001"/>
    <n v="1.0841780000000001"/>
    <s v="CohortAvg+Seasonal(1.086)"/>
    <n v="53676.03"/>
    <n v="53192.78"/>
    <n v="483.25"/>
    <x v="0"/>
    <n v="0"/>
    <n v="0.78500000000000003"/>
    <n v="0.24"/>
    <n v="0"/>
    <n v="0"/>
    <n v="0"/>
    <n v="53192.78"/>
    <n v="51580.75"/>
    <n v="1.0312520000000001"/>
    <n v="483.25"/>
    <n v="483.25"/>
    <n v="0"/>
    <n v="483.25"/>
    <n v="49025.23"/>
    <s v="Forecast"/>
  </r>
  <r>
    <x v="15"/>
    <x v="0"/>
    <s v="202101"/>
    <n v="72"/>
    <n v="696276.6"/>
    <n v="-5.1478738237604824E-3"/>
    <s v="CohortAvg"/>
    <n v="-2.0447725001485561E-3"/>
    <s v="CohortAvg"/>
    <n v="0"/>
    <s v="CohortAvg"/>
    <n v="1.544442293982151E-2"/>
    <s v="CohortAvg_NonZero"/>
    <n v="1.079252825589345E-5"/>
    <s v="CohortAvg"/>
    <n v="0"/>
    <s v="Zero"/>
    <n v="0"/>
    <s v="CohortAvg"/>
    <n v="0"/>
    <s v="CohortAvg"/>
    <n v="0"/>
    <n v="-3584.34"/>
    <n v="-1423.73"/>
    <n v="0"/>
    <n v="0"/>
    <n v="7.51"/>
    <n v="0"/>
    <n v="0"/>
    <n v="691261.02"/>
    <n v="0.94499299999999997"/>
    <n v="1.0859000000000001"/>
    <n v="1.026195"/>
    <s v="CohortAvg+Seasonal(1.086)"/>
    <n v="709368.65"/>
    <n v="679736.57"/>
    <n v="29632.080000000002"/>
    <x v="0"/>
    <n v="0"/>
    <n v="0.78500000000000003"/>
    <n v="0.24"/>
    <n v="0"/>
    <n v="0"/>
    <n v="0"/>
    <n v="679736.57"/>
    <n v="696276.6"/>
    <n v="0.97624500000000003"/>
    <n v="29632.080000000002"/>
    <n v="29639.59"/>
    <n v="0"/>
    <n v="29639.59"/>
    <n v="661621.43000000005"/>
    <s v="Forecast"/>
  </r>
  <r>
    <x v="15"/>
    <x v="0"/>
    <s v="202201"/>
    <n v="52"/>
    <n v="146186.81"/>
    <n v="-0.1151929648639889"/>
    <s v="CohortAvg"/>
    <n v="-5.9617310849707514E-3"/>
    <s v="CohortAvg"/>
    <n v="2.549438211334213E-2"/>
    <s v="CohortAvg"/>
    <n v="4.2612004863852859E-2"/>
    <s v="CohortAvg_NonZero"/>
    <n v="4.5279085706274981E-3"/>
    <s v="CohortAvg"/>
    <n v="0"/>
    <s v="Zero"/>
    <n v="-1.6287971076117319E-5"/>
    <s v="CohortAvg"/>
    <n v="-3.587944038057523E-7"/>
    <s v="CohortAvg"/>
    <n v="0"/>
    <n v="-16839.689999999999"/>
    <n v="-871.53"/>
    <n v="310.58"/>
    <n v="0"/>
    <n v="661.92"/>
    <n v="-2.38"/>
    <n v="-0.05"/>
    <n v="128124.25"/>
    <n v="0.58473900000000001"/>
    <n v="1.0859000000000001"/>
    <n v="0.63498399999999999"/>
    <s v="CohortAvg+Seasonal(1.086)"/>
    <n v="81356.88"/>
    <n v="88323.4"/>
    <n v="-6966.51"/>
    <x v="0"/>
    <n v="0"/>
    <n v="0.78500000000000003"/>
    <n v="0.24"/>
    <n v="0"/>
    <n v="0"/>
    <n v="0"/>
    <n v="88323.4"/>
    <n v="146186.81"/>
    <n v="0.604182"/>
    <n v="-6966.51"/>
    <n v="-6304.59"/>
    <n v="0"/>
    <n v="-6304.59"/>
    <n v="134428.85"/>
    <s v="Forecast"/>
  </r>
  <r>
    <x v="15"/>
    <x v="0"/>
    <s v="202301"/>
    <n v="43"/>
    <n v="1692778.53"/>
    <n v="-6.9399689419370483E-2"/>
    <s v="CohortAvg"/>
    <n v="-1.6848016818816942E-2"/>
    <s v="CohortAvg"/>
    <n v="0.2059625638647419"/>
    <s v="CohortAvg"/>
    <n v="6.6213666759551107E-2"/>
    <s v="CohortAvg_NonZero"/>
    <n v="1.118762384179276E-4"/>
    <s v="CohortAvg"/>
    <n v="0"/>
    <s v="Zero"/>
    <n v="-5.1734050011158503E-3"/>
    <s v="CohortAvg"/>
    <n v="-7.1206514509788163E-5"/>
    <s v="CohortAvg"/>
    <n v="0"/>
    <n v="-117478.3"/>
    <n v="-28519.96"/>
    <n v="29054.080000000002"/>
    <n v="0"/>
    <n v="189.38"/>
    <n v="-8757.43"/>
    <n v="-120.54"/>
    <n v="1575644.97"/>
    <n v="0.60923700000000003"/>
    <n v="1.0859000000000001"/>
    <n v="0.66158799999999995"/>
    <s v="CohortAvg+Seasonal(1.086)"/>
    <n v="1042427.25"/>
    <n v="1058975.94"/>
    <n v="-16548.689999999999"/>
    <x v="0"/>
    <n v="0"/>
    <n v="0.78500000000000003"/>
    <n v="0.24"/>
    <n v="0"/>
    <n v="0"/>
    <n v="0"/>
    <n v="1058975.94"/>
    <n v="1692778.53"/>
    <n v="0.62558400000000003"/>
    <n v="-16548.689999999999"/>
    <n v="-16359.31"/>
    <n v="0"/>
    <n v="-16359.31"/>
    <n v="1592004.28"/>
    <s v="Forecast"/>
  </r>
  <r>
    <x v="15"/>
    <x v="0"/>
    <s v="202404"/>
    <n v="33"/>
    <n v="249750.05"/>
    <n v="-7.2339717175339685E-2"/>
    <s v="CohortAvg"/>
    <n v="-2.4076945377386111E-2"/>
    <s v="CohortAvg"/>
    <n v="0.25307028782090329"/>
    <s v="CohortAvg"/>
    <n v="0.109491363585662"/>
    <s v="CohortAvg_NonZero"/>
    <n v="9.5039834143693851E-5"/>
    <s v="CohortAvg"/>
    <n v="0"/>
    <s v="Zero"/>
    <n v="-7.6418186307157304E-3"/>
    <s v="CohortAvg"/>
    <n v="-1.5611394377026689E-4"/>
    <s v="CohortAvg"/>
    <n v="0"/>
    <n v="-18066.849999999999"/>
    <n v="-6013.22"/>
    <n v="5267.03"/>
    <n v="0"/>
    <n v="23.74"/>
    <n v="-1908.54"/>
    <n v="-38.99"/>
    <n v="230913.28"/>
    <n v="0.440751"/>
    <n v="1.0859000000000001"/>
    <n v="0.47862399999999999"/>
    <s v="CohortTrend+Seasonal(1.086)"/>
    <n v="110520.54"/>
    <n v="111130.88"/>
    <n v="-610.34"/>
    <x v="0"/>
    <n v="0"/>
    <n v="0.78500000000000003"/>
    <n v="0.24"/>
    <n v="0"/>
    <n v="0"/>
    <n v="0"/>
    <n v="111130.88"/>
    <n v="249750.05"/>
    <n v="0.44496799999999997"/>
    <n v="-610.34"/>
    <n v="-586.6"/>
    <n v="0"/>
    <n v="-586.6"/>
    <n v="231499.88"/>
    <s v="Forecast"/>
  </r>
  <r>
    <x v="15"/>
    <x v="0"/>
    <s v="202405"/>
    <n v="32"/>
    <n v="370576.16"/>
    <n v="-6.0902438484708797E-2"/>
    <s v="CohortAvg"/>
    <n v="-2.4306716531670811E-2"/>
    <s v="CohortAvg"/>
    <n v="0.26169136428150869"/>
    <s v="CohortAvg"/>
    <n v="0.1057833816077234"/>
    <s v="CohortAvg_NonZero"/>
    <n v="1.504638943031501E-4"/>
    <s v="CohortAvg"/>
    <n v="0"/>
    <s v="Zero"/>
    <n v="-1.148329458030452E-2"/>
    <s v="CohortAvg"/>
    <n v="-2.0233495156313691E-4"/>
    <s v="CohortAvg"/>
    <n v="0"/>
    <n v="-22568.99"/>
    <n v="-9007.49"/>
    <n v="8081.38"/>
    <n v="0"/>
    <n v="55.76"/>
    <n v="-4255.4399999999996"/>
    <n v="-74.98"/>
    <n v="347025.3"/>
    <n v="0.383772"/>
    <n v="1.0859000000000001"/>
    <n v="0.41674899999999998"/>
    <s v="CohortTrend+Seasonal(1.086)"/>
    <n v="144622.54999999999"/>
    <n v="144054.39999999999"/>
    <n v="568.15"/>
    <x v="0"/>
    <n v="0"/>
    <n v="0.78500000000000003"/>
    <n v="0.24"/>
    <n v="0"/>
    <n v="0"/>
    <n v="0"/>
    <n v="144054.39999999999"/>
    <n v="370576.16"/>
    <n v="0.38873099999999999"/>
    <n v="568.15"/>
    <n v="623.9"/>
    <n v="0"/>
    <n v="623.9"/>
    <n v="346401.4"/>
    <s v="Forecast"/>
  </r>
  <r>
    <x v="15"/>
    <x v="0"/>
    <s v="202406"/>
    <n v="31"/>
    <n v="661531.16"/>
    <n v="-5.5993648061369083E-2"/>
    <s v="CohortAvg"/>
    <n v="-2.5469247049887251E-2"/>
    <s v="CohortAvg"/>
    <n v="0.28043227435985801"/>
    <s v="CohortAvg"/>
    <n v="6.6205702450628345E-2"/>
    <s v="CohortAvg_NonZero"/>
    <n v="1.4730870912323669E-5"/>
    <s v="CohortAvg"/>
    <n v="0"/>
    <s v="Zero"/>
    <n v="-9.5746559927216354E-3"/>
    <s v="CohortAvg"/>
    <n v="-2.0797155870063119E-4"/>
    <s v="CohortAvg"/>
    <n v="0"/>
    <n v="-37041.54"/>
    <n v="-16848.7"/>
    <n v="15459.56"/>
    <n v="0"/>
    <n v="9.74"/>
    <n v="-6333.93"/>
    <n v="-137.58000000000001"/>
    <n v="623090.73"/>
    <n v="0.34323100000000001"/>
    <n v="1.0859000000000001"/>
    <n v="0.37272499999999997"/>
    <s v="CohortTrend+Seasonal(1.086)"/>
    <n v="232241.25"/>
    <n v="229519.58"/>
    <n v="2721.67"/>
    <x v="0"/>
    <n v="0"/>
    <n v="0.78500000000000003"/>
    <n v="0.24"/>
    <n v="0"/>
    <n v="0"/>
    <n v="0"/>
    <n v="229519.58"/>
    <n v="661531.16"/>
    <n v="0.34695199999999998"/>
    <n v="2721.67"/>
    <n v="2731.41"/>
    <n v="0"/>
    <n v="2731.41"/>
    <n v="620359.31999999995"/>
    <s v="Forecast"/>
  </r>
  <r>
    <x v="15"/>
    <x v="0"/>
    <s v="202407"/>
    <n v="30"/>
    <n v="693789.75"/>
    <n v="-5.2877365325645471E-2"/>
    <s v="CohortAvg"/>
    <n v="-2.6783762749547829E-2"/>
    <s v="CohortAvg"/>
    <n v="0.28901912927163009"/>
    <s v="CohortAvg"/>
    <n v="7.3900024001594303E-2"/>
    <s v="CohortAvg_NonZero"/>
    <n v="1.9084757127966492E-5"/>
    <s v="CohortAvg"/>
    <n v="0"/>
    <s v="Zero"/>
    <n v="-1.2156894581067069E-2"/>
    <s v="CohortAvg"/>
    <n v="-6.5879465453471214E-5"/>
    <s v="CohortAvg"/>
    <n v="0"/>
    <n v="-36685.769999999997"/>
    <n v="-18582.3"/>
    <n v="16709.88"/>
    <n v="0"/>
    <n v="13.24"/>
    <n v="-8434.33"/>
    <n v="-45.71"/>
    <n v="655218.31000000006"/>
    <n v="0.29044199999999998"/>
    <n v="1.0859000000000001"/>
    <n v="0.31539899999999998"/>
    <s v="CohortTrend+Seasonal(1.086)"/>
    <n v="206655.2"/>
    <n v="204442.38"/>
    <n v="2212.8200000000002"/>
    <x v="0"/>
    <n v="0"/>
    <n v="0.78500000000000003"/>
    <n v="0.24"/>
    <n v="0"/>
    <n v="0"/>
    <n v="0"/>
    <n v="204442.38"/>
    <n v="693789.75"/>
    <n v="0.29467500000000002"/>
    <n v="2212.8200000000002"/>
    <n v="2226.06"/>
    <n v="0"/>
    <n v="2226.06"/>
    <n v="652992.25"/>
    <s v="Forecast"/>
  </r>
  <r>
    <x v="15"/>
    <x v="0"/>
    <s v="202408"/>
    <n v="29"/>
    <n v="547616.74"/>
    <n v="-6.4853053266740457E-2"/>
    <s v="CohortAvg"/>
    <n v="-2.614206432909856E-2"/>
    <s v="CohortAvg"/>
    <n v="0.2792222501911843"/>
    <s v="CohortAvg"/>
    <n v="9.7233797835965918E-2"/>
    <s v="CohortAvg_NonZero"/>
    <n v="1.225318992553084E-4"/>
    <s v="CohortAvg"/>
    <n v="0"/>
    <s v="Zero"/>
    <n v="-1.361187655276223E-2"/>
    <s v="CohortAvg"/>
    <n v="-3.1092117756397971E-4"/>
    <s v="CohortAvg"/>
    <n v="0"/>
    <n v="-35514.620000000003"/>
    <n v="-14315.83"/>
    <n v="12742.23"/>
    <n v="0"/>
    <n v="67.099999999999994"/>
    <n v="-7454.09"/>
    <n v="-170.27"/>
    <n v="510461.42"/>
    <n v="0.26813900000000002"/>
    <n v="1.0859000000000001"/>
    <n v="0.29117900000000002"/>
    <s v="CohortTrend+Seasonal(1.086)"/>
    <n v="148635.79999999999"/>
    <n v="149146.88"/>
    <n v="-511.07"/>
    <x v="0"/>
    <n v="0"/>
    <n v="0.78500000000000003"/>
    <n v="0.24"/>
    <n v="0"/>
    <n v="0"/>
    <n v="0"/>
    <n v="149146.88"/>
    <n v="547616.74"/>
    <n v="0.27235599999999999"/>
    <n v="-511.07"/>
    <n v="-443.97"/>
    <n v="0"/>
    <n v="-443.97"/>
    <n v="510905.39"/>
    <s v="Forecast"/>
  </r>
  <r>
    <x v="15"/>
    <x v="0"/>
    <s v="202409"/>
    <n v="28"/>
    <n v="472439.85"/>
    <n v="-7.0434995261262748E-2"/>
    <s v="CohortAvg"/>
    <n v="-2.9363749598825001E-2"/>
    <s v="CohortAvg"/>
    <n v="0.29649764538863799"/>
    <s v="CohortAvg"/>
    <n v="0.1014363529592467"/>
    <s v="CohortAvg_NonZero"/>
    <n v="3.3183585659449878E-4"/>
    <s v="CohortAvg"/>
    <n v="0"/>
    <s v="Zero"/>
    <n v="-1.5688080719390009E-2"/>
    <s v="CohortAvg"/>
    <n v="9.7825846471230886E-4"/>
    <s v="CohortAvg"/>
    <n v="0"/>
    <n v="-33276.300000000003"/>
    <n v="-13872.61"/>
    <n v="11673.11"/>
    <n v="0"/>
    <n v="156.77000000000001"/>
    <n v="-7411.67"/>
    <n v="462.17"/>
    <n v="436807.28"/>
    <n v="0.25075500000000001"/>
    <n v="1.0859000000000001"/>
    <n v="0.27230199999999999"/>
    <s v="CohortTrend+Seasonal(1.086)"/>
    <n v="118943.62"/>
    <n v="120270.59"/>
    <n v="-1326.97"/>
    <x v="0"/>
    <n v="0"/>
    <n v="0.78500000000000003"/>
    <n v="0.24"/>
    <n v="0"/>
    <n v="0"/>
    <n v="0"/>
    <n v="120270.59"/>
    <n v="472439.85"/>
    <n v="0.25457299999999999"/>
    <n v="-1326.97"/>
    <n v="-1170.2"/>
    <n v="0"/>
    <n v="-1170.2"/>
    <n v="437977.48"/>
    <s v="Forecast"/>
  </r>
  <r>
    <x v="15"/>
    <x v="0"/>
    <s v="202410"/>
    <n v="27"/>
    <n v="719077.66"/>
    <n v="-6.4967752372967827E-2"/>
    <s v="CohortAvg"/>
    <n v="-2.9855880310440529E-2"/>
    <s v="CohortAvg"/>
    <n v="0.2960561500462548"/>
    <s v="CohortAvg"/>
    <n v="9.1098186519800464E-2"/>
    <s v="CohortAvg_NonZero"/>
    <n v="8.4085657618398517E-5"/>
    <s v="CohortAvg"/>
    <n v="0"/>
    <s v="Zero"/>
    <n v="-1.928161063052039E-2"/>
    <s v="CohortAvg"/>
    <n v="-2.8297986780697221E-4"/>
    <s v="CohortAvg"/>
    <n v="0"/>
    <n v="-46716.86"/>
    <n v="-21468.7"/>
    <n v="17740.61"/>
    <n v="0"/>
    <n v="60.46"/>
    <n v="-13864.98"/>
    <n v="-203.48"/>
    <n v="668572.25"/>
    <n v="0.23697699999999999"/>
    <n v="1.0859000000000001"/>
    <n v="0.25734000000000001"/>
    <s v="CohortTrend+Seasonal(1.086)"/>
    <n v="172050.48"/>
    <n v="173198.14"/>
    <n v="-1147.6600000000001"/>
    <x v="0"/>
    <n v="0"/>
    <n v="0.78500000000000003"/>
    <n v="0.24"/>
    <n v="0"/>
    <n v="0"/>
    <n v="0"/>
    <n v="173198.14"/>
    <n v="719077.66"/>
    <n v="0.24086199999999999"/>
    <n v="-1147.6600000000001"/>
    <n v="-1087.19"/>
    <n v="0"/>
    <n v="-1087.19"/>
    <n v="669659.44999999995"/>
    <s v="Forecast"/>
  </r>
  <r>
    <x v="15"/>
    <x v="0"/>
    <s v="202411"/>
    <n v="26"/>
    <n v="766120.15"/>
    <n v="-6.9563099663084216E-2"/>
    <s v="CohortAvg"/>
    <n v="-3.0851887945591811E-2"/>
    <s v="CohortAvg"/>
    <n v="0.31672191936825"/>
    <s v="CohortAvg"/>
    <n v="8.1073174169266612E-2"/>
    <s v="CohortAvg_NonZero"/>
    <n v="1.122819150890863E-5"/>
    <s v="CohortAvg"/>
    <n v="0"/>
    <s v="Zero"/>
    <n v="-1.8474469785323869E-2"/>
    <s v="CohortAvg"/>
    <n v="-3.6977911902409222E-4"/>
    <s v="CohortAvg"/>
    <n v="0"/>
    <n v="-53293.69"/>
    <n v="-23636.25"/>
    <n v="20220.59"/>
    <n v="0"/>
    <n v="8.6"/>
    <n v="-14153.66"/>
    <n v="-283.3"/>
    <n v="709402.19"/>
    <n v="0.23122799999999999"/>
    <n v="1.0859000000000001"/>
    <n v="0.25109700000000001"/>
    <s v="CohortTrend+Seasonal(1.086)"/>
    <n v="178128.71"/>
    <n v="179685.38"/>
    <n v="-1556.67"/>
    <x v="0"/>
    <n v="0"/>
    <n v="0.78500000000000003"/>
    <n v="0.24"/>
    <n v="0"/>
    <n v="0"/>
    <n v="0"/>
    <n v="179685.38"/>
    <n v="766120.15"/>
    <n v="0.234539"/>
    <n v="-1556.67"/>
    <n v="-1548.07"/>
    <n v="0"/>
    <n v="-1548.07"/>
    <n v="710950.26"/>
    <s v="Forecast"/>
  </r>
  <r>
    <x v="15"/>
    <x v="0"/>
    <s v="202412"/>
    <n v="25"/>
    <n v="893499.82"/>
    <n v="-6.5972277855701325E-2"/>
    <s v="CohortAvg"/>
    <n v="-3.2051201771226043E-2"/>
    <s v="CohortAvg"/>
    <n v="0.32633892647446361"/>
    <s v="CohortAvg"/>
    <n v="7.7546132600866582E-2"/>
    <s v="CohortAvg_NonZero"/>
    <n v="3.5292780436049607E-5"/>
    <s v="CohortAvg"/>
    <n v="0"/>
    <s v="Zero"/>
    <n v="-3.3142092274455172E-2"/>
    <s v="CohortAvg"/>
    <n v="-4.4268814261452739E-4"/>
    <s v="CohortAvg"/>
    <n v="0"/>
    <n v="-58946.22"/>
    <n v="-28637.74"/>
    <n v="24298.65"/>
    <n v="0"/>
    <n v="31.53"/>
    <n v="-29612.45"/>
    <n v="-395.54"/>
    <n v="830182.97"/>
    <n v="0.23680499999999999"/>
    <n v="1.0859000000000001"/>
    <n v="0.25715300000000002"/>
    <s v="CohortTrend+Seasonal(1.086)"/>
    <n v="213484.05"/>
    <n v="213289.85"/>
    <n v="194.2"/>
    <x v="0"/>
    <n v="0"/>
    <n v="0.78500000000000003"/>
    <n v="0.24"/>
    <n v="0"/>
    <n v="0"/>
    <n v="0"/>
    <n v="213289.85"/>
    <n v="893499.82"/>
    <n v="0.23871300000000001"/>
    <n v="194.2"/>
    <n v="225.73"/>
    <n v="0"/>
    <n v="225.73"/>
    <n v="829957.24"/>
    <s v="Forecast"/>
  </r>
  <r>
    <x v="15"/>
    <x v="0"/>
    <s v="202501"/>
    <n v="24"/>
    <n v="1121083.17"/>
    <n v="-6.3548731082776852E-2"/>
    <s v="CohortAvg"/>
    <n v="-3.1446672012973367E-2"/>
    <s v="CohortAvg"/>
    <n v="0.33560091036034628"/>
    <s v="CohortAvg"/>
    <n v="6.7922632532959687E-2"/>
    <s v="CohortAvg_NonZero"/>
    <n v="8.2723439751244995E-5"/>
    <s v="CohortAvg"/>
    <n v="0"/>
    <s v="Zero"/>
    <n v="-4.6096475905989982E-2"/>
    <s v="CohortAvg"/>
    <n v="-9.0749562334308117E-4"/>
    <s v="CohortAvg"/>
    <n v="0"/>
    <n v="-71243.41"/>
    <n v="-35254.33"/>
    <n v="31353.040000000001"/>
    <n v="0"/>
    <n v="92.74"/>
    <n v="-51677.98"/>
    <n v="-1017.38"/>
    <n v="1045845.72"/>
    <n v="0.23754600000000001"/>
    <n v="1.0859000000000001"/>
    <n v="0.25795800000000002"/>
    <s v="CohortTrend+Seasonal(1.086)"/>
    <n v="269784.12"/>
    <n v="267231.03000000003"/>
    <n v="2553.09"/>
    <x v="0"/>
    <n v="0"/>
    <n v="0.78500000000000003"/>
    <n v="0.24"/>
    <n v="0"/>
    <n v="0"/>
    <n v="0"/>
    <n v="267231.03000000003"/>
    <n v="1121083.17"/>
    <n v="0.238369"/>
    <n v="2553.09"/>
    <n v="2645.83"/>
    <n v="0"/>
    <n v="2645.83"/>
    <n v="1043199.89"/>
    <s v="Forecast"/>
  </r>
  <r>
    <x v="15"/>
    <x v="0"/>
    <s v="202502"/>
    <n v="23"/>
    <n v="1781721.93"/>
    <n v="-6.4696999859160179E-2"/>
    <s v="CohortAvg"/>
    <n v="-3.1810821195512679E-2"/>
    <s v="CohortAvg"/>
    <n v="0.35223917296342377"/>
    <s v="CohortAvg"/>
    <n v="3.9942896544029882E-2"/>
    <s v="CohortAvg_NonZero"/>
    <n v="1.1788623557946031E-4"/>
    <s v="CohortAvg"/>
    <n v="0"/>
    <s v="Zero"/>
    <n v="-0.1001896830064973"/>
    <s v="CohortAvg"/>
    <n v="-2.166327325301037E-3"/>
    <s v="CohortAvg"/>
    <n v="0"/>
    <n v="-115272.06"/>
    <n v="-56678.04"/>
    <n v="52299.35"/>
    <n v="0"/>
    <n v="210.04"/>
    <n v="-178510.16"/>
    <n v="-3859.79"/>
    <n v="1661861.14"/>
    <n v="0.229688"/>
    <n v="1.0859000000000001"/>
    <n v="0.24942500000000001"/>
    <s v="CohortTrend+Seasonal(1.086)"/>
    <n v="414510.17"/>
    <n v="410197.89"/>
    <n v="4312.2700000000004"/>
    <x v="0"/>
    <n v="0"/>
    <n v="0.78500000000000003"/>
    <n v="0.24"/>
    <n v="0"/>
    <n v="0"/>
    <n v="0"/>
    <n v="410197.89"/>
    <n v="1781721.93"/>
    <n v="0.23022599999999999"/>
    <n v="4312.2700000000004"/>
    <n v="4522.3100000000004"/>
    <n v="0"/>
    <n v="4522.3100000000004"/>
    <n v="1657338.83"/>
    <s v="Forecast"/>
  </r>
  <r>
    <x v="15"/>
    <x v="0"/>
    <s v="202503"/>
    <n v="22"/>
    <n v="2894331.14"/>
    <n v="-5.4843185550459861E-2"/>
    <s v="CohortAvg"/>
    <n v="-3.4951339048137922E-2"/>
    <s v="CohortAvg"/>
    <n v="0.42520006579563058"/>
    <s v="CohortAvg"/>
    <n v="2.337347755521255E-2"/>
    <s v="CohortAvg_NonZero"/>
    <n v="7.0926814835650537E-6"/>
    <s v="CohortAvg"/>
    <n v="0"/>
    <s v="Zero"/>
    <n v="0"/>
    <s v="CohortAvg"/>
    <n v="0"/>
    <s v="CohortAvg"/>
    <n v="0"/>
    <n v="-158734.34"/>
    <n v="-101160.75"/>
    <n v="102555.82"/>
    <n v="0"/>
    <n v="20.53"/>
    <n v="0"/>
    <n v="0"/>
    <n v="2736971.33"/>
    <n v="0.22578500000000001"/>
    <n v="1.0859000000000001"/>
    <n v="0.24518599999999999"/>
    <s v="CohortTrend+Seasonal(1.086)"/>
    <n v="671067.06000000006"/>
    <n v="652928.56000000006"/>
    <n v="18138.509999999998"/>
    <x v="0"/>
    <n v="0"/>
    <n v="0.78500000000000003"/>
    <n v="0.24"/>
    <n v="0"/>
    <n v="0"/>
    <n v="0"/>
    <n v="652928.56000000006"/>
    <n v="2894331.14"/>
    <n v="0.22558900000000001"/>
    <n v="18138.509999999998"/>
    <n v="18159.04"/>
    <n v="0"/>
    <n v="18159.04"/>
    <n v="2718812.3"/>
    <s v="Forecast"/>
  </r>
  <r>
    <x v="15"/>
    <x v="0"/>
    <s v="202504"/>
    <n v="21"/>
    <n v="3833063.99"/>
    <n v="-5.365041515465388E-2"/>
    <s v="CohortAvg"/>
    <n v="-3.7414933895658697E-2"/>
    <s v="CohortAvg"/>
    <n v="0.43760822027137558"/>
    <s v="CohortAvg"/>
    <n v="1.013329171740706E-2"/>
    <s v="CohortAvg_NonZero"/>
    <n v="1.6465197328081271E-6"/>
    <s v="CohortAvg"/>
    <n v="0"/>
    <s v="Zero"/>
    <n v="0"/>
    <s v="CohortAvg"/>
    <n v="0"/>
    <s v="CohortAvg"/>
    <n v="0"/>
    <n v="-205645.47"/>
    <n v="-143413.84"/>
    <n v="139781.69"/>
    <n v="0"/>
    <n v="6.31"/>
    <n v="0"/>
    <n v="0"/>
    <n v="3623780.06"/>
    <n v="0.222944"/>
    <n v="1.0859000000000001"/>
    <n v="0.24210200000000001"/>
    <s v="CohortTrend+Seasonal(1.086)"/>
    <n v="877323.04"/>
    <n v="850218.53"/>
    <n v="27104.51"/>
    <x v="0"/>
    <n v="0"/>
    <n v="0.78500000000000003"/>
    <n v="0.24"/>
    <n v="0"/>
    <n v="0"/>
    <n v="0"/>
    <n v="850218.53"/>
    <n v="3833063.99"/>
    <n v="0.22181200000000001"/>
    <n v="27104.51"/>
    <n v="27110.82"/>
    <n v="0"/>
    <n v="27110.82"/>
    <n v="3596669.24"/>
    <s v="Forecast"/>
  </r>
  <r>
    <x v="15"/>
    <x v="0"/>
    <s v="202505"/>
    <n v="20"/>
    <n v="5465075.3200000003"/>
    <n v="-4.6558284656088883E-2"/>
    <s v="CohortAvg"/>
    <n v="-3.6602497949826181E-2"/>
    <s v="CohortAvg"/>
    <n v="0.44128817206716231"/>
    <s v="CohortAvg"/>
    <n v="0"/>
    <s v="CohortAvg_NoData_ERROR"/>
    <n v="9.2507206224806718E-7"/>
    <s v="CohortAvg"/>
    <n v="0"/>
    <s v="Zero"/>
    <n v="0"/>
    <s v="CohortAvg"/>
    <n v="0"/>
    <s v="CohortAvg"/>
    <n v="0"/>
    <n v="-254444.53"/>
    <n v="-200035.41"/>
    <n v="200972.76"/>
    <n v="0"/>
    <n v="5.0599999999999996"/>
    <n v="0"/>
    <n v="0"/>
    <n v="5211563.08"/>
    <n v="0.21953"/>
    <n v="1.0859000000000001"/>
    <n v="0.23839399999999999"/>
    <s v="CohortTrend+Seasonal(1.086)"/>
    <n v="1242404.83"/>
    <n v="1076785.6100000001"/>
    <n v="165619.22"/>
    <x v="0"/>
    <n v="0"/>
    <n v="0.78500000000000003"/>
    <n v="0.24"/>
    <n v="0"/>
    <n v="0"/>
    <n v="0"/>
    <n v="1076785.6100000001"/>
    <n v="5465075.3200000003"/>
    <n v="0.19703000000000001"/>
    <n v="165619.22"/>
    <n v="165624.28"/>
    <n v="0"/>
    <n v="165624.28"/>
    <n v="5045938.8099999996"/>
    <s v="Forecast"/>
  </r>
  <r>
    <x v="15"/>
    <x v="0"/>
    <s v="202506"/>
    <n v="19"/>
    <n v="6278358.1900000004"/>
    <n v="-4.5020441189479697E-2"/>
    <s v="CohortAvg"/>
    <n v="-3.8061574951895029E-2"/>
    <s v="CohortAvg"/>
    <n v="0.45758832207461109"/>
    <s v="CohortAvg"/>
    <n v="0"/>
    <s v="CohortAvg_NoData_ERROR"/>
    <n v="0"/>
    <s v="CohortAvg"/>
    <n v="0"/>
    <s v="Zero"/>
    <n v="0"/>
    <s v="CohortAvg"/>
    <n v="0"/>
    <s v="CohortAvg"/>
    <n v="0"/>
    <n v="-282654.46000000002"/>
    <n v="-238964.2"/>
    <n v="239408.62"/>
    <n v="0"/>
    <n v="0"/>
    <n v="0"/>
    <n v="0"/>
    <n v="5996148.1500000004"/>
    <n v="0.190751"/>
    <n v="1.0859000000000001"/>
    <n v="0.20714199999999999"/>
    <s v="DonorCohort:202101+Seasonal(1.086)"/>
    <n v="1242053.44"/>
    <n v="1146326.03"/>
    <n v="95727.41"/>
    <x v="0"/>
    <n v="0"/>
    <n v="0.78500000000000003"/>
    <n v="0.24"/>
    <n v="0"/>
    <n v="0"/>
    <n v="0"/>
    <n v="1146326.03"/>
    <n v="6278358.1900000004"/>
    <n v="0.182584"/>
    <n v="95727.41"/>
    <n v="95727.41"/>
    <n v="0"/>
    <n v="95727.41"/>
    <n v="5900420.7400000002"/>
    <s v="Forecast"/>
  </r>
  <r>
    <x v="15"/>
    <x v="0"/>
    <s v="202507"/>
    <n v="18"/>
    <n v="7988322.46"/>
    <n v="-4.3223599537745822E-2"/>
    <s v="CohortAvg"/>
    <n v="-4.073013439288236E-2"/>
    <s v="CohortAvg"/>
    <n v="0.45617455721909178"/>
    <s v="CohortAvg"/>
    <n v="0"/>
    <s v="CohortAvg_NoData_ERROR"/>
    <n v="1.3225313085524719E-5"/>
    <s v="CohortAvg"/>
    <n v="0"/>
    <s v="Zero"/>
    <n v="0"/>
    <s v="CohortAvg"/>
    <n v="0"/>
    <s v="CohortAvg"/>
    <n v="0"/>
    <n v="-345284.05"/>
    <n v="-325365.45"/>
    <n v="303672.46000000002"/>
    <n v="0"/>
    <n v="105.65"/>
    <n v="0"/>
    <n v="0"/>
    <n v="7621239.7699999996"/>
    <n v="0.17676500000000001"/>
    <n v="1.0859000000000001"/>
    <n v="0.19195400000000001"/>
    <s v="DonorCohort:202101+Seasonal(1.086)"/>
    <n v="1462926.57"/>
    <n v="1479170.14"/>
    <n v="-16243.57"/>
    <x v="0"/>
    <n v="0"/>
    <n v="0.78500000000000003"/>
    <n v="0.24"/>
    <n v="0"/>
    <n v="0"/>
    <n v="0"/>
    <n v="1479170.14"/>
    <n v="7988322.46"/>
    <n v="0.185167"/>
    <n v="-16243.57"/>
    <n v="-16137.92"/>
    <n v="0"/>
    <n v="-16137.92"/>
    <n v="7637377.7000000002"/>
    <s v="Forecast"/>
  </r>
  <r>
    <x v="15"/>
    <x v="0"/>
    <s v="202508"/>
    <n v="17"/>
    <n v="6758808.6100000003"/>
    <n v="-4.8581648759538992E-2"/>
    <s v="CohortAvg"/>
    <n v="-3.2443330793426428E-2"/>
    <s v="CohortAvg"/>
    <n v="0.45660038478642112"/>
    <s v="CohortAvg"/>
    <n v="0"/>
    <s v="CohortAvg_NoData_ERROR"/>
    <n v="1.132084676582017E-5"/>
    <s v="CohortAvg"/>
    <n v="0"/>
    <s v="Zero"/>
    <n v="0"/>
    <s v="CohortAvg"/>
    <n v="0"/>
    <s v="CohortAvg"/>
    <n v="0"/>
    <n v="-328354.07"/>
    <n v="-219278.26"/>
    <n v="257172.88"/>
    <n v="0"/>
    <n v="76.52"/>
    <n v="0"/>
    <n v="0"/>
    <n v="6468272.6500000004"/>
    <n v="0.17926500000000001"/>
    <n v="1.0859000000000001"/>
    <n v="0.19466900000000001"/>
    <s v="DonorCohort:202101+Seasonal(1.086)"/>
    <n v="1259173.8600000001"/>
    <n v="1333343.42"/>
    <n v="-74169.56"/>
    <x v="0"/>
    <n v="0"/>
    <n v="0.78500000000000003"/>
    <n v="0.24"/>
    <n v="0"/>
    <n v="0"/>
    <n v="0"/>
    <n v="1333343.42"/>
    <n v="6758808.6100000003"/>
    <n v="0.19727500000000001"/>
    <n v="-74169.56"/>
    <n v="-74093.05"/>
    <n v="0"/>
    <n v="-74093.05"/>
    <n v="6542365.7000000002"/>
    <s v="Forecast"/>
  </r>
  <r>
    <x v="15"/>
    <x v="0"/>
    <s v="202509"/>
    <n v="16"/>
    <n v="65443.62"/>
    <n v="-0.4047676959976681"/>
    <s v="CohortAvg"/>
    <n v="-8.413023204509041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6489.46"/>
    <n v="-5505.79"/>
    <n v="2726.82"/>
    <n v="0"/>
    <n v="0"/>
    <n v="0"/>
    <n v="0"/>
    <n v="36175.19"/>
    <n v="0.19098799999999999"/>
    <n v="1.0859000000000001"/>
    <n v="0.207399"/>
    <s v="DonorCohort:202101+Seasonal(1.086)"/>
    <n v="7502.7"/>
    <n v="12733.35"/>
    <n v="-5230.66"/>
    <x v="0"/>
    <n v="0"/>
    <n v="0.78500000000000003"/>
    <n v="0.24"/>
    <n v="0"/>
    <n v="0"/>
    <n v="0"/>
    <n v="12733.35"/>
    <n v="65443.62"/>
    <n v="0.19456999999999999"/>
    <n v="-5230.66"/>
    <n v="-5230.66"/>
    <n v="0"/>
    <n v="-5230.66"/>
    <n v="41405.839999999997"/>
    <s v="Forecast"/>
  </r>
  <r>
    <x v="15"/>
    <x v="1"/>
    <s v="202301"/>
    <n v="38"/>
    <n v="867283.9"/>
    <n v="-8.5511460171670758E-3"/>
    <s v="CohortAvg"/>
    <n v="-4.5907585709388191E-3"/>
    <s v="CohortAvg"/>
    <n v="8.924389310229465E-2"/>
    <s v="CohortAvg"/>
    <n v="2.3816743840043949E-2"/>
    <s v="CohortAvg_NonZero"/>
    <n v="0"/>
    <s v="CohortAvg"/>
    <n v="0"/>
    <s v="Zero"/>
    <n v="0"/>
    <s v="CohortAvg"/>
    <n v="0"/>
    <s v="CohortAvg"/>
    <n v="0"/>
    <n v="-7416.27"/>
    <n v="-3981.49"/>
    <n v="6449.98"/>
    <n v="0"/>
    <n v="0"/>
    <n v="0"/>
    <n v="0"/>
    <n v="862336.12"/>
    <n v="0.40471000000000001"/>
    <n v="0.7379"/>
    <n v="0.29863899999999999"/>
    <s v="CohortTrend+Seasonal(0.738)"/>
    <n v="257526.96"/>
    <n v="234113.19"/>
    <n v="23413.78"/>
    <x v="0"/>
    <n v="0"/>
    <n v="0.78500000000000003"/>
    <n v="0.24"/>
    <n v="0"/>
    <n v="0"/>
    <n v="0"/>
    <n v="234113.19"/>
    <n v="867283.9"/>
    <n v="0.26993800000000001"/>
    <n v="23413.78"/>
    <n v="23413.78"/>
    <n v="0"/>
    <n v="23413.78"/>
    <n v="838922.35"/>
    <s v="Forecast"/>
  </r>
  <r>
    <x v="15"/>
    <x v="1"/>
    <s v="202404"/>
    <n v="33"/>
    <n v="96410.95"/>
    <n v="-6.3301586846713623E-2"/>
    <s v="CohortAvg"/>
    <n v="-1.522467539282841E-2"/>
    <s v="CohortAvg"/>
    <n v="0.15657065884481891"/>
    <s v="CohortAvg"/>
    <n v="5.02752564005359E-2"/>
    <s v="CohortAvg_NonZero"/>
    <n v="0"/>
    <s v="CohortAvg"/>
    <n v="0"/>
    <s v="Zero"/>
    <n v="0"/>
    <s v="CohortAvg"/>
    <n v="0"/>
    <s v="CohortAvg"/>
    <n v="0"/>
    <n v="-6102.97"/>
    <n v="-1467.83"/>
    <n v="1257.93"/>
    <n v="0"/>
    <n v="0"/>
    <n v="0"/>
    <n v="0"/>
    <n v="90098.08"/>
    <n v="0.22520799999999999"/>
    <n v="0.7379"/>
    <n v="0.166183"/>
    <s v="CohortTrend+Seasonal(0.738)"/>
    <n v="14972.77"/>
    <n v="14578.41"/>
    <n v="394.36"/>
    <x v="0"/>
    <n v="0"/>
    <n v="0.78500000000000003"/>
    <n v="0.24"/>
    <n v="0"/>
    <n v="0"/>
    <n v="0"/>
    <n v="14578.41"/>
    <n v="96410.95"/>
    <n v="0.15121100000000001"/>
    <n v="394.36"/>
    <n v="394.36"/>
    <n v="0"/>
    <n v="394.36"/>
    <n v="89703.72"/>
    <s v="Forecast"/>
  </r>
  <r>
    <x v="15"/>
    <x v="1"/>
    <s v="202405"/>
    <n v="32"/>
    <n v="252522.13"/>
    <n v="-1.186115574222954E-2"/>
    <s v="CohortAvg"/>
    <n v="-1.2729219538219771E-2"/>
    <s v="CohortAvg"/>
    <n v="0.1473058982056587"/>
    <s v="CohortAvg"/>
    <n v="6.9755980292908706E-2"/>
    <s v="CohortAvg_NonZero"/>
    <n v="6.6092865693418647E-8"/>
    <s v="CohortAvg"/>
    <n v="0"/>
    <s v="Zero"/>
    <n v="0"/>
    <s v="CohortAvg"/>
    <n v="0"/>
    <s v="CohortAvg"/>
    <n v="0"/>
    <n v="-2995.2"/>
    <n v="-3214.41"/>
    <n v="3099.83"/>
    <n v="0"/>
    <n v="0.02"/>
    <n v="0"/>
    <n v="0"/>
    <n v="249412.33"/>
    <n v="0.39336199999999999"/>
    <n v="0.7379"/>
    <n v="0.290265"/>
    <s v="CohortTrend+Seasonal(0.738)"/>
    <n v="72395.740000000005"/>
    <n v="65578.570000000007"/>
    <n v="6817.17"/>
    <x v="0"/>
    <n v="0"/>
    <n v="0.78500000000000003"/>
    <n v="0.24"/>
    <n v="0"/>
    <n v="0"/>
    <n v="0"/>
    <n v="65578.570000000007"/>
    <n v="252522.13"/>
    <n v="0.25969399999999998"/>
    <n v="6817.17"/>
    <n v="6817.19"/>
    <n v="0"/>
    <n v="6817.19"/>
    <n v="242595.14"/>
    <s v="Forecast"/>
  </r>
  <r>
    <x v="15"/>
    <x v="1"/>
    <s v="202406"/>
    <n v="31"/>
    <n v="147545.04999999999"/>
    <n v="-1.553791869099547E-2"/>
    <s v="CohortAvg"/>
    <n v="-1.488349408239732E-2"/>
    <s v="CohortAvg"/>
    <n v="0.17823867777941621"/>
    <s v="CohortAvg"/>
    <n v="5.620844502272148E-2"/>
    <s v="CohortAvg_NonZero"/>
    <n v="0"/>
    <s v="CohortAvg"/>
    <n v="0"/>
    <s v="Zero"/>
    <n v="0"/>
    <s v="CohortAvg"/>
    <n v="0"/>
    <s v="CohortAvg"/>
    <n v="0"/>
    <n v="-2292.54"/>
    <n v="-2195.9899999999998"/>
    <n v="2191.52"/>
    <n v="0"/>
    <n v="0"/>
    <n v="0"/>
    <n v="0"/>
    <n v="145248.04"/>
    <n v="0.27305800000000002"/>
    <n v="0.7379"/>
    <n v="0.201491"/>
    <s v="CohortTrend+Seasonal(0.738)"/>
    <n v="29266.240000000002"/>
    <n v="26669.200000000001"/>
    <n v="2597.0300000000002"/>
    <x v="0"/>
    <n v="0"/>
    <n v="0.78500000000000003"/>
    <n v="0.24"/>
    <n v="0"/>
    <n v="0"/>
    <n v="0"/>
    <n v="26669.200000000001"/>
    <n v="147545.04999999999"/>
    <n v="0.180753"/>
    <n v="2597.0300000000002"/>
    <n v="2597.0300000000002"/>
    <n v="0"/>
    <n v="2597.0300000000002"/>
    <n v="142651.01"/>
    <s v="Forecast"/>
  </r>
  <r>
    <x v="15"/>
    <x v="1"/>
    <s v="202407"/>
    <n v="30"/>
    <n v="157782.39999999999"/>
    <n v="-4.2410420235097973E-2"/>
    <s v="CohortAvg"/>
    <n v="-1.5327345599401271E-2"/>
    <s v="CohortAvg"/>
    <n v="0.16906343793779779"/>
    <s v="CohortAvg"/>
    <n v="8.2761551975630079E-2"/>
    <s v="CohortAvg_NonZero"/>
    <n v="0"/>
    <s v="CohortAvg"/>
    <n v="0"/>
    <s v="Zero"/>
    <n v="0"/>
    <s v="CohortAvg"/>
    <n v="0"/>
    <s v="CohortAvg"/>
    <n v="0"/>
    <n v="-6691.62"/>
    <n v="-2418.39"/>
    <n v="2222.94"/>
    <n v="0"/>
    <n v="0"/>
    <n v="0"/>
    <n v="0"/>
    <n v="150895.32999999999"/>
    <n v="0.24720900000000001"/>
    <n v="0.7379"/>
    <n v="0.182418"/>
    <s v="CohortTrend+Seasonal(0.738)"/>
    <n v="27525.98"/>
    <n v="25969.1"/>
    <n v="1556.88"/>
    <x v="0"/>
    <n v="0"/>
    <n v="0.78500000000000003"/>
    <n v="0.24"/>
    <n v="0"/>
    <n v="0"/>
    <n v="0"/>
    <n v="25969.1"/>
    <n v="157782.39999999999"/>
    <n v="0.16458800000000001"/>
    <n v="1556.88"/>
    <n v="1556.88"/>
    <n v="0"/>
    <n v="1556.88"/>
    <n v="149338.45000000001"/>
    <s v="Forecast"/>
  </r>
  <r>
    <x v="15"/>
    <x v="1"/>
    <s v="202408"/>
    <n v="29"/>
    <n v="132200.26999999999"/>
    <n v="-6.213603099976666E-2"/>
    <s v="CohortAvg"/>
    <n v="-1.6600440685934519E-2"/>
    <s v="CohortAvg"/>
    <n v="0.18295181080520051"/>
    <s v="CohortAvg"/>
    <n v="0.1104761026857973"/>
    <s v="CohortAvg_NonZero"/>
    <n v="2.1126323572534769E-10"/>
    <s v="CohortAvg"/>
    <n v="0"/>
    <s v="Zero"/>
    <n v="0"/>
    <s v="CohortAvg"/>
    <n v="0"/>
    <s v="CohortAvg"/>
    <n v="0"/>
    <n v="-8214.4"/>
    <n v="-2194.58"/>
    <n v="2015.52"/>
    <n v="0"/>
    <n v="0"/>
    <n v="0"/>
    <n v="0"/>
    <n v="123806.81"/>
    <n v="0.25473600000000002"/>
    <n v="0.7379"/>
    <n v="0.187971"/>
    <s v="CohortTrend+Seasonal(0.738)"/>
    <n v="23272.15"/>
    <n v="22385.15"/>
    <n v="886.99"/>
    <x v="0"/>
    <n v="0"/>
    <n v="0.78500000000000003"/>
    <n v="0.24"/>
    <n v="0"/>
    <n v="0"/>
    <n v="0"/>
    <n v="22385.15"/>
    <n v="132200.26999999999"/>
    <n v="0.16932800000000001"/>
    <n v="886.99"/>
    <n v="886.99"/>
    <n v="0"/>
    <n v="886.99"/>
    <n v="122919.82"/>
    <s v="Forecast"/>
  </r>
  <r>
    <x v="15"/>
    <x v="1"/>
    <s v="202409"/>
    <n v="28"/>
    <n v="294650.49"/>
    <n v="-4.0927735914539173E-2"/>
    <s v="CohortAvg"/>
    <n v="-1.5074592648222579E-2"/>
    <s v="CohortAvg"/>
    <n v="0.1823329732542473"/>
    <s v="CohortAvg"/>
    <n v="3.1822908579402488E-2"/>
    <s v="CohortAvg_NonZero"/>
    <n v="0"/>
    <s v="CohortAvg"/>
    <n v="0"/>
    <s v="Zero"/>
    <n v="0"/>
    <s v="CohortAvg"/>
    <n v="0"/>
    <s v="CohortAvg"/>
    <n v="0"/>
    <n v="-12059.38"/>
    <n v="-4441.74"/>
    <n v="4477.04"/>
    <n v="0"/>
    <n v="0"/>
    <n v="0"/>
    <n v="0"/>
    <n v="282626.42"/>
    <n v="0.29130499999999998"/>
    <n v="0.7379"/>
    <n v="0.21495600000000001"/>
    <s v="CohortTrend+Seasonal(0.738)"/>
    <n v="60752.25"/>
    <n v="56528.97"/>
    <n v="4223.28"/>
    <x v="0"/>
    <n v="0"/>
    <n v="0.78500000000000003"/>
    <n v="0.24"/>
    <n v="0"/>
    <n v="0"/>
    <n v="0"/>
    <n v="56528.97"/>
    <n v="294650.49"/>
    <n v="0.19185099999999999"/>
    <n v="4223.28"/>
    <n v="4223.28"/>
    <n v="0"/>
    <n v="4223.28"/>
    <n v="278403.14"/>
    <s v="Forecast"/>
  </r>
  <r>
    <x v="15"/>
    <x v="1"/>
    <s v="202410"/>
    <n v="27"/>
    <n v="293308.76"/>
    <n v="-1.2684229220531621E-2"/>
    <s v="CohortAvg"/>
    <n v="-1.826824094179183E-2"/>
    <s v="CohortAvg"/>
    <n v="0.1875698241874556"/>
    <s v="CohortAvg"/>
    <n v="3.5382378996664618E-2"/>
    <s v="CohortAvg_NonZero"/>
    <n v="9.2689054640645999E-8"/>
    <s v="CohortAvg"/>
    <n v="0"/>
    <s v="Zero"/>
    <n v="0"/>
    <s v="CohortAvg"/>
    <n v="0"/>
    <s v="CohortAvg"/>
    <n v="0"/>
    <n v="-3720.4"/>
    <n v="-5358.24"/>
    <n v="4584.66"/>
    <n v="0"/>
    <n v="0.03"/>
    <n v="0"/>
    <n v="0"/>
    <n v="288814.76"/>
    <n v="0.288684"/>
    <n v="0.7379"/>
    <n v="0.21302199999999999"/>
    <s v="CohortTrend+Seasonal(0.738)"/>
    <n v="61523.87"/>
    <n v="55612.05"/>
    <n v="5911.82"/>
    <x v="0"/>
    <n v="0"/>
    <n v="0.78500000000000003"/>
    <n v="0.24"/>
    <n v="0"/>
    <n v="0"/>
    <n v="0"/>
    <n v="55612.05"/>
    <n v="293308.76"/>
    <n v="0.18960199999999999"/>
    <n v="5911.82"/>
    <n v="5911.85"/>
    <n v="0"/>
    <n v="5911.85"/>
    <n v="282902.90999999997"/>
    <s v="Forecast"/>
  </r>
  <r>
    <x v="15"/>
    <x v="1"/>
    <s v="202411"/>
    <n v="26"/>
    <n v="265904.84999999998"/>
    <n v="-4.4489844912333022E-2"/>
    <s v="CohortAvg"/>
    <n v="-1.480156332800513E-2"/>
    <s v="CohortAvg"/>
    <n v="0.17336898277012919"/>
    <s v="CohortAvg"/>
    <n v="3.2344131661583231E-2"/>
    <s v="CohortAvg_NonZero"/>
    <n v="0"/>
    <s v="CohortAvg"/>
    <n v="0"/>
    <s v="Zero"/>
    <n v="0"/>
    <s v="CohortAvg"/>
    <n v="0"/>
    <s v="CohortAvg"/>
    <n v="0"/>
    <n v="-11830.07"/>
    <n v="-3935.81"/>
    <n v="3841.64"/>
    <n v="0"/>
    <n v="0"/>
    <n v="0"/>
    <n v="0"/>
    <n v="253980.61"/>
    <n v="0.23377400000000001"/>
    <n v="0.7379"/>
    <n v="0.17250399999999999"/>
    <s v="CohortTrend+Seasonal(0.738)"/>
    <n v="43812.63"/>
    <n v="41339.24"/>
    <n v="2473.39"/>
    <x v="0"/>
    <n v="0"/>
    <n v="0.78500000000000003"/>
    <n v="0.24"/>
    <n v="0"/>
    <n v="0"/>
    <n v="0"/>
    <n v="41339.24"/>
    <n v="265904.84999999998"/>
    <n v="0.15546599999999999"/>
    <n v="2473.39"/>
    <n v="2473.39"/>
    <n v="0"/>
    <n v="2473.39"/>
    <n v="251507.22"/>
    <s v="Forecast"/>
  </r>
  <r>
    <x v="15"/>
    <x v="1"/>
    <s v="202412"/>
    <n v="25"/>
    <n v="15143.92"/>
    <n v="-8.5847094787015518E-3"/>
    <s v="CohortAvg"/>
    <n v="-1.241717325850124E-2"/>
    <s v="CohortAvg"/>
    <n v="0.14542972138417709"/>
    <s v="CohortAvg"/>
    <n v="0.2"/>
    <s v="CohortAvg_NonZero"/>
    <n v="0"/>
    <s v="CohortAvg"/>
    <n v="0"/>
    <s v="Zero"/>
    <n v="0"/>
    <s v="CohortAvg"/>
    <n v="0"/>
    <s v="CohortAvg"/>
    <n v="0"/>
    <n v="-130.01"/>
    <n v="-188.04"/>
    <n v="183.53"/>
    <n v="0"/>
    <n v="0"/>
    <n v="0"/>
    <n v="0"/>
    <n v="15009.4"/>
    <n v="0.21745200000000001"/>
    <n v="0.7379"/>
    <n v="0.16045899999999999"/>
    <s v="CohortTrend+Seasonal(0.738)"/>
    <n v="2408.4"/>
    <n v="2194.38"/>
    <n v="214.01"/>
    <x v="0"/>
    <n v="0"/>
    <n v="0.78500000000000003"/>
    <n v="0.24"/>
    <n v="0"/>
    <n v="0"/>
    <n v="0"/>
    <n v="2194.38"/>
    <n v="15143.92"/>
    <n v="0.144902"/>
    <n v="214.01"/>
    <n v="214.01"/>
    <n v="0"/>
    <n v="214.01"/>
    <n v="14795.38"/>
    <s v="Forecast"/>
  </r>
  <r>
    <x v="15"/>
    <x v="1"/>
    <s v="202501"/>
    <n v="24"/>
    <n v="47752.480000000003"/>
    <n v="-1.5289841461878119E-2"/>
    <s v="CohortAvg"/>
    <n v="-1.7524045642790431E-2"/>
    <s v="CohortAvg"/>
    <n v="0.20436890428041951"/>
    <s v="CohortAvg"/>
    <n v="0"/>
    <s v="CohortAvg_NoData_ERROR"/>
    <n v="0"/>
    <s v="CohortAvg"/>
    <n v="0"/>
    <s v="Zero"/>
    <n v="0"/>
    <s v="CohortAvg"/>
    <n v="0"/>
    <s v="CohortAvg"/>
    <n v="0"/>
    <n v="-730.13"/>
    <n v="-836.82"/>
    <n v="813.26"/>
    <n v="0"/>
    <n v="0"/>
    <n v="0"/>
    <n v="0"/>
    <n v="46998.7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47752.480000000003"/>
    <n v="0"/>
    <n v="0"/>
    <n v="0"/>
    <n v="0"/>
    <n v="0"/>
    <n v="46998.79"/>
    <s v="Forecast"/>
  </r>
  <r>
    <x v="15"/>
    <x v="1"/>
    <s v="202502"/>
    <n v="23"/>
    <n v="100560.84"/>
    <n v="-1.385137152209648E-2"/>
    <s v="CohortAvg"/>
    <n v="-1.8930711926893211E-2"/>
    <s v="CohortAvg"/>
    <n v="0.19409710802866101"/>
    <s v="CohortAvg"/>
    <n v="0"/>
    <s v="CohortAvg_NoData_ERROR"/>
    <n v="0"/>
    <s v="CohortAvg"/>
    <n v="0"/>
    <s v="Zero"/>
    <n v="0"/>
    <s v="CohortAvg"/>
    <n v="0"/>
    <s v="CohortAvg"/>
    <n v="0"/>
    <n v="-1392.91"/>
    <n v="-1903.69"/>
    <n v="1626.55"/>
    <n v="0"/>
    <n v="0"/>
    <n v="0"/>
    <n v="0"/>
    <n v="98890.7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00560.84"/>
    <n v="0"/>
    <n v="0"/>
    <n v="0"/>
    <n v="0"/>
    <n v="0"/>
    <n v="98890.79"/>
    <s v="Forecast"/>
  </r>
  <r>
    <x v="15"/>
    <x v="1"/>
    <s v="202503"/>
    <n v="22"/>
    <n v="75332.179999999993"/>
    <n v="-9.8305833037657057E-3"/>
    <s v="CohortAvg"/>
    <n v="-1.37830678088109E-2"/>
    <s v="CohortAvg"/>
    <n v="0.20835699578812111"/>
    <s v="CohortAvg"/>
    <n v="0"/>
    <s v="CohortAvg_NoData_ERROR"/>
    <n v="0"/>
    <s v="CohortAvg"/>
    <n v="0"/>
    <s v="Zero"/>
    <n v="0"/>
    <s v="CohortAvg"/>
    <n v="0"/>
    <s v="CohortAvg"/>
    <n v="0"/>
    <n v="-740.56"/>
    <n v="-1038.31"/>
    <n v="1308"/>
    <n v="0"/>
    <n v="0"/>
    <n v="0"/>
    <n v="0"/>
    <n v="74861.31"/>
    <n v="0.23986299999999999"/>
    <n v="0.7379"/>
    <n v="0.17699699999999999"/>
    <s v="CohortTrend+Seasonal(0.738)"/>
    <n v="13250.2"/>
    <n v="11739.96"/>
    <n v="1510.24"/>
    <x v="0"/>
    <n v="0"/>
    <n v="0.78500000000000003"/>
    <n v="0.24"/>
    <n v="0"/>
    <n v="0"/>
    <n v="0"/>
    <n v="11739.96"/>
    <n v="75332.179999999993"/>
    <n v="0.15584300000000001"/>
    <n v="1510.24"/>
    <n v="1510.24"/>
    <n v="0"/>
    <n v="1510.24"/>
    <n v="73351.070000000007"/>
    <s v="Forecast"/>
  </r>
  <r>
    <x v="15"/>
    <x v="1"/>
    <s v="202504"/>
    <n v="21"/>
    <n v="45960.23"/>
    <n v="-2.0710367635748381E-2"/>
    <s v="CohortAvg"/>
    <n v="-1.6747453107009081E-2"/>
    <s v="CohortAvg"/>
    <n v="0.20223069880551939"/>
    <s v="CohortAvg"/>
    <n v="0"/>
    <s v="CohortAvg_NoData_ERROR"/>
    <n v="0"/>
    <s v="CohortAvg"/>
    <n v="0"/>
    <s v="Zero"/>
    <n v="0"/>
    <s v="CohortAvg"/>
    <n v="0"/>
    <s v="CohortAvg"/>
    <n v="0"/>
    <n v="-951.85"/>
    <n v="-769.72"/>
    <n v="774.55"/>
    <n v="0"/>
    <n v="0"/>
    <n v="0"/>
    <n v="0"/>
    <n v="45013.21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45960.23"/>
    <n v="0"/>
    <n v="0"/>
    <n v="0"/>
    <n v="0"/>
    <n v="0"/>
    <n v="45013.21"/>
    <s v="Forecast"/>
  </r>
  <r>
    <x v="15"/>
    <x v="1"/>
    <s v="202505"/>
    <n v="20"/>
    <n v="14450.59"/>
    <n v="-1.0208451919210189E-2"/>
    <s v="CohortAvg"/>
    <n v="-1.6669945462244391E-2"/>
    <s v="CohortAvg"/>
    <n v="0.2015330897602978"/>
    <s v="CohortAvg"/>
    <n v="0"/>
    <s v="CohortAvg_NoData_ERROR"/>
    <n v="0"/>
    <s v="CohortAvg"/>
    <n v="0"/>
    <s v="Zero"/>
    <n v="0"/>
    <s v="CohortAvg"/>
    <n v="0"/>
    <s v="CohortAvg"/>
    <n v="0"/>
    <n v="-147.52000000000001"/>
    <n v="-240.89"/>
    <n v="242.69"/>
    <n v="0"/>
    <n v="0"/>
    <n v="0"/>
    <n v="0"/>
    <n v="14304.87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4450.59"/>
    <n v="0"/>
    <n v="0"/>
    <n v="0"/>
    <n v="0"/>
    <n v="0"/>
    <n v="14304.87"/>
    <s v="Forecast"/>
  </r>
  <r>
    <x v="15"/>
    <x v="1"/>
    <s v="202506"/>
    <n v="19"/>
    <n v="25005.91"/>
    <n v="-1.4247464188254001E-2"/>
    <s v="CohortAvg"/>
    <n v="-1.6843824181273819E-2"/>
    <s v="CohortAvg"/>
    <n v="0.1956939984511423"/>
    <s v="CohortAvg"/>
    <n v="0"/>
    <s v="CohortAvg_NoData_ERROR"/>
    <n v="0"/>
    <s v="CohortAvg"/>
    <n v="0"/>
    <s v="Zero"/>
    <n v="0"/>
    <s v="CohortAvg"/>
    <n v="0"/>
    <s v="CohortAvg"/>
    <n v="0"/>
    <n v="-356.27"/>
    <n v="-421.2"/>
    <n v="407.79"/>
    <n v="0"/>
    <n v="0"/>
    <n v="0"/>
    <n v="0"/>
    <n v="24636.23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25005.91"/>
    <n v="0"/>
    <n v="0"/>
    <n v="0"/>
    <n v="0"/>
    <n v="0"/>
    <n v="24636.23"/>
    <s v="Forecast"/>
  </r>
  <r>
    <x v="15"/>
    <x v="1"/>
    <s v="202507"/>
    <n v="18"/>
    <n v="98880.76"/>
    <n v="-1.1378545965460779E-2"/>
    <s v="CohortAvg"/>
    <n v="-1.836508209027244E-2"/>
    <s v="CohortAvg"/>
    <n v="0.20344532207047411"/>
    <s v="CohortAvg"/>
    <n v="0"/>
    <s v="CohortAvg_NoData_ERROR"/>
    <n v="0"/>
    <s v="CohortAvg"/>
    <n v="0"/>
    <s v="Zero"/>
    <n v="0"/>
    <s v="CohortAvg"/>
    <n v="0"/>
    <s v="CohortAvg"/>
    <n v="0"/>
    <n v="-1125.1199999999999"/>
    <n v="-1815.95"/>
    <n v="1676.4"/>
    <n v="0"/>
    <n v="0"/>
    <n v="0"/>
    <n v="0"/>
    <n v="97616.09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98880.76"/>
    <n v="0"/>
    <n v="0"/>
    <n v="0"/>
    <n v="0"/>
    <n v="0"/>
    <n v="97616.09"/>
    <s v="Forecast"/>
  </r>
  <r>
    <x v="15"/>
    <x v="1"/>
    <s v="202508"/>
    <n v="17"/>
    <n v="40362.949999999997"/>
    <n v="-1.4899915426891581E-2"/>
    <s v="CohortAvg"/>
    <n v="-1.4975812338954991E-2"/>
    <s v="CohortAvg"/>
    <n v="0.18435456329279659"/>
    <s v="CohortAvg"/>
    <n v="0"/>
    <s v="CohortAvg_NoData_ERROR"/>
    <n v="0"/>
    <s v="CohortAvg"/>
    <n v="0"/>
    <s v="Zero"/>
    <n v="0"/>
    <s v="CohortAvg"/>
    <n v="0"/>
    <s v="CohortAvg"/>
    <n v="0"/>
    <n v="-601.4"/>
    <n v="-604.47"/>
    <n v="620.09"/>
    <n v="0"/>
    <n v="0"/>
    <n v="0"/>
    <n v="0"/>
    <n v="39777.17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40362.949999999997"/>
    <n v="0"/>
    <n v="0"/>
    <n v="0"/>
    <n v="0"/>
    <n v="0"/>
    <n v="39777.17"/>
    <s v="Forecast"/>
  </r>
  <r>
    <x v="15"/>
    <x v="1"/>
    <s v="202509"/>
    <n v="16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0.7379"/>
    <n v="0"/>
    <s v="Manual+Seasonal(0.738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5"/>
    <x v="2"/>
    <s v="202101"/>
    <n v="72"/>
    <n v="136961.57999999999"/>
    <n v="-0.19289066645151681"/>
    <s v="CohortAvg"/>
    <n v="-1.4283317552448681E-2"/>
    <s v="CohortAvg"/>
    <n v="0.1563287290103767"/>
    <s v="CohortAvg"/>
    <n v="1.7908506274508601E-2"/>
    <s v="CohortAvg_NonZero"/>
    <n v="0"/>
    <s v="CohortAvg"/>
    <n v="0"/>
    <s v="Zero"/>
    <n v="0"/>
    <s v="CohortAvg"/>
    <n v="0"/>
    <s v="CohortAvg"/>
    <n v="0"/>
    <n v="-26418.61"/>
    <n v="-1956.27"/>
    <n v="1784.25"/>
    <n v="0"/>
    <n v="0"/>
    <n v="0"/>
    <n v="0"/>
    <n v="110370.95"/>
    <n v="0.260712"/>
    <n v="1.1394"/>
    <n v="0.29704700000000001"/>
    <s v="CohortAvg+Seasonal(1.139)"/>
    <n v="32785.35"/>
    <n v="39475.79"/>
    <n v="-6690.44"/>
    <x v="0"/>
    <n v="0"/>
    <n v="0.78500000000000003"/>
    <n v="0.24"/>
    <n v="0"/>
    <n v="0"/>
    <n v="0"/>
    <n v="39475.79"/>
    <n v="136961.57999999999"/>
    <n v="0.28822500000000001"/>
    <n v="-6690.44"/>
    <n v="-6690.44"/>
    <n v="0"/>
    <n v="-6690.44"/>
    <n v="117061.39"/>
    <s v="Forecast"/>
  </r>
  <r>
    <x v="15"/>
    <x v="2"/>
    <s v="202201"/>
    <n v="52"/>
    <n v="56030.19"/>
    <n v="-6.4450518986690186E-2"/>
    <s v="CohortAvg"/>
    <n v="-1.346522476445404E-2"/>
    <s v="CohortAvg"/>
    <n v="0.14984428418493401"/>
    <s v="CohortAvg"/>
    <n v="3.436713038615033E-2"/>
    <s v="CohortAvg_NonZero"/>
    <n v="4.0054601802575878E-7"/>
    <s v="CohortAvg"/>
    <n v="0"/>
    <s v="Zero"/>
    <n v="-2.7777901245581579E-6"/>
    <s v="CohortAvg"/>
    <n v="-1.254122457380883E-8"/>
    <s v="CohortAvg"/>
    <n v="0"/>
    <n v="-3611.17"/>
    <n v="-754.46"/>
    <n v="699.65"/>
    <n v="0"/>
    <n v="0.02"/>
    <n v="-0.16"/>
    <n v="0"/>
    <n v="52364.18"/>
    <n v="0.185978"/>
    <n v="1.1394"/>
    <n v="0.211897"/>
    <s v="CohortAvg+Seasonal(1.139)"/>
    <n v="11095.83"/>
    <n v="11525.87"/>
    <n v="-430.04"/>
    <x v="0"/>
    <n v="0"/>
    <n v="0.78500000000000003"/>
    <n v="0.24"/>
    <n v="0"/>
    <n v="0"/>
    <n v="0"/>
    <n v="11525.87"/>
    <n v="56030.19"/>
    <n v="0.205708"/>
    <n v="-430.04"/>
    <n v="-430.01"/>
    <n v="0"/>
    <n v="-430.01"/>
    <n v="52794.19"/>
    <s v="Forecast"/>
  </r>
  <r>
    <x v="15"/>
    <x v="2"/>
    <s v="202301"/>
    <n v="43"/>
    <n v="5874354.3799999999"/>
    <n v="-3.5926216803799392E-2"/>
    <s v="CohortAvg"/>
    <n v="-1.532917798588174E-2"/>
    <s v="CohortAvg"/>
    <n v="0.1743434477202479"/>
    <s v="CohortAvg"/>
    <n v="1.8593902729730979E-2"/>
    <s v="CohortAvg_NonZero"/>
    <n v="1.9440949667806869E-8"/>
    <s v="CohortAvg"/>
    <n v="0"/>
    <s v="Zero"/>
    <n v="-5.6433861069574597E-5"/>
    <s v="CohortAvg"/>
    <n v="-1.4037729442013141E-7"/>
    <s v="CohortAvg"/>
    <n v="0"/>
    <n v="-211043.33"/>
    <n v="-90049.02"/>
    <n v="85346.27"/>
    <n v="0"/>
    <n v="0.11"/>
    <n v="-331.51"/>
    <n v="-0.82"/>
    <n v="5658608.1799999997"/>
    <n v="0.219997"/>
    <n v="1.1394"/>
    <n v="0.25065799999999999"/>
    <s v="CohortAvg+Seasonal(1.139)"/>
    <n v="1418376.72"/>
    <n v="1419363.03"/>
    <n v="-986.31"/>
    <x v="0"/>
    <n v="0"/>
    <n v="0.78500000000000003"/>
    <n v="0.24"/>
    <n v="0"/>
    <n v="0"/>
    <n v="0"/>
    <n v="1419363.03"/>
    <n v="5874354.3799999999"/>
    <n v="0.24162"/>
    <n v="-986.31"/>
    <n v="-986.19"/>
    <n v="0"/>
    <n v="-986.19"/>
    <n v="5659594.3799999999"/>
    <s v="Forecast"/>
  </r>
  <r>
    <x v="15"/>
    <x v="2"/>
    <s v="202404"/>
    <n v="33"/>
    <n v="1392966.47"/>
    <n v="-4.2774094866999603E-2"/>
    <s v="CohortAvg"/>
    <n v="-1.611147282043876E-2"/>
    <s v="CohortAvg"/>
    <n v="0.17590138515648179"/>
    <s v="CohortAvg"/>
    <n v="2.1323006660454471E-2"/>
    <s v="CohortAvg_NonZero"/>
    <n v="1.07731498531484E-7"/>
    <s v="CohortAvg"/>
    <n v="0"/>
    <s v="Zero"/>
    <n v="-2.4225967535632482E-3"/>
    <s v="CohortAvg"/>
    <n v="-1.1119495667410291E-5"/>
    <s v="CohortAvg"/>
    <n v="0"/>
    <n v="-59582.879999999997"/>
    <n v="-22442.74"/>
    <n v="20418.73"/>
    <n v="0"/>
    <n v="0.15"/>
    <n v="-3374.6"/>
    <n v="-15.49"/>
    <n v="1331359.43"/>
    <n v="0.193494"/>
    <n v="1.1394"/>
    <n v="0.22046099999999999"/>
    <s v="CohortTrend+Seasonal(1.139)"/>
    <n v="293513.21000000002"/>
    <n v="289810.03000000003"/>
    <n v="3703.18"/>
    <x v="0"/>
    <n v="0"/>
    <n v="0.78500000000000003"/>
    <n v="0.24"/>
    <n v="0"/>
    <n v="0"/>
    <n v="0"/>
    <n v="289810.03000000003"/>
    <n v="1392966.47"/>
    <n v="0.20805199999999999"/>
    <n v="3703.18"/>
    <n v="3703.33"/>
    <n v="0"/>
    <n v="3703.33"/>
    <n v="1327656.1000000001"/>
    <s v="Forecast"/>
  </r>
  <r>
    <x v="15"/>
    <x v="2"/>
    <s v="202405"/>
    <n v="32"/>
    <n v="1671544.89"/>
    <n v="-1.9115256575941229E-2"/>
    <s v="CohortAvg"/>
    <n v="-1.511716873582189E-2"/>
    <s v="CohortAvg"/>
    <n v="0.1732483061446575"/>
    <s v="CohortAvg"/>
    <n v="3.1651537389074093E-2"/>
    <s v="CohortAvg_NonZero"/>
    <n v="9.3213432671586729E-8"/>
    <s v="CohortAvg"/>
    <n v="0"/>
    <s v="Zero"/>
    <n v="-5.6555431372175072E-3"/>
    <s v="CohortAvg"/>
    <n v="-3.409086599526887E-5"/>
    <s v="CohortAvg"/>
    <n v="0"/>
    <n v="-31952.01"/>
    <n v="-25269.03"/>
    <n v="24132.69"/>
    <n v="0"/>
    <n v="0.16"/>
    <n v="-9453.49"/>
    <n v="-56.98"/>
    <n v="1638456.39"/>
    <n v="0.16426399999999999"/>
    <n v="1.1394"/>
    <n v="0.18715799999999999"/>
    <s v="CohortTrend+Seasonal(1.139)"/>
    <n v="306649.93"/>
    <n v="295217.78000000003"/>
    <n v="11432.15"/>
    <x v="0"/>
    <n v="0"/>
    <n v="0.78500000000000003"/>
    <n v="0.24"/>
    <n v="0"/>
    <n v="0"/>
    <n v="0"/>
    <n v="295217.78000000003"/>
    <n v="1671544.89"/>
    <n v="0.17661399999999999"/>
    <n v="11432.15"/>
    <n v="11432.31"/>
    <n v="0"/>
    <n v="11432.31"/>
    <n v="1627024.08"/>
    <s v="Forecast"/>
  </r>
  <r>
    <x v="15"/>
    <x v="2"/>
    <s v="202406"/>
    <n v="31"/>
    <n v="1210449.03"/>
    <n v="-2.762192345668046E-2"/>
    <s v="CohortAvg"/>
    <n v="-1.5144812147019441E-2"/>
    <s v="CohortAvg"/>
    <n v="0.17186603749180479"/>
    <s v="CohortAvg"/>
    <n v="6.2682250263039238E-2"/>
    <s v="CohortAvg_NonZero"/>
    <n v="8.0888235701773806E-8"/>
    <s v="CohortAvg"/>
    <n v="0"/>
    <s v="Zero"/>
    <n v="-3.4891659141808359E-3"/>
    <s v="CohortAvg"/>
    <n v="-5.4474427609007177E-5"/>
    <s v="CohortAvg"/>
    <n v="0"/>
    <n v="-33434.93"/>
    <n v="-18332.02"/>
    <n v="17336.259999999998"/>
    <n v="0"/>
    <n v="0.1"/>
    <n v="-4223.46"/>
    <n v="-65.94"/>
    <n v="1176018.24"/>
    <n v="0.16864000000000001"/>
    <n v="1.1394"/>
    <n v="0.19214300000000001"/>
    <s v="CohortTrend+Seasonal(1.139)"/>
    <n v="225963.43"/>
    <n v="219853.65"/>
    <n v="6109.78"/>
    <x v="0"/>
    <n v="0"/>
    <n v="0.78500000000000003"/>
    <n v="0.24"/>
    <n v="0"/>
    <n v="0"/>
    <n v="0"/>
    <n v="219853.65"/>
    <n v="1210449.03"/>
    <n v="0.18163000000000001"/>
    <n v="6109.78"/>
    <n v="6109.88"/>
    <n v="0"/>
    <n v="6109.88"/>
    <n v="1169908.3600000001"/>
    <s v="Forecast"/>
  </r>
  <r>
    <x v="15"/>
    <x v="2"/>
    <s v="202407"/>
    <n v="30"/>
    <n v="2418904.8199999998"/>
    <n v="-2.7278968679878689E-2"/>
    <s v="CohortAvg"/>
    <n v="-1.5653408751862129E-2"/>
    <s v="CohortAvg"/>
    <n v="0.175850400785657"/>
    <s v="CohortAvg"/>
    <n v="3.1732051673242168E-2"/>
    <s v="CohortAvg_NonZero"/>
    <n v="6.5778986954749832E-6"/>
    <s v="CohortAvg"/>
    <n v="0"/>
    <s v="Zero"/>
    <n v="-4.892820807528407E-3"/>
    <s v="CohortAvg"/>
    <n v="-4.099444821188685E-5"/>
    <s v="CohortAvg"/>
    <n v="0"/>
    <n v="-65985.23"/>
    <n v="-37864.11"/>
    <n v="35447.120000000003"/>
    <n v="0"/>
    <n v="15.91"/>
    <n v="-11835.27"/>
    <n v="-99.16"/>
    <n v="2350486.69"/>
    <n v="0.14543900000000001"/>
    <n v="1.1394"/>
    <n v="0.16570799999999999"/>
    <s v="CohortTrend+Seasonal(1.139)"/>
    <n v="389494.96"/>
    <n v="377804.46"/>
    <n v="11690.51"/>
    <x v="0"/>
    <n v="0"/>
    <n v="0.78500000000000003"/>
    <n v="0.24"/>
    <n v="0"/>
    <n v="0"/>
    <n v="0"/>
    <n v="377804.46"/>
    <n v="2418904.8199999998"/>
    <n v="0.15618799999999999"/>
    <n v="11690.51"/>
    <n v="11706.42"/>
    <n v="0"/>
    <n v="11706.42"/>
    <n v="2338780.27"/>
    <s v="Forecast"/>
  </r>
  <r>
    <x v="15"/>
    <x v="2"/>
    <s v="202408"/>
    <n v="29"/>
    <n v="1815356.67"/>
    <n v="-2.3959169695613191E-2"/>
    <s v="CohortAvg"/>
    <n v="-1.648671281775585E-2"/>
    <s v="CohortAvg"/>
    <n v="0.18799676513872141"/>
    <s v="CohortAvg"/>
    <n v="2.1669875219973961E-2"/>
    <s v="CohortAvg_NonZero"/>
    <n v="3.263502238651296E-8"/>
    <s v="CohortAvg"/>
    <n v="0"/>
    <s v="Zero"/>
    <n v="-2.145247477141992E-3"/>
    <s v="CohortAvg"/>
    <n v="-2.325859160014448E-5"/>
    <s v="CohortAvg"/>
    <n v="0"/>
    <n v="-43494.44"/>
    <n v="-29929.26"/>
    <n v="28440.1"/>
    <n v="0"/>
    <n v="0.06"/>
    <n v="-3894.39"/>
    <n v="-42.22"/>
    <n v="1770373.01"/>
    <n v="0.14729200000000001"/>
    <n v="1.1394"/>
    <n v="0.16782"/>
    <s v="CohortTrend+Seasonal(1.139)"/>
    <n v="297103.96000000002"/>
    <n v="285681.13"/>
    <n v="11422.84"/>
    <x v="0"/>
    <n v="0"/>
    <n v="0.78500000000000003"/>
    <n v="0.24"/>
    <n v="0"/>
    <n v="0"/>
    <n v="0"/>
    <n v="285681.13"/>
    <n v="1815356.67"/>
    <n v="0.15736900000000001"/>
    <n v="11422.84"/>
    <n v="11422.9"/>
    <n v="0"/>
    <n v="11422.9"/>
    <n v="1758950.11"/>
    <s v="Forecast"/>
  </r>
  <r>
    <x v="15"/>
    <x v="2"/>
    <s v="202409"/>
    <n v="28"/>
    <n v="1537450.98"/>
    <n v="-3.2614840814060547E-2"/>
    <s v="CohortAvg"/>
    <n v="-1.6762924872590491E-2"/>
    <s v="CohortAvg"/>
    <n v="0.1851522219895895"/>
    <s v="CohortAvg"/>
    <n v="3.5128483199880822E-2"/>
    <s v="CohortAvg_NonZero"/>
    <n v="7.343483587624951E-6"/>
    <s v="CohortAvg"/>
    <n v="0"/>
    <s v="Zero"/>
    <n v="-1.163445685148772E-2"/>
    <s v="CohortAvg"/>
    <n v="-9.3944195117036237E-5"/>
    <s v="CohortAvg"/>
    <n v="0"/>
    <n v="-50143.72"/>
    <n v="-25772.18"/>
    <n v="23721.87"/>
    <n v="0"/>
    <n v="11.29"/>
    <n v="-17887.41"/>
    <n v="-144.43"/>
    <n v="1485245.67"/>
    <n v="0.129162"/>
    <n v="1.1394"/>
    <n v="0.14716299999999999"/>
    <s v="CohortTrend+Seasonal(1.139)"/>
    <n v="218573.04"/>
    <n v="212167.9"/>
    <n v="6405.14"/>
    <x v="0"/>
    <n v="0"/>
    <n v="0.78500000000000003"/>
    <n v="0.24"/>
    <n v="0"/>
    <n v="0"/>
    <n v="0"/>
    <n v="212167.9"/>
    <n v="1537450.98"/>
    <n v="0.13800000000000001"/>
    <n v="6405.14"/>
    <n v="6416.43"/>
    <n v="0"/>
    <n v="6416.43"/>
    <n v="1478829.23"/>
    <s v="Forecast"/>
  </r>
  <r>
    <x v="15"/>
    <x v="2"/>
    <s v="202410"/>
    <n v="27"/>
    <n v="1401055.01"/>
    <n v="-4.0644321601580859E-2"/>
    <s v="CohortAvg"/>
    <n v="-1.6720557504606291E-2"/>
    <s v="CohortAvg"/>
    <n v="0.1819788475494408"/>
    <s v="CohortAvg"/>
    <n v="2.943250499044494E-2"/>
    <s v="CohortAvg_NonZero"/>
    <n v="1.5000419367087509E-7"/>
    <s v="CohortAvg"/>
    <n v="0"/>
    <s v="Zero"/>
    <n v="-7.2222828210305118E-3"/>
    <s v="CohortAvg"/>
    <n v="-1.1074245419324149E-4"/>
    <s v="CohortAvg"/>
    <n v="0"/>
    <n v="-56944.93"/>
    <n v="-23426.42"/>
    <n v="21246.86"/>
    <n v="0"/>
    <n v="0.21"/>
    <n v="-10118.82"/>
    <n v="-155.16"/>
    <n v="1341930.32"/>
    <n v="0.117703"/>
    <n v="1.1394"/>
    <n v="0.134107"/>
    <s v="CohortTrend+Seasonal(1.139)"/>
    <n v="179961.99"/>
    <n v="176830.53"/>
    <n v="3131.46"/>
    <x v="0"/>
    <n v="0"/>
    <n v="0.78500000000000003"/>
    <n v="0.24"/>
    <n v="0"/>
    <n v="0"/>
    <n v="0"/>
    <n v="176830.53"/>
    <n v="1401055.01"/>
    <n v="0.12621199999999999"/>
    <n v="3131.46"/>
    <n v="3131.67"/>
    <n v="0"/>
    <n v="3131.67"/>
    <n v="1338798.6499999999"/>
    <s v="Forecast"/>
  </r>
  <r>
    <x v="15"/>
    <x v="2"/>
    <s v="202411"/>
    <n v="26"/>
    <n v="1660812.82"/>
    <n v="-3.7041016236951163E-2"/>
    <s v="CohortAvg"/>
    <n v="-1.7563063112287541E-2"/>
    <s v="CohortAvg"/>
    <n v="0.19006616784511399"/>
    <s v="CohortAvg"/>
    <n v="2.169389006016624E-2"/>
    <s v="CohortAvg_NonZero"/>
    <n v="1.767215245917815E-6"/>
    <s v="CohortAvg"/>
    <n v="0"/>
    <s v="Zero"/>
    <n v="-1.0856493546927059E-2"/>
    <s v="CohortAvg"/>
    <n v="-9.5096474725496502E-5"/>
    <s v="CohortAvg"/>
    <n v="0"/>
    <n v="-61518.19"/>
    <n v="-29168.959999999999"/>
    <n v="26305.360000000001"/>
    <n v="0"/>
    <n v="2.94"/>
    <n v="-18030.599999999999"/>
    <n v="-157.94"/>
    <n v="1596428.09"/>
    <n v="0.11887499999999999"/>
    <n v="1.1394"/>
    <n v="0.13544200000000001"/>
    <s v="CohortTrend+Seasonal(1.139)"/>
    <n v="216224.08"/>
    <n v="209892.33"/>
    <n v="6331.75"/>
    <x v="0"/>
    <n v="0"/>
    <n v="0.78500000000000003"/>
    <n v="0.24"/>
    <n v="0"/>
    <n v="0"/>
    <n v="0"/>
    <n v="209892.33"/>
    <n v="1660812.82"/>
    <n v="0.12637899999999999"/>
    <n v="6331.75"/>
    <n v="6334.68"/>
    <n v="0"/>
    <n v="6334.68"/>
    <n v="1590093.41"/>
    <s v="Forecast"/>
  </r>
  <r>
    <x v="15"/>
    <x v="2"/>
    <s v="202412"/>
    <n v="25"/>
    <n v="1673900.7"/>
    <n v="-2.0025668918390041E-2"/>
    <s v="CohortAvg"/>
    <n v="-1.6655989324009982E-2"/>
    <s v="CohortAvg"/>
    <n v="0.18946437620589979"/>
    <s v="CohortAvg"/>
    <n v="2.8190419214503149E-2"/>
    <s v="CohortAvg_NonZero"/>
    <n v="9.4771653271183271E-8"/>
    <s v="CohortAvg"/>
    <n v="0"/>
    <s v="Zero"/>
    <n v="-1.0225541724029711E-2"/>
    <s v="CohortAvg"/>
    <n v="-6.9576163406910168E-5"/>
    <s v="CohortAvg"/>
    <n v="0"/>
    <n v="-33520.980000000003"/>
    <n v="-27880.47"/>
    <n v="26428.71"/>
    <n v="0"/>
    <n v="0.16"/>
    <n v="-17116.54"/>
    <n v="-116.46"/>
    <n v="1638927.8"/>
    <n v="9.6198000000000006E-2"/>
    <n v="1.1394"/>
    <n v="0.10960499999999999"/>
    <s v="CohortTrend+Seasonal(1.139)"/>
    <n v="179633.88"/>
    <n v="173037.29"/>
    <n v="6596.58"/>
    <x v="0"/>
    <n v="0"/>
    <n v="0.78500000000000003"/>
    <n v="0.24"/>
    <n v="0"/>
    <n v="0"/>
    <n v="0"/>
    <n v="173037.29"/>
    <n v="1673900.7"/>
    <n v="0.10337399999999999"/>
    <n v="6596.58"/>
    <n v="6596.74"/>
    <n v="0"/>
    <n v="6596.74"/>
    <n v="1632331.05"/>
    <s v="Forecast"/>
  </r>
  <r>
    <x v="15"/>
    <x v="2"/>
    <s v="202501"/>
    <n v="24"/>
    <n v="2851113.57"/>
    <n v="-3.0442572939580689E-2"/>
    <s v="CohortAvg"/>
    <n v="-1.7541734141276411E-2"/>
    <s v="CohortAvg"/>
    <n v="0.19078504589932169"/>
    <s v="CohortAvg"/>
    <n v="1.55516240706602E-2"/>
    <s v="CohortAvg_NonZero"/>
    <n v="3.9785908549765862E-6"/>
    <s v="CohortAvg"/>
    <n v="0"/>
    <s v="Zero"/>
    <n v="-1.8887173774898E-2"/>
    <s v="CohortAvg"/>
    <n v="-1.5417412715961669E-4"/>
    <s v="CohortAvg"/>
    <n v="0"/>
    <n v="-86795.23"/>
    <n v="-50013.48"/>
    <n v="45329.15"/>
    <n v="0"/>
    <n v="11.34"/>
    <n v="-53849.48"/>
    <n v="-439.57"/>
    <n v="2759622.67"/>
    <n v="0.101732"/>
    <n v="1.1394"/>
    <n v="0.115911"/>
    <s v="CohortTrend+Seasonal(1.139)"/>
    <n v="319869.84000000003"/>
    <n v="308546.26"/>
    <n v="11323.58"/>
    <x v="0"/>
    <n v="0"/>
    <n v="0.78500000000000003"/>
    <n v="0.24"/>
    <n v="0"/>
    <n v="0"/>
    <n v="0"/>
    <n v="308546.26"/>
    <n v="2851113.57"/>
    <n v="0.10822"/>
    <n v="11323.58"/>
    <n v="11334.92"/>
    <n v="0"/>
    <n v="11334.92"/>
    <n v="2748287.75"/>
    <s v="Forecast"/>
  </r>
  <r>
    <x v="15"/>
    <x v="2"/>
    <s v="202502"/>
    <n v="23"/>
    <n v="2914499.58"/>
    <n v="-3.4064071717524333E-2"/>
    <s v="CohortAvg"/>
    <n v="-1.7640187064402669E-2"/>
    <s v="CohortAvg"/>
    <n v="0.19721820977582361"/>
    <s v="CohortAvg"/>
    <n v="7.9645373695133598E-3"/>
    <s v="CohortAvg_NonZero"/>
    <n v="0"/>
    <s v="CohortAvg"/>
    <n v="0"/>
    <s v="Zero"/>
    <n v="-3.4650237900182408E-2"/>
    <s v="CohortAvg"/>
    <n v="-3.1677692676845631E-4"/>
    <s v="CohortAvg"/>
    <n v="0"/>
    <n v="-99279.72"/>
    <n v="-51412.32"/>
    <n v="47899.37"/>
    <n v="0"/>
    <n v="0"/>
    <n v="-100988.1"/>
    <n v="-923.25"/>
    <n v="2811706.9"/>
    <n v="0.10539900000000001"/>
    <n v="1.1394"/>
    <n v="0.120088"/>
    <s v="CohortTrend+Seasonal(1.139)"/>
    <n v="337653.05"/>
    <n v="323702.65999999997"/>
    <n v="13950.39"/>
    <x v="0"/>
    <n v="0"/>
    <n v="0.78500000000000003"/>
    <n v="0.24"/>
    <n v="0"/>
    <n v="0"/>
    <n v="0"/>
    <n v="323702.65999999997"/>
    <n v="2914499.58"/>
    <n v="0.111066"/>
    <n v="13950.39"/>
    <n v="13950.39"/>
    <n v="0"/>
    <n v="13950.39"/>
    <n v="2797756.51"/>
    <s v="Forecast"/>
  </r>
  <r>
    <x v="15"/>
    <x v="2"/>
    <s v="202503"/>
    <n v="22"/>
    <n v="4189362.81"/>
    <n v="-2.2745188715282541E-2"/>
    <s v="CohortAvg"/>
    <n v="-1.6984183787965221E-2"/>
    <s v="CohortAvg"/>
    <n v="0.20120030076199241"/>
    <s v="CohortAvg"/>
    <n v="7.1848262480383477E-3"/>
    <s v="CohortAvg_NonZero"/>
    <n v="5.5823987169553353E-9"/>
    <s v="CohortAvg"/>
    <n v="0"/>
    <s v="Zero"/>
    <n v="0"/>
    <s v="CohortAvg"/>
    <n v="0"/>
    <s v="CohortAvg"/>
    <n v="0"/>
    <n v="-95287.85"/>
    <n v="-71152.91"/>
    <n v="70241.75"/>
    <n v="0"/>
    <n v="0.02"/>
    <n v="0"/>
    <n v="0"/>
    <n v="4093163.79"/>
    <n v="0.101413"/>
    <n v="1.1394"/>
    <n v="0.115547"/>
    <s v="CohortTrend+Seasonal(1.139)"/>
    <n v="472951.31"/>
    <n v="445781.51"/>
    <n v="27169.79"/>
    <x v="0"/>
    <n v="0"/>
    <n v="0.78500000000000003"/>
    <n v="0.24"/>
    <n v="0"/>
    <n v="0"/>
    <n v="0"/>
    <n v="445781.51"/>
    <n v="4189362.81"/>
    <n v="0.106408"/>
    <n v="27169.79"/>
    <n v="27169.82"/>
    <n v="0"/>
    <n v="27169.82"/>
    <n v="4065993.97"/>
    <s v="Forecast"/>
  </r>
  <r>
    <x v="15"/>
    <x v="2"/>
    <s v="202504"/>
    <n v="21"/>
    <n v="5256152.82"/>
    <n v="-2.4620002825945269E-2"/>
    <s v="CohortAvg"/>
    <n v="-1.6906856454740032E-2"/>
    <s v="CohortAvg"/>
    <n v="0.19642013784492729"/>
    <s v="CohortAvg"/>
    <n v="3.260907177009143E-3"/>
    <s v="CohortAvg_NonZero"/>
    <n v="0"/>
    <s v="CohortAvg"/>
    <n v="0"/>
    <s v="Zero"/>
    <n v="0"/>
    <s v="CohortAvg"/>
    <n v="0"/>
    <s v="CohortAvg"/>
    <n v="0"/>
    <n v="-129406.5"/>
    <n v="-88865.02"/>
    <n v="86034.52"/>
    <n v="0"/>
    <n v="0"/>
    <n v="0"/>
    <n v="0"/>
    <n v="5123915.83"/>
    <n v="9.8882999999999999E-2"/>
    <n v="1.1394"/>
    <n v="0.112664"/>
    <s v="CohortTrend+Seasonal(1.139)"/>
    <n v="577280.56000000006"/>
    <n v="542001.54"/>
    <n v="35279.019999999997"/>
    <x v="0"/>
    <n v="0"/>
    <n v="0.78500000000000003"/>
    <n v="0.24"/>
    <n v="0"/>
    <n v="0"/>
    <n v="0"/>
    <n v="542001.54"/>
    <n v="5256152.82"/>
    <n v="0.103118"/>
    <n v="35279.019999999997"/>
    <n v="35279.019999999997"/>
    <n v="0"/>
    <n v="35279.019999999997"/>
    <n v="5088636.8099999996"/>
    <s v="Forecast"/>
  </r>
  <r>
    <x v="15"/>
    <x v="2"/>
    <s v="202505"/>
    <n v="20"/>
    <n v="5091641.1100000003"/>
    <n v="-2.737353017404134E-2"/>
    <s v="CohortAvg"/>
    <n v="-1.6537995884257091E-2"/>
    <s v="CohortAvg"/>
    <n v="0.19347194975149509"/>
    <s v="CohortAvg"/>
    <n v="0"/>
    <s v="CohortAvg_NoData_ERROR"/>
    <n v="0"/>
    <s v="CohortAvg"/>
    <n v="0"/>
    <s v="Zero"/>
    <n v="0"/>
    <s v="CohortAvg"/>
    <n v="0"/>
    <s v="CohortAvg"/>
    <n v="0"/>
    <n v="-139376.19"/>
    <n v="-84205.54"/>
    <n v="82090.81"/>
    <n v="0"/>
    <n v="0"/>
    <n v="0"/>
    <n v="0"/>
    <n v="4950150.1900000004"/>
    <n v="9.4505000000000006E-2"/>
    <n v="1.1394"/>
    <n v="0.10767599999999999"/>
    <s v="CohortTrend+Seasonal(1.139)"/>
    <n v="533013.93000000005"/>
    <n v="540569.43000000005"/>
    <n v="-7555.5"/>
    <x v="0"/>
    <n v="0"/>
    <n v="0.78500000000000003"/>
    <n v="0.24"/>
    <n v="0"/>
    <n v="0"/>
    <n v="0"/>
    <n v="540569.43000000005"/>
    <n v="5091641.1100000003"/>
    <n v="0.106168"/>
    <n v="-7555.5"/>
    <n v="-7555.5"/>
    <n v="0"/>
    <n v="-7555.5"/>
    <n v="4957705.6900000004"/>
    <s v="Forecast"/>
  </r>
  <r>
    <x v="15"/>
    <x v="2"/>
    <s v="202506"/>
    <n v="19"/>
    <n v="5556349.29"/>
    <n v="-2.0003413840860639E-2"/>
    <s v="CohortAvg"/>
    <n v="-1.6200456855845639E-2"/>
    <s v="CohortAvg"/>
    <n v="0.19694083276871041"/>
    <s v="CohortAvg"/>
    <n v="0"/>
    <s v="CohortAvg_NoData_ERROR"/>
    <n v="0"/>
    <s v="CohortAvg"/>
    <n v="0"/>
    <s v="Zero"/>
    <n v="0"/>
    <s v="CohortAvg"/>
    <n v="0"/>
    <s v="CohortAvg"/>
    <n v="0"/>
    <n v="-111145.95"/>
    <n v="-90015.4"/>
    <n v="91189.34"/>
    <n v="0"/>
    <n v="0"/>
    <n v="0"/>
    <n v="0"/>
    <n v="5446377.2800000003"/>
    <n v="9.6042000000000002E-2"/>
    <n v="1.1394"/>
    <n v="0.109427"/>
    <s v="DonorCohort:202101+Seasonal(1.139)"/>
    <n v="595983.25"/>
    <n v="509778.38"/>
    <n v="86204.86"/>
    <x v="0"/>
    <n v="0"/>
    <n v="0.78500000000000003"/>
    <n v="0.24"/>
    <n v="0"/>
    <n v="0"/>
    <n v="0"/>
    <n v="509778.38"/>
    <n v="5556349.29"/>
    <n v="9.1746999999999995E-2"/>
    <n v="86204.86"/>
    <n v="86204.86"/>
    <n v="0"/>
    <n v="86204.86"/>
    <n v="5360172.42"/>
    <s v="Forecast"/>
  </r>
  <r>
    <x v="15"/>
    <x v="2"/>
    <s v="202507"/>
    <n v="18"/>
    <n v="7115521.2400000002"/>
    <n v="-1.6216227476909571E-2"/>
    <s v="CohortAvg"/>
    <n v="-1.704315733184741E-2"/>
    <s v="CohortAvg"/>
    <n v="0.18778616322331901"/>
    <s v="CohortAvg"/>
    <n v="0"/>
    <s v="CohortAvg_NoData_ERROR"/>
    <n v="0"/>
    <s v="CohortAvg"/>
    <n v="0"/>
    <s v="Zero"/>
    <n v="0"/>
    <s v="CohortAvg"/>
    <n v="0"/>
    <s v="CohortAvg"/>
    <n v="0"/>
    <n v="-115386.91"/>
    <n v="-121270.95"/>
    <n v="111349.7"/>
    <n v="0"/>
    <n v="0"/>
    <n v="0"/>
    <n v="0"/>
    <n v="6990213.0899999999"/>
    <n v="8.2997000000000001E-2"/>
    <n v="1.1394"/>
    <n v="9.4563999999999995E-2"/>
    <s v="DonorCohort:202101+Seasonal(1.139)"/>
    <n v="661020.49"/>
    <n v="609259.17000000004"/>
    <n v="51761.33"/>
    <x v="0"/>
    <n v="0"/>
    <n v="0.78500000000000003"/>
    <n v="0.24"/>
    <n v="0"/>
    <n v="0"/>
    <n v="0"/>
    <n v="609259.17000000004"/>
    <n v="7115521.2400000002"/>
    <n v="8.5624000000000006E-2"/>
    <n v="51761.33"/>
    <n v="51761.33"/>
    <n v="0"/>
    <n v="51761.33"/>
    <n v="6938451.7599999998"/>
    <s v="Forecast"/>
  </r>
  <r>
    <x v="15"/>
    <x v="2"/>
    <s v="202508"/>
    <n v="17"/>
    <n v="6393509.6100000003"/>
    <n v="-1.965894763433116E-2"/>
    <s v="CohortAvg"/>
    <n v="-1.2025770503453629E-2"/>
    <s v="CohortAvg"/>
    <n v="0.18953072309830521"/>
    <s v="CohortAvg"/>
    <n v="0"/>
    <s v="CohortAvg_NoData_ERROR"/>
    <n v="3.5068402666769499E-5"/>
    <s v="CohortAvg"/>
    <n v="0"/>
    <s v="Zero"/>
    <n v="0"/>
    <s v="CohortAvg"/>
    <n v="0"/>
    <s v="CohortAvg"/>
    <n v="0"/>
    <n v="-125689.67"/>
    <n v="-76886.880000000005"/>
    <n v="100980.54"/>
    <n v="0"/>
    <n v="224.21"/>
    <n v="0"/>
    <n v="0"/>
    <n v="6291689.3899999997"/>
    <n v="7.7456999999999998E-2"/>
    <n v="1.1394"/>
    <n v="8.8252999999999998E-2"/>
    <s v="DonorCohort:202101+Seasonal(1.139)"/>
    <n v="555258.56000000006"/>
    <n v="536792.07999999996"/>
    <n v="18466.47"/>
    <x v="0"/>
    <n v="0"/>
    <n v="0.78500000000000003"/>
    <n v="0.24"/>
    <n v="0"/>
    <n v="0"/>
    <n v="0"/>
    <n v="536792.07999999996"/>
    <n v="6393509.6100000003"/>
    <n v="8.3959000000000006E-2"/>
    <n v="18466.47"/>
    <n v="18690.68"/>
    <n v="0"/>
    <n v="18690.68"/>
    <n v="6272998.71"/>
    <s v="Forecast"/>
  </r>
  <r>
    <x v="15"/>
    <x v="2"/>
    <s v="202509"/>
    <n v="16"/>
    <n v="676185.83"/>
    <n v="-0.26184370701427928"/>
    <s v="CohortAvg"/>
    <n v="-3.212698126407238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77055.01"/>
    <n v="-21723.81"/>
    <n v="28174.41"/>
    <n v="0"/>
    <n v="0"/>
    <n v="0"/>
    <n v="0"/>
    <n v="505581.43"/>
    <n v="7.5951000000000005E-2"/>
    <n v="1.1394"/>
    <n v="8.6537000000000003E-2"/>
    <s v="DonorCohort:202101+Seasonal(1.139)"/>
    <n v="43751.26"/>
    <n v="50943.45"/>
    <n v="-7192.2"/>
    <x v="0"/>
    <n v="0"/>
    <n v="0.78500000000000003"/>
    <n v="0.24"/>
    <n v="0"/>
    <n v="0"/>
    <n v="0"/>
    <n v="50943.45"/>
    <n v="676185.83"/>
    <n v="7.5339000000000003E-2"/>
    <n v="-7192.2"/>
    <n v="-7192.2"/>
    <n v="0"/>
    <n v="-7192.2"/>
    <n v="512773.63"/>
    <s v="Forecast"/>
  </r>
  <r>
    <x v="15"/>
    <x v="3"/>
    <s v="201912"/>
    <n v="85"/>
    <n v="46309.83"/>
    <n v="-6.8561585563866496E-3"/>
    <s v="CohortAvg"/>
    <n v="-6.4319291082415308E-4"/>
    <s v="CohortAvg"/>
    <n v="0"/>
    <s v="CohortAvg"/>
    <n v="3.0133031498435499E-2"/>
    <s v="CohortAvg_NonZero"/>
    <n v="1.05516947177168E-7"/>
    <s v="CohortAvg"/>
    <n v="0"/>
    <s v="Zero"/>
    <n v="0"/>
    <s v="CohortAvg"/>
    <n v="0"/>
    <s v="CohortAvg"/>
    <n v="0"/>
    <n v="-317.51"/>
    <n v="-29.79"/>
    <n v="0"/>
    <n v="0"/>
    <n v="0"/>
    <n v="0"/>
    <n v="0"/>
    <n v="45962.53"/>
    <n v="0.98814800000000003"/>
    <n v="1.0502"/>
    <n v="1.037741"/>
    <s v="CohortAvg+Seasonal(1.050)"/>
    <n v="47697.2"/>
    <n v="46641.98"/>
    <n v="1055.22"/>
    <x v="0"/>
    <n v="0"/>
    <n v="0.78500000000000003"/>
    <n v="0.24"/>
    <n v="0"/>
    <n v="0"/>
    <n v="0"/>
    <n v="46641.98"/>
    <n v="46309.83"/>
    <n v="1.007172"/>
    <n v="1055.22"/>
    <n v="1055.22"/>
    <n v="0"/>
    <n v="1055.22"/>
    <n v="44907.31"/>
    <s v="Forecast"/>
  </r>
  <r>
    <x v="15"/>
    <x v="3"/>
    <s v="202001"/>
    <n v="84"/>
    <n v="0.21"/>
    <n v="-0.5"/>
    <s v="CohortAvg"/>
    <n v="-2.8392529698963511E-6"/>
    <s v="CohortAvg"/>
    <n v="0"/>
    <s v="CohortAvg"/>
    <n v="1.8012435155661501E-2"/>
    <s v="CohortAvg_NonZero"/>
    <n v="0"/>
    <s v="CohortAvg"/>
    <n v="0"/>
    <s v="Zero"/>
    <n v="0"/>
    <s v="CohortAvg"/>
    <n v="0"/>
    <s v="CohortAvg"/>
    <n v="0"/>
    <n v="-0.1"/>
    <n v="0"/>
    <n v="0"/>
    <n v="0"/>
    <n v="0"/>
    <n v="0"/>
    <n v="0"/>
    <n v="0.1"/>
    <n v="0.81973499999999999"/>
    <n v="1.0502"/>
    <n v="0.86087599999999997"/>
    <s v="CohortAvg+Seasonal(1.050)"/>
    <n v="0.09"/>
    <n v="0.17"/>
    <n v="-0.08"/>
    <x v="0"/>
    <n v="0"/>
    <n v="0.78500000000000003"/>
    <n v="0.24"/>
    <n v="0"/>
    <n v="0"/>
    <n v="0"/>
    <n v="0.17"/>
    <n v="0.21"/>
    <n v="0.83565299999999998"/>
    <n v="-0.08"/>
    <n v="-0.08"/>
    <n v="0"/>
    <n v="-0.08"/>
    <n v="0.19"/>
    <s v="Forecast"/>
  </r>
  <r>
    <x v="15"/>
    <x v="3"/>
    <s v="202101"/>
    <n v="72"/>
    <n v="404225.25"/>
    <n v="-0.1052141490769139"/>
    <s v="CohortAvg"/>
    <n v="-8.1281436675247013E-3"/>
    <s v="CohortAvg"/>
    <n v="0.1089706175884419"/>
    <s v="CohortAvg"/>
    <n v="6.174466859730568E-3"/>
    <s v="CohortAvg_NonZero"/>
    <n v="0"/>
    <s v="CohortAvg"/>
    <n v="0"/>
    <s v="Zero"/>
    <n v="-2.5259381316106471E-5"/>
    <s v="CohortAvg"/>
    <n v="-2.6805394364414079E-7"/>
    <s v="CohortAvg"/>
    <n v="0"/>
    <n v="-42530.22"/>
    <n v="-3285.6"/>
    <n v="3670.72"/>
    <n v="0"/>
    <n v="0"/>
    <n v="-10.210000000000001"/>
    <n v="-0.11"/>
    <n v="362080.16"/>
    <n v="0.27621600000000002"/>
    <n v="1.0502"/>
    <n v="0.29007899999999998"/>
    <s v="CohortAvg+Seasonal(1.050)"/>
    <n v="105031.86"/>
    <n v="113814.3"/>
    <n v="-8782.4500000000007"/>
    <x v="0"/>
    <n v="0"/>
    <n v="0.78500000000000003"/>
    <n v="0.24"/>
    <n v="0"/>
    <n v="0"/>
    <n v="0"/>
    <n v="113814.3"/>
    <n v="404225.25"/>
    <n v="0.28156199999999998"/>
    <n v="-8782.4500000000007"/>
    <n v="-8782.4500000000007"/>
    <n v="0"/>
    <n v="-8782.4500000000007"/>
    <n v="370862.6"/>
    <s v="Forecast"/>
  </r>
  <r>
    <x v="15"/>
    <x v="3"/>
    <s v="202201"/>
    <n v="52"/>
    <n v="95215.48"/>
    <n v="-8.8821779983086102E-2"/>
    <s v="CohortAvg"/>
    <n v="-1.0374400484859469E-2"/>
    <s v="CohortAvg"/>
    <n v="0.1126564169078897"/>
    <s v="CohortAvg"/>
    <n v="3.3560556343257428E-2"/>
    <s v="CohortAvg_NonZero"/>
    <n v="9.0505262512892307E-4"/>
    <s v="CohortAvg"/>
    <n v="0"/>
    <s v="Zero"/>
    <n v="-2.6372308363834271E-5"/>
    <s v="CohortAvg"/>
    <n v="-2.2445386838858481E-7"/>
    <s v="CohortAvg"/>
    <n v="0"/>
    <n v="-8457.2099999999991"/>
    <n v="-987.8"/>
    <n v="893.89"/>
    <n v="0"/>
    <n v="86.18"/>
    <n v="-2.5099999999999998"/>
    <n v="-0.02"/>
    <n v="86578.18"/>
    <n v="0.30410599999999999"/>
    <n v="1.0502"/>
    <n v="0.31936799999999999"/>
    <s v="CohortAvg+Seasonal(1.050)"/>
    <n v="27650.31"/>
    <n v="29523.69"/>
    <n v="-1873.38"/>
    <x v="0"/>
    <n v="0"/>
    <n v="0.78500000000000003"/>
    <n v="0.24"/>
    <n v="0"/>
    <n v="0"/>
    <n v="0"/>
    <n v="29523.69"/>
    <n v="95215.48"/>
    <n v="0.31007200000000001"/>
    <n v="-1873.38"/>
    <n v="-1787.2"/>
    <n v="0"/>
    <n v="-1787.2"/>
    <n v="88365.38"/>
    <s v="Forecast"/>
  </r>
  <r>
    <x v="15"/>
    <x v="3"/>
    <s v="202301"/>
    <n v="43"/>
    <n v="1419639.92"/>
    <n v="-6.9824390683406845E-2"/>
    <s v="CohortAvg"/>
    <n v="-1.6140417312322991E-2"/>
    <s v="CohortAvg"/>
    <n v="0.19079114014405299"/>
    <s v="CohortAvg"/>
    <n v="2.5243161349540969E-2"/>
    <s v="CohortAvg_NonZero"/>
    <n v="6.322785375571998E-7"/>
    <s v="CohortAvg"/>
    <n v="0"/>
    <s v="Zero"/>
    <n v="-2.386086637336339E-3"/>
    <s v="CohortAvg"/>
    <n v="-1.411755807379861E-5"/>
    <s v="CohortAvg"/>
    <n v="0"/>
    <n v="-99125.49"/>
    <n v="-22913.58"/>
    <n v="22571.23"/>
    <n v="0"/>
    <n v="0.9"/>
    <n v="-3387.38"/>
    <n v="-20.04"/>
    <n v="1320171.17"/>
    <n v="0.28215699999999999"/>
    <n v="1.0502"/>
    <n v="0.29631800000000003"/>
    <s v="CohortAvg+Seasonal(1.050)"/>
    <n v="391190.76"/>
    <n v="405708.91"/>
    <n v="-14518.15"/>
    <x v="0"/>
    <n v="0"/>
    <n v="0.78500000000000003"/>
    <n v="0.24"/>
    <n v="0"/>
    <n v="0"/>
    <n v="0"/>
    <n v="405708.91"/>
    <n v="1419639.92"/>
    <n v="0.28578300000000001"/>
    <n v="-14518.15"/>
    <n v="-14517.26"/>
    <n v="0"/>
    <n v="-14517.26"/>
    <n v="1334688.43"/>
    <s v="Forecast"/>
  </r>
  <r>
    <x v="15"/>
    <x v="3"/>
    <s v="202404"/>
    <n v="33"/>
    <n v="374244.03"/>
    <n v="-5.0039910647911072E-2"/>
    <s v="CohortAvg"/>
    <n v="-1.7542635021154329E-2"/>
    <s v="CohortAvg"/>
    <n v="0.19123158467925611"/>
    <s v="CohortAvg"/>
    <n v="6.3381648525204518E-2"/>
    <s v="CohortAvg_NonZero"/>
    <n v="9.7592655764065309E-7"/>
    <s v="CohortAvg"/>
    <n v="0"/>
    <s v="Zero"/>
    <n v="-1.057937452477827E-2"/>
    <s v="CohortAvg"/>
    <n v="-1.1937466593938071E-4"/>
    <s v="CohortAvg"/>
    <n v="0"/>
    <n v="-18727.14"/>
    <n v="-6565.23"/>
    <n v="5963.94"/>
    <n v="0"/>
    <n v="0.37"/>
    <n v="-3959.27"/>
    <n v="-44.68"/>
    <n v="354915.24"/>
    <n v="0.20507800000000001"/>
    <n v="1.0502"/>
    <n v="0.21537000000000001"/>
    <s v="CohortTrend+Seasonal(1.050)"/>
    <n v="76438.2"/>
    <n v="76309.48"/>
    <n v="128.72"/>
    <x v="0"/>
    <n v="0"/>
    <n v="0.78500000000000003"/>
    <n v="0.24"/>
    <n v="0"/>
    <n v="0"/>
    <n v="0"/>
    <n v="76309.48"/>
    <n v="374244.03"/>
    <n v="0.203903"/>
    <n v="128.72"/>
    <n v="129.09"/>
    <n v="0"/>
    <n v="129.09"/>
    <n v="354786.15"/>
    <s v="Forecast"/>
  </r>
  <r>
    <x v="15"/>
    <x v="3"/>
    <s v="202405"/>
    <n v="32"/>
    <n v="350117.04"/>
    <n v="-5.2132338048240592E-2"/>
    <s v="CohortAvg"/>
    <n v="-1.7932490499359788E-2"/>
    <s v="CohortAvg"/>
    <n v="0.19981589278453429"/>
    <s v="CohortAvg"/>
    <n v="4.5735645786778419E-2"/>
    <s v="CohortAvg_NonZero"/>
    <n v="2.4682922364475728E-7"/>
    <s v="CohortAvg"/>
    <n v="0"/>
    <s v="Zero"/>
    <n v="-1.204265027502961E-2"/>
    <s v="CohortAvg"/>
    <n v="-1.075363294182985E-4"/>
    <s v="CohortAvg"/>
    <n v="0"/>
    <n v="-18252.419999999998"/>
    <n v="-6278.47"/>
    <n v="5829.91"/>
    <n v="0"/>
    <n v="0.09"/>
    <n v="-4216.34"/>
    <n v="-37.65"/>
    <n v="331415.96999999997"/>
    <n v="0.165271"/>
    <n v="1.0502"/>
    <n v="0.173566"/>
    <s v="CohortTrend+Seasonal(1.050)"/>
    <n v="57522.44"/>
    <n v="57726.41"/>
    <n v="-203.97"/>
    <x v="0"/>
    <n v="0"/>
    <n v="0.78500000000000003"/>
    <n v="0.24"/>
    <n v="0"/>
    <n v="0"/>
    <n v="0"/>
    <n v="57726.41"/>
    <n v="350117.04"/>
    <n v="0.164877"/>
    <n v="-203.97"/>
    <n v="-203.88"/>
    <n v="0"/>
    <n v="-203.88"/>
    <n v="331619.84999999998"/>
    <s v="Forecast"/>
  </r>
  <r>
    <x v="15"/>
    <x v="3"/>
    <s v="202406"/>
    <n v="31"/>
    <n v="457410.84"/>
    <n v="-4.801374580570663E-2"/>
    <s v="CohortAvg"/>
    <n v="-1.8106832489377871E-2"/>
    <s v="CohortAvg"/>
    <n v="0.20241219068005159"/>
    <s v="CohortAvg"/>
    <n v="3.9480578420183772E-2"/>
    <s v="CohortAvg_NonZero"/>
    <n v="1.7834729280816531E-7"/>
    <s v="CohortAvg"/>
    <n v="0"/>
    <s v="Zero"/>
    <n v="-1.3783564006665821E-2"/>
    <s v="CohortAvg"/>
    <n v="-1.046955364995444E-4"/>
    <s v="CohortAvg"/>
    <n v="0"/>
    <n v="-21962.01"/>
    <n v="-8282.26"/>
    <n v="7715.46"/>
    <n v="0"/>
    <n v="0.08"/>
    <n v="-6304.75"/>
    <n v="-47.89"/>
    <n v="434881.95"/>
    <n v="0.12984499999999999"/>
    <n v="1.0502"/>
    <n v="0.13636200000000001"/>
    <s v="CohortTrend+Seasonal(1.050)"/>
    <n v="59301.21"/>
    <n v="59297.38"/>
    <n v="3.83"/>
    <x v="0"/>
    <n v="0"/>
    <n v="0.78500000000000003"/>
    <n v="0.24"/>
    <n v="0"/>
    <n v="0"/>
    <n v="0"/>
    <n v="59297.38"/>
    <n v="457410.84"/>
    <n v="0.129637"/>
    <n v="3.83"/>
    <n v="3.91"/>
    <n v="0"/>
    <n v="3.91"/>
    <n v="434878.04"/>
    <s v="Forecast"/>
  </r>
  <r>
    <x v="15"/>
    <x v="3"/>
    <s v="202407"/>
    <n v="30"/>
    <n v="367089.39"/>
    <n v="-6.7682532054809563E-2"/>
    <s v="CohortAvg"/>
    <n v="-1.8948352509887498E-2"/>
    <s v="CohortAvg"/>
    <n v="0.20666719369817141"/>
    <s v="CohortAvg"/>
    <n v="2.7075395389150572E-2"/>
    <s v="CohortAvg_NonZero"/>
    <n v="4.5910362674083369E-6"/>
    <s v="CohortAvg"/>
    <n v="0"/>
    <s v="Zero"/>
    <n v="-1.6913638523393441E-2"/>
    <s v="CohortAvg"/>
    <n v="-2.0091343365523899E-4"/>
    <s v="CohortAvg"/>
    <n v="0"/>
    <n v="-24845.54"/>
    <n v="-6955.74"/>
    <n v="6322.11"/>
    <n v="0"/>
    <n v="1.69"/>
    <n v="-6208.82"/>
    <n v="-73.75"/>
    <n v="341608.54"/>
    <n v="0.105542"/>
    <n v="1.0502"/>
    <n v="0.11083899999999999"/>
    <s v="CohortTrend+Seasonal(1.050)"/>
    <n v="37863.68"/>
    <n v="38783.86"/>
    <n v="-920.18"/>
    <x v="0"/>
    <n v="0"/>
    <n v="0.78500000000000003"/>
    <n v="0.24"/>
    <n v="0"/>
    <n v="0"/>
    <n v="0"/>
    <n v="38783.86"/>
    <n v="367089.39"/>
    <n v="0.105652"/>
    <n v="-920.18"/>
    <n v="-918.5"/>
    <n v="0"/>
    <n v="-918.5"/>
    <n v="342527.03"/>
    <s v="Forecast"/>
  </r>
  <r>
    <x v="15"/>
    <x v="3"/>
    <s v="202408"/>
    <n v="29"/>
    <n v="515443.13"/>
    <n v="-4.9797476492622478E-2"/>
    <s v="CohortAvg"/>
    <n v="-1.927287697899879E-2"/>
    <s v="CohortAvg"/>
    <n v="0.21382012943877221"/>
    <s v="CohortAvg"/>
    <n v="3.215710767398914E-2"/>
    <s v="CohortAvg_NonZero"/>
    <n v="3.242595312441598E-7"/>
    <s v="CohortAvg"/>
    <n v="0"/>
    <s v="Zero"/>
    <n v="-1.1445678131445741E-2"/>
    <s v="CohortAvg"/>
    <n v="-9.850522698075691E-5"/>
    <s v="CohortAvg"/>
    <n v="0"/>
    <n v="-25667.77"/>
    <n v="-9934.07"/>
    <n v="9184.34"/>
    <n v="0"/>
    <n v="0.17"/>
    <n v="-5899.6"/>
    <n v="-50.77"/>
    <n v="489025.47"/>
    <n v="9.0218000000000007E-2"/>
    <n v="1.0502"/>
    <n v="9.4744999999999996E-2"/>
    <s v="CohortTrend+Seasonal(1.050)"/>
    <n v="46332.959999999999"/>
    <n v="46704.81"/>
    <n v="-371.86"/>
    <x v="0"/>
    <n v="0"/>
    <n v="0.78500000000000003"/>
    <n v="0.24"/>
    <n v="0"/>
    <n v="0"/>
    <n v="0"/>
    <n v="46704.81"/>
    <n v="515443.13"/>
    <n v="9.0610999999999997E-2"/>
    <n v="-371.86"/>
    <n v="-371.69"/>
    <n v="0"/>
    <n v="-371.69"/>
    <n v="489397.16"/>
    <s v="Forecast"/>
  </r>
  <r>
    <x v="15"/>
    <x v="3"/>
    <s v="202409"/>
    <n v="28"/>
    <n v="330981.40000000002"/>
    <n v="-7.3855182931451865E-2"/>
    <s v="CohortAvg"/>
    <n v="-2.0176585680288E-2"/>
    <s v="CohortAvg"/>
    <n v="0.21045787963683441"/>
    <s v="CohortAvg"/>
    <n v="3.5717929501995149E-2"/>
    <s v="CohortAvg_NonZero"/>
    <n v="2.216662578506516E-7"/>
    <s v="CohortAvg"/>
    <n v="0"/>
    <s v="Zero"/>
    <n v="-1.413163220510214E-2"/>
    <s v="CohortAvg"/>
    <n v="-1.1042953651851321E-4"/>
    <s v="CohortAvg"/>
    <n v="0"/>
    <n v="-24444.69"/>
    <n v="-6678.07"/>
    <n v="5804.8"/>
    <n v="0"/>
    <n v="7.0000000000000007E-2"/>
    <n v="-4677.3100000000004"/>
    <n v="-36.549999999999997"/>
    <n v="305663.35999999999"/>
    <n v="7.4540999999999996E-2"/>
    <n v="1.0502"/>
    <n v="7.8282000000000004E-2"/>
    <s v="CohortTrend+Seasonal(1.050)"/>
    <n v="23928.07"/>
    <n v="24885.360000000001"/>
    <n v="-957.29"/>
    <x v="0"/>
    <n v="0"/>
    <n v="0.78500000000000003"/>
    <n v="0.24"/>
    <n v="0"/>
    <n v="0"/>
    <n v="0"/>
    <n v="24885.360000000001"/>
    <n v="330981.40000000002"/>
    <n v="7.5187000000000004E-2"/>
    <n v="-957.29"/>
    <n v="-957.21"/>
    <n v="0"/>
    <n v="-957.21"/>
    <n v="306620.58"/>
    <s v="Forecast"/>
  </r>
  <r>
    <x v="15"/>
    <x v="3"/>
    <s v="202410"/>
    <n v="27"/>
    <n v="434902.34"/>
    <n v="-4.8331700483451437E-2"/>
    <s v="CohortAvg"/>
    <n v="-1.999607799058168E-2"/>
    <s v="CohortAvg"/>
    <n v="0.213136423526054"/>
    <s v="CohortAvg"/>
    <n v="3.7684234302698558E-2"/>
    <s v="CohortAvg_NonZero"/>
    <n v="9.4625520116338785E-7"/>
    <s v="CohortAvg"/>
    <n v="0"/>
    <s v="Zero"/>
    <n v="-1.9484344686597221E-2"/>
    <s v="CohortAvg"/>
    <n v="-1.5820215503308251E-4"/>
    <s v="CohortAvg"/>
    <n v="0"/>
    <n v="-21019.57"/>
    <n v="-8696.34"/>
    <n v="7724.46"/>
    <n v="0"/>
    <n v="0.41"/>
    <n v="-8473.7900000000009"/>
    <n v="-68.8"/>
    <n v="412910.48"/>
    <n v="6.9088999999999998E-2"/>
    <n v="1.0502"/>
    <n v="7.2556999999999996E-2"/>
    <s v="CohortTrend+Seasonal(1.050)"/>
    <n v="29959.51"/>
    <n v="30328.53"/>
    <n v="-369.02"/>
    <x v="0"/>
    <n v="0"/>
    <n v="0.78500000000000003"/>
    <n v="0.24"/>
    <n v="0"/>
    <n v="0"/>
    <n v="0"/>
    <n v="30328.53"/>
    <n v="434902.34"/>
    <n v="6.9736000000000006E-2"/>
    <n v="-369.02"/>
    <n v="-368.61"/>
    <n v="0"/>
    <n v="-368.61"/>
    <n v="413279.09"/>
    <s v="Forecast"/>
  </r>
  <r>
    <x v="15"/>
    <x v="3"/>
    <s v="202411"/>
    <n v="26"/>
    <n v="490685.68"/>
    <n v="-5.2218035559938793E-2"/>
    <s v="CohortAvg"/>
    <n v="-2.0122977404890961E-2"/>
    <s v="CohortAvg"/>
    <n v="0.22304385191717019"/>
    <s v="CohortAvg"/>
    <n v="2.873689622377373E-2"/>
    <s v="CohortAvg_NonZero"/>
    <n v="7.2441282146622486E-8"/>
    <s v="CohortAvg"/>
    <n v="0"/>
    <s v="Zero"/>
    <n v="-2.4341356222035159E-2"/>
    <s v="CohortAvg"/>
    <n v="-2.2510584497825121E-4"/>
    <s v="CohortAvg"/>
    <n v="0"/>
    <n v="-25622.639999999999"/>
    <n v="-9874.06"/>
    <n v="9120.3700000000008"/>
    <n v="0"/>
    <n v="0.04"/>
    <n v="-11943.96"/>
    <n v="-110.46"/>
    <n v="464309.32"/>
    <n v="6.4061999999999994E-2"/>
    <n v="1.0502"/>
    <n v="6.7277000000000003E-2"/>
    <s v="CohortTrend+Seasonal(1.050)"/>
    <n v="31237.200000000001"/>
    <n v="31654.26"/>
    <n v="-417.05"/>
    <x v="0"/>
    <n v="0"/>
    <n v="0.78500000000000003"/>
    <n v="0.24"/>
    <n v="0"/>
    <n v="0"/>
    <n v="0"/>
    <n v="31654.26"/>
    <n v="490685.68"/>
    <n v="6.4509999999999998E-2"/>
    <n v="-417.05"/>
    <n v="-417.02"/>
    <n v="0"/>
    <n v="-417.02"/>
    <n v="464726.34"/>
    <s v="Forecast"/>
  </r>
  <r>
    <x v="15"/>
    <x v="3"/>
    <s v="202412"/>
    <n v="25"/>
    <n v="520463.64"/>
    <n v="-5.0395422052090508E-2"/>
    <s v="CohortAvg"/>
    <n v="-2.0612621593694411E-2"/>
    <s v="CohortAvg"/>
    <n v="0.22205891273395131"/>
    <s v="CohortAvg"/>
    <n v="3.2946859731871773E-2"/>
    <s v="CohortAvg_NonZero"/>
    <n v="9.5974339907641707E-7"/>
    <s v="CohortAvg"/>
    <n v="0"/>
    <s v="Zero"/>
    <n v="-4.4494170811053543E-2"/>
    <s v="CohortAvg"/>
    <n v="-4.618741663263929E-4"/>
    <s v="CohortAvg"/>
    <n v="0"/>
    <n v="-26228.98"/>
    <n v="-10728.12"/>
    <n v="9631.1299999999992"/>
    <n v="0"/>
    <n v="0.5"/>
    <n v="-23157.599999999999"/>
    <n v="-240.39"/>
    <n v="493137.17"/>
    <n v="6.5216999999999997E-2"/>
    <n v="1.0502"/>
    <n v="6.8489999999999995E-2"/>
    <s v="CohortTrend+Seasonal(1.050)"/>
    <n v="33775.199999999997"/>
    <n v="33958.910000000003"/>
    <n v="-183.71"/>
    <x v="0"/>
    <n v="0"/>
    <n v="0.78500000000000003"/>
    <n v="0.24"/>
    <n v="0"/>
    <n v="0"/>
    <n v="0"/>
    <n v="33958.910000000003"/>
    <n v="520463.64"/>
    <n v="6.5246999999999999E-2"/>
    <n v="-183.71"/>
    <n v="-183.21"/>
    <n v="0"/>
    <n v="-183.21"/>
    <n v="493320.38"/>
    <s v="Forecast"/>
  </r>
  <r>
    <x v="15"/>
    <x v="3"/>
    <s v="202501"/>
    <n v="24"/>
    <n v="897587.75"/>
    <n v="-5.2568354542802273E-2"/>
    <s v="CohortAvg"/>
    <n v="-2.083108797892674E-2"/>
    <s v="CohortAvg"/>
    <n v="0.22500949968667369"/>
    <s v="CohortAvg"/>
    <n v="1.413752212571818E-2"/>
    <s v="CohortAvg_NonZero"/>
    <n v="1.525200491100474E-5"/>
    <s v="CohortAvg"/>
    <n v="0"/>
    <s v="Zero"/>
    <n v="-4.3296812321166653E-2"/>
    <s v="CohortAvg"/>
    <n v="-4.6077932557928502E-4"/>
    <s v="CohortAvg"/>
    <n v="0"/>
    <n v="-47184.71"/>
    <n v="-18697.73"/>
    <n v="16830.48"/>
    <n v="0"/>
    <n v="13.69"/>
    <n v="-38862.69"/>
    <n v="-413.59"/>
    <n v="848522.1"/>
    <n v="6.6956000000000002E-2"/>
    <n v="1.0502"/>
    <n v="7.0316000000000004E-2"/>
    <s v="CohortTrend+Seasonal(1.050)"/>
    <n v="59664.91"/>
    <n v="59638.83"/>
    <n v="26.08"/>
    <x v="0"/>
    <n v="0"/>
    <n v="0.78500000000000003"/>
    <n v="0.24"/>
    <n v="0"/>
    <n v="0"/>
    <n v="0"/>
    <n v="59638.83"/>
    <n v="897587.75"/>
    <n v="6.6443000000000002E-2"/>
    <n v="26.08"/>
    <n v="39.770000000000003"/>
    <n v="0"/>
    <n v="39.770000000000003"/>
    <n v="848482.32"/>
    <s v="Forecast"/>
  </r>
  <r>
    <x v="15"/>
    <x v="3"/>
    <s v="202502"/>
    <n v="23"/>
    <n v="958924.33"/>
    <n v="-5.3357978094995387E-2"/>
    <s v="CohortAvg"/>
    <n v="-1.914886714769834E-2"/>
    <s v="CohortAvg"/>
    <n v="0.2268023557451726"/>
    <s v="CohortAvg"/>
    <n v="1.9470573425552761E-2"/>
    <s v="CohortAvg_NonZero"/>
    <n v="3.8857899217163808E-4"/>
    <s v="CohortAvg"/>
    <n v="0"/>
    <s v="Zero"/>
    <n v="-9.1820932280568132E-2"/>
    <s v="CohortAvg"/>
    <n v="-1.1939646144429139E-3"/>
    <s v="CohortAvg"/>
    <n v="0"/>
    <n v="-51166.26"/>
    <n v="-18362.310000000001"/>
    <n v="18123.86"/>
    <n v="0"/>
    <n v="372.62"/>
    <n v="-88049.33"/>
    <n v="-1144.92"/>
    <n v="907146.99"/>
    <n v="6.4918000000000003E-2"/>
    <n v="1.0502"/>
    <n v="6.8176E-2"/>
    <s v="CohortTrend+Seasonal(1.050)"/>
    <n v="61845.72"/>
    <n v="61559.71"/>
    <n v="286.02"/>
    <x v="0"/>
    <n v="0"/>
    <n v="0.78500000000000003"/>
    <n v="0.24"/>
    <n v="0"/>
    <n v="0"/>
    <n v="0"/>
    <n v="61559.71"/>
    <n v="958924.33"/>
    <n v="6.4197000000000004E-2"/>
    <n v="286.02"/>
    <n v="658.64"/>
    <n v="0"/>
    <n v="658.64"/>
    <n v="906488.36"/>
    <s v="Forecast"/>
  </r>
  <r>
    <x v="15"/>
    <x v="3"/>
    <s v="202503"/>
    <n v="22"/>
    <n v="1255257.6200000001"/>
    <n v="-4.5535247287842903E-2"/>
    <s v="CohortAvg"/>
    <n v="-2.1957455232957411E-2"/>
    <s v="CohortAvg"/>
    <n v="0.25477959046641191"/>
    <s v="CohortAvg"/>
    <n v="4.6176837495393924E-3"/>
    <s v="CohortAvg_NonZero"/>
    <n v="2.4876087737481761E-8"/>
    <s v="CohortAvg"/>
    <n v="0"/>
    <s v="Zero"/>
    <n v="0"/>
    <s v="CohortAvg"/>
    <n v="0"/>
    <s v="CohortAvg"/>
    <n v="0"/>
    <n v="-57158.47"/>
    <n v="-27562.26"/>
    <n v="26651.17"/>
    <n v="0"/>
    <n v="0.03"/>
    <n v="0"/>
    <n v="0"/>
    <n v="1197188.02"/>
    <n v="6.9822999999999996E-2"/>
    <n v="1.0502"/>
    <n v="7.3327000000000003E-2"/>
    <s v="CohortTrend+Seasonal(1.050)"/>
    <n v="87786.53"/>
    <n v="85477.4"/>
    <n v="2309.13"/>
    <x v="0"/>
    <n v="0"/>
    <n v="0.78500000000000003"/>
    <n v="0.24"/>
    <n v="0"/>
    <n v="0"/>
    <n v="0"/>
    <n v="85477.4"/>
    <n v="1255257.6200000001"/>
    <n v="6.8096000000000004E-2"/>
    <n v="2309.13"/>
    <n v="2309.16"/>
    <n v="0"/>
    <n v="2309.16"/>
    <n v="1194878.8600000001"/>
    <s v="Forecast"/>
  </r>
  <r>
    <x v="15"/>
    <x v="3"/>
    <s v="202504"/>
    <n v="21"/>
    <n v="989497.81"/>
    <n v="-5.5756560625378322E-2"/>
    <s v="CohortAvg"/>
    <n v="-2.201886807734469E-2"/>
    <s v="CohortAvg"/>
    <n v="0.25070427120700878"/>
    <s v="CohortAvg"/>
    <n v="2.1791689037598898E-3"/>
    <s v="CohortAvg_NonZero"/>
    <n v="1.9579550318228862E-8"/>
    <s v="CohortAvg"/>
    <n v="0"/>
    <s v="Zero"/>
    <n v="0"/>
    <s v="CohortAvg"/>
    <n v="0"/>
    <s v="CohortAvg"/>
    <n v="0"/>
    <n v="-55170.99"/>
    <n v="-21787.62"/>
    <n v="20672.61"/>
    <n v="0"/>
    <n v="0.02"/>
    <n v="0"/>
    <n v="0"/>
    <n v="933211.79"/>
    <n v="6.8095000000000003E-2"/>
    <n v="1.0502"/>
    <n v="7.1512000000000006E-2"/>
    <s v="CohortTrend+Seasonal(1.050)"/>
    <n v="66735.97"/>
    <n v="65374.01"/>
    <n v="1361.96"/>
    <x v="0"/>
    <n v="0"/>
    <n v="0.78500000000000003"/>
    <n v="0.24"/>
    <n v="0"/>
    <n v="0"/>
    <n v="0"/>
    <n v="65374.01"/>
    <n v="989497.81"/>
    <n v="6.6068000000000002E-2"/>
    <n v="1361.96"/>
    <n v="1361.98"/>
    <n v="0"/>
    <n v="1361.98"/>
    <n v="931849.81"/>
    <s v="Forecast"/>
  </r>
  <r>
    <x v="15"/>
    <x v="3"/>
    <s v="202505"/>
    <n v="20"/>
    <n v="1267521.8500000001"/>
    <n v="-4.9260320738162687E-2"/>
    <s v="CohortAvg"/>
    <n v="-2.1457581926961129E-2"/>
    <s v="CohortAvg"/>
    <n v="0.24282846215872869"/>
    <s v="CohortAvg"/>
    <n v="0"/>
    <s v="CohortAvg_NoData_ERROR"/>
    <n v="0"/>
    <s v="CohortAvg"/>
    <n v="0"/>
    <s v="Zero"/>
    <n v="0"/>
    <s v="CohortAvg"/>
    <n v="0"/>
    <s v="CohortAvg"/>
    <n v="0"/>
    <n v="-62438.53"/>
    <n v="-27197.95"/>
    <n v="25649.200000000001"/>
    <n v="0"/>
    <n v="0"/>
    <n v="0"/>
    <n v="0"/>
    <n v="1203534.56"/>
    <n v="6.9442000000000004E-2"/>
    <n v="1.0502"/>
    <n v="7.2927000000000006E-2"/>
    <s v="CohortTrend+Seasonal(1.050)"/>
    <n v="87770.64"/>
    <n v="92805.05"/>
    <n v="-5034.41"/>
    <x v="0"/>
    <n v="0"/>
    <n v="0.78500000000000003"/>
    <n v="0.24"/>
    <n v="0"/>
    <n v="0"/>
    <n v="0"/>
    <n v="92805.05"/>
    <n v="1267521.8500000001"/>
    <n v="7.3218000000000005E-2"/>
    <n v="-5034.41"/>
    <n v="-5034.41"/>
    <n v="0"/>
    <n v="-5034.41"/>
    <n v="1208568.97"/>
    <s v="Forecast"/>
  </r>
  <r>
    <x v="15"/>
    <x v="3"/>
    <s v="202506"/>
    <n v="19"/>
    <n v="1397528.53"/>
    <n v="-5.3470568092133103E-2"/>
    <s v="CohortAvg"/>
    <n v="-2.2527645365346939E-2"/>
    <s v="CohortAvg"/>
    <n v="0.25500033444167242"/>
    <s v="CohortAvg"/>
    <n v="0"/>
    <s v="CohortAvg_NoData_ERROR"/>
    <n v="0"/>
    <s v="CohortAvg"/>
    <n v="0"/>
    <s v="Zero"/>
    <n v="0"/>
    <s v="CohortAvg"/>
    <n v="0"/>
    <s v="CohortAvg"/>
    <n v="0"/>
    <n v="-74726.64"/>
    <n v="-31483.03"/>
    <n v="29697.52"/>
    <n v="0"/>
    <n v="0"/>
    <n v="0"/>
    <n v="0"/>
    <n v="1321016.3799999999"/>
    <n v="7.1835999999999997E-2"/>
    <n v="1.0502"/>
    <n v="7.5440999999999994E-2"/>
    <s v="DonorCohort:202101+Seasonal(1.050)"/>
    <n v="99659.14"/>
    <n v="87849.59"/>
    <n v="11809.56"/>
    <x v="0"/>
    <n v="0"/>
    <n v="0.78500000000000003"/>
    <n v="0.24"/>
    <n v="0"/>
    <n v="0"/>
    <n v="0"/>
    <n v="87849.59"/>
    <n v="1397528.53"/>
    <n v="6.2861E-2"/>
    <n v="11809.56"/>
    <n v="11809.56"/>
    <n v="0"/>
    <n v="11809.56"/>
    <n v="1309206.82"/>
    <s v="Forecast"/>
  </r>
  <r>
    <x v="15"/>
    <x v="3"/>
    <s v="202507"/>
    <n v="18"/>
    <n v="1939944.82"/>
    <n v="-3.9458233425064278E-2"/>
    <s v="CohortAvg"/>
    <n v="-2.369504651616508E-2"/>
    <s v="CohortAvg"/>
    <n v="0.25638606506128542"/>
    <s v="CohortAvg"/>
    <n v="0"/>
    <s v="CohortAvg_NoData_ERROR"/>
    <n v="0"/>
    <s v="CohortAvg"/>
    <n v="0"/>
    <s v="Zero"/>
    <n v="0"/>
    <s v="CohortAvg"/>
    <n v="0"/>
    <s v="CohortAvg"/>
    <n v="0"/>
    <n v="-76546.8"/>
    <n v="-45967.08"/>
    <n v="41447.9"/>
    <n v="0"/>
    <n v="0"/>
    <n v="0"/>
    <n v="0"/>
    <n v="1858878.84"/>
    <n v="6.1674E-2"/>
    <n v="1.0502"/>
    <n v="6.4769999999999994E-2"/>
    <s v="DonorCohort:202101+Seasonal(1.050)"/>
    <n v="120399.01"/>
    <n v="116145.52"/>
    <n v="4253.4799999999996"/>
    <x v="0"/>
    <n v="0"/>
    <n v="0.78500000000000003"/>
    <n v="0.24"/>
    <n v="0"/>
    <n v="0"/>
    <n v="0"/>
    <n v="116145.52"/>
    <n v="1939944.82"/>
    <n v="5.9871000000000001E-2"/>
    <n v="4253.4799999999996"/>
    <n v="4253.4799999999996"/>
    <n v="0"/>
    <n v="4253.4799999999996"/>
    <n v="1854625.36"/>
    <s v="Forecast"/>
  </r>
  <r>
    <x v="15"/>
    <x v="3"/>
    <s v="202508"/>
    <n v="17"/>
    <n v="2216538.89"/>
    <n v="-3.9476209384961908E-2"/>
    <s v="CohortAvg"/>
    <n v="-1.8103928058827611E-2"/>
    <s v="CohortAvg"/>
    <n v="0.24688386242709059"/>
    <s v="CohortAvg"/>
    <n v="0"/>
    <s v="CohortAvg_NoData_ERROR"/>
    <n v="0"/>
    <s v="CohortAvg"/>
    <n v="0"/>
    <s v="Zero"/>
    <n v="0"/>
    <s v="CohortAvg"/>
    <n v="0"/>
    <s v="CohortAvg"/>
    <n v="0"/>
    <n v="-87500.55"/>
    <n v="-40128.06"/>
    <n v="45602.31"/>
    <n v="0"/>
    <n v="0"/>
    <n v="0"/>
    <n v="0"/>
    <n v="2134512.58"/>
    <n v="5.8741000000000002E-2"/>
    <n v="1.0502"/>
    <n v="6.1689000000000001E-2"/>
    <s v="DonorCohort:202101+Seasonal(1.050)"/>
    <n v="131675.39000000001"/>
    <n v="124000.09"/>
    <n v="7675.3"/>
    <x v="0"/>
    <n v="0"/>
    <n v="0.78500000000000003"/>
    <n v="0.24"/>
    <n v="0"/>
    <n v="0"/>
    <n v="0"/>
    <n v="124000.09"/>
    <n v="2216538.89"/>
    <n v="5.5943E-2"/>
    <n v="7675.3"/>
    <n v="7675.3"/>
    <n v="0"/>
    <n v="7675.3"/>
    <n v="2126837.2799999998"/>
    <s v="Forecast"/>
  </r>
  <r>
    <x v="15"/>
    <x v="3"/>
    <s v="202509"/>
    <n v="16"/>
    <n v="269649.94"/>
    <n v="-0.2528385713414229"/>
    <s v="CohortAvg"/>
    <n v="-3.699026564404586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68177.91"/>
    <n v="-9974.42"/>
    <n v="11235.41"/>
    <n v="0"/>
    <n v="0"/>
    <n v="0"/>
    <n v="0"/>
    <n v="202733.03"/>
    <n v="5.4886999999999998E-2"/>
    <n v="1.0502"/>
    <n v="5.7641999999999999E-2"/>
    <s v="DonorCohort:202101+Seasonal(1.050)"/>
    <n v="11685.95"/>
    <n v="14039.05"/>
    <n v="-2353.1"/>
    <x v="0"/>
    <n v="0"/>
    <n v="0.78500000000000003"/>
    <n v="0.24"/>
    <n v="0"/>
    <n v="0"/>
    <n v="0"/>
    <n v="14039.05"/>
    <n v="269649.94"/>
    <n v="5.2063999999999999E-2"/>
    <n v="-2353.1"/>
    <n v="-2353.1"/>
    <n v="0"/>
    <n v="-2353.1"/>
    <n v="205086.13"/>
    <s v="Forecast"/>
  </r>
  <r>
    <x v="15"/>
    <x v="4"/>
    <s v="202101"/>
    <n v="70"/>
    <n v="312683.82"/>
    <n v="-0.13733963100971791"/>
    <s v="CohortAvg"/>
    <n v="-1.150882799677473E-2"/>
    <s v="CohortAvg"/>
    <n v="0.13160682535405069"/>
    <s v="CohortAvg"/>
    <n v="4.6206313345761807E-2"/>
    <s v="CohortAvg_NonZero"/>
    <n v="0"/>
    <s v="CohortAvg"/>
    <n v="0"/>
    <s v="Zero"/>
    <n v="0"/>
    <s v="CohortAvg"/>
    <n v="0"/>
    <s v="CohortAvg"/>
    <n v="0"/>
    <n v="-42943.88"/>
    <n v="-3598.62"/>
    <n v="3429.28"/>
    <n v="0"/>
    <n v="0"/>
    <n v="0"/>
    <n v="0"/>
    <n v="269570.59000000003"/>
    <n v="0.170131"/>
    <n v="1.0546"/>
    <n v="0.17941399999999999"/>
    <s v="CohortAvg+Seasonal(1.055)"/>
    <n v="48364.66"/>
    <n v="54735.58"/>
    <n v="-6370.92"/>
    <x v="0"/>
    <n v="0"/>
    <n v="0.78500000000000003"/>
    <n v="0.24"/>
    <n v="0"/>
    <n v="0"/>
    <n v="0"/>
    <n v="54735.58"/>
    <n v="312683.82"/>
    <n v="0.17505100000000001"/>
    <n v="-6370.92"/>
    <n v="-6370.92"/>
    <n v="0"/>
    <n v="-6370.92"/>
    <n v="275941.51"/>
    <s v="Forecast"/>
  </r>
  <r>
    <x v="15"/>
    <x v="4"/>
    <s v="202201"/>
    <n v="52"/>
    <n v="21385.759999999998"/>
    <n v="-9.8783473939571612E-2"/>
    <s v="CohortAvg"/>
    <n v="-9.5713686911822349E-3"/>
    <s v="CohortAvg"/>
    <n v="9.9625590297979238E-2"/>
    <s v="CohortAvg"/>
    <n v="3.6296548471463921E-2"/>
    <s v="CohortAvg_NonZero"/>
    <n v="6.2170855854299498E-10"/>
    <s v="CohortAvg"/>
    <n v="0"/>
    <s v="Zero"/>
    <n v="0"/>
    <s v="CohortAvg"/>
    <n v="0"/>
    <s v="CohortAvg"/>
    <n v="0"/>
    <n v="-2112.56"/>
    <n v="-204.69"/>
    <n v="177.55"/>
    <n v="0"/>
    <n v="0"/>
    <n v="0"/>
    <n v="0"/>
    <n v="19246.060000000001"/>
    <n v="3.9001000000000001E-2"/>
    <n v="1.0546"/>
    <n v="4.1128999999999999E-2"/>
    <s v="CohortAvg+Seasonal(1.055)"/>
    <n v="791.56"/>
    <n v="858.94"/>
    <n v="-67.38"/>
    <x v="0"/>
    <n v="0"/>
    <n v="0.78500000000000003"/>
    <n v="0.24"/>
    <n v="0"/>
    <n v="0"/>
    <n v="0"/>
    <n v="858.94"/>
    <n v="21385.759999999998"/>
    <n v="4.0163999999999998E-2"/>
    <n v="-67.38"/>
    <n v="-67.38"/>
    <n v="0"/>
    <n v="-67.38"/>
    <n v="19313.439999999999"/>
    <s v="Forecast"/>
  </r>
  <r>
    <x v="15"/>
    <x v="4"/>
    <s v="202405"/>
    <n v="32"/>
    <n v="3737.47"/>
    <n v="-1.6748181259045501E-2"/>
    <s v="CohortAvg"/>
    <n v="-1.046012671469952E-2"/>
    <s v="CohortAvg"/>
    <n v="0.12157231152892881"/>
    <s v="CohortAvg"/>
    <n v="0"/>
    <s v="CohortAvg_NoData_ERROR"/>
    <n v="0"/>
    <s v="CohortAvg"/>
    <n v="0"/>
    <s v="Zero"/>
    <n v="0"/>
    <s v="CohortAvg"/>
    <n v="0"/>
    <s v="CohortAvg"/>
    <n v="0"/>
    <n v="-62.6"/>
    <n v="-39.090000000000003"/>
    <n v="37.86"/>
    <n v="0"/>
    <n v="0"/>
    <n v="0"/>
    <n v="0"/>
    <n v="3673.64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3737.47"/>
    <n v="0"/>
    <n v="0"/>
    <n v="0"/>
    <n v="0"/>
    <n v="0"/>
    <n v="3673.64"/>
    <s v="Forecast"/>
  </r>
  <r>
    <x v="15"/>
    <x v="4"/>
    <s v="202407"/>
    <n v="30"/>
    <n v="1365.19"/>
    <n v="-5.359517385000568E-2"/>
    <s v="CohortAvg"/>
    <n v="-1.0496839771054849E-2"/>
    <s v="CohortAvg"/>
    <n v="0.12045935351492471"/>
    <s v="CohortAvg"/>
    <n v="0"/>
    <s v="CohortAvg_NoData_ERROR"/>
    <n v="0"/>
    <s v="CohortAvg"/>
    <n v="0"/>
    <s v="Zero"/>
    <n v="0"/>
    <s v="CohortAvg"/>
    <n v="0"/>
    <s v="CohortAvg"/>
    <n v="0"/>
    <n v="-73.17"/>
    <n v="-14.33"/>
    <n v="13.7"/>
    <n v="0"/>
    <n v="0"/>
    <n v="0"/>
    <n v="0"/>
    <n v="1291.3900000000001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1365.19"/>
    <n v="0"/>
    <n v="0"/>
    <n v="0"/>
    <n v="0"/>
    <n v="0"/>
    <n v="1291.3900000000001"/>
    <s v="Forecast"/>
  </r>
  <r>
    <x v="15"/>
    <x v="4"/>
    <s v="202409"/>
    <n v="28"/>
    <n v="5257.83"/>
    <n v="-4.3461963426649708E-2"/>
    <s v="CohortAvg"/>
    <n v="-1.046649397611437E-2"/>
    <s v="CohortAvg"/>
    <n v="0.1208185782789702"/>
    <s v="CohortAvg"/>
    <n v="0"/>
    <s v="CohortAvg_NoData_ERROR"/>
    <n v="0"/>
    <s v="CohortAvg"/>
    <n v="0"/>
    <s v="Zero"/>
    <n v="0"/>
    <s v="CohortAvg"/>
    <n v="0"/>
    <s v="CohortAvg"/>
    <n v="0"/>
    <n v="-228.52"/>
    <n v="-55.03"/>
    <n v="52.94"/>
    <n v="0"/>
    <n v="0"/>
    <n v="0"/>
    <n v="0"/>
    <n v="5027.22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5257.83"/>
    <n v="0"/>
    <n v="0"/>
    <n v="0"/>
    <n v="0"/>
    <n v="0"/>
    <n v="5027.22"/>
    <s v="Forecast"/>
  </r>
  <r>
    <x v="15"/>
    <x v="4"/>
    <s v="202504"/>
    <n v="21"/>
    <n v="3831.58"/>
    <n v="-1.2982113809729971E-2"/>
    <s v="CohortAvg"/>
    <n v="-1.043026010331913E-2"/>
    <s v="CohortAvg"/>
    <n v="0.12558182402416601"/>
    <s v="CohortAvg"/>
    <n v="0"/>
    <s v="CohortAvg_NoData_ERROR"/>
    <n v="0"/>
    <s v="CohortAvg"/>
    <n v="0"/>
    <s v="Zero"/>
    <n v="0"/>
    <s v="CohortAvg"/>
    <n v="0"/>
    <s v="CohortAvg"/>
    <n v="0"/>
    <n v="-49.74"/>
    <n v="-39.96"/>
    <n v="40.1"/>
    <n v="0"/>
    <n v="0"/>
    <n v="0"/>
    <n v="0"/>
    <n v="3781.98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3831.58"/>
    <n v="0"/>
    <n v="0"/>
    <n v="0"/>
    <n v="0"/>
    <n v="0"/>
    <n v="3781.98"/>
    <s v="Forecast"/>
  </r>
  <r>
    <x v="15"/>
    <x v="4"/>
    <s v="202507"/>
    <n v="18"/>
    <n v="8629.36"/>
    <n v="-1.159689999555121E-2"/>
    <s v="CohortAvg"/>
    <n v="-1.1463430563325499E-2"/>
    <s v="CohortAvg"/>
    <n v="0.13640575973466859"/>
    <s v="CohortAvg"/>
    <n v="0"/>
    <s v="CohortAvg_NoData_ERROR"/>
    <n v="0"/>
    <s v="CohortAvg"/>
    <n v="0"/>
    <s v="Zero"/>
    <n v="0"/>
    <s v="CohortAvg"/>
    <n v="0"/>
    <s v="CohortAvg"/>
    <n v="0"/>
    <n v="-100.07"/>
    <n v="-98.92"/>
    <n v="98.09"/>
    <n v="0"/>
    <n v="0"/>
    <n v="0"/>
    <n v="0"/>
    <n v="8528.4599999999991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8629.36"/>
    <n v="0"/>
    <n v="0"/>
    <n v="0"/>
    <n v="0"/>
    <n v="0"/>
    <n v="8528.4599999999991"/>
    <s v="Forecast"/>
  </r>
  <r>
    <x v="15"/>
    <x v="4"/>
    <s v="202508"/>
    <n v="17"/>
    <n v="30007.58"/>
    <n v="-7.5403959506379729E-3"/>
    <s v="CohortAvg"/>
    <n v="-3.8809361256000349E-3"/>
    <s v="CohortAvg"/>
    <n v="0.13529701545725589"/>
    <s v="CohortAvg"/>
    <n v="0"/>
    <s v="CohortAvg_NoData_ERROR"/>
    <n v="0"/>
    <s v="CohortAvg"/>
    <n v="0"/>
    <s v="Zero"/>
    <n v="0"/>
    <s v="CohortAvg"/>
    <n v="0"/>
    <s v="CohortAvg"/>
    <n v="0"/>
    <n v="-226.27"/>
    <n v="-116.46"/>
    <n v="338.33"/>
    <n v="0"/>
    <n v="0"/>
    <n v="0"/>
    <n v="0"/>
    <n v="30003.18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30007.58"/>
    <n v="0"/>
    <n v="0"/>
    <n v="0"/>
    <n v="0"/>
    <n v="0"/>
    <n v="30003.18"/>
    <s v="Forecast"/>
  </r>
  <r>
    <x v="15"/>
    <x v="4"/>
    <s v="202509"/>
    <n v="16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0546"/>
    <n v="0"/>
    <s v="Manual+Seasonal(1.055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6"/>
    <x v="0"/>
    <s v="201912"/>
    <n v="86"/>
    <n v="309665.5"/>
    <n v="-4.5024474320798038E-4"/>
    <s v="CohortAvg"/>
    <n v="1.481663045622277E-3"/>
    <s v="CohortAvg"/>
    <n v="0"/>
    <s v="CohortAvg"/>
    <n v="2.890438194274085E-2"/>
    <s v="CohortAvg_NonZero"/>
    <n v="9.3897232848979772E-6"/>
    <s v="CohortAvg"/>
    <n v="0"/>
    <s v="Zero"/>
    <n v="0"/>
    <s v="CohortAvg"/>
    <n v="0"/>
    <s v="CohortAvg"/>
    <n v="0"/>
    <n v="-139.43"/>
    <n v="458.82"/>
    <n v="0"/>
    <n v="0"/>
    <n v="2.91"/>
    <n v="0"/>
    <n v="0"/>
    <n v="309064.34999999998"/>
    <n v="0.99670899999999996"/>
    <n v="1.04"/>
    <n v="1.0365740000000001"/>
    <s v="CohortAvg+Seasonal(1.040)"/>
    <n v="320367.96000000002"/>
    <n v="335161.49"/>
    <n v="-14793.53"/>
    <x v="0"/>
    <n v="0"/>
    <n v="0.78500000000000003"/>
    <n v="0.24"/>
    <n v="0"/>
    <n v="0"/>
    <n v="0"/>
    <n v="335161.49"/>
    <n v="309665.5"/>
    <n v="1.0823339999999999"/>
    <n v="-14793.53"/>
    <n v="-14790.62"/>
    <n v="0"/>
    <n v="-14790.62"/>
    <n v="323854.96999999997"/>
    <s v="Forecast"/>
  </r>
  <r>
    <x v="16"/>
    <x v="0"/>
    <s v="202001"/>
    <n v="85"/>
    <n v="49508.49"/>
    <n v="3.85391485499171E-2"/>
    <s v="CohortAvg"/>
    <n v="1.6539727016052939E-3"/>
    <s v="CohortAvg"/>
    <n v="0"/>
    <s v="CohortAvg"/>
    <n v="1.30914086421887E-2"/>
    <s v="CohortAvg_NonZero"/>
    <n v="0"/>
    <s v="CohortAvg"/>
    <n v="0"/>
    <s v="Zero"/>
    <n v="0"/>
    <s v="CohortAvg"/>
    <n v="0"/>
    <s v="CohortAvg"/>
    <n v="0"/>
    <n v="1908.01"/>
    <n v="81.89"/>
    <n v="0"/>
    <n v="0"/>
    <n v="0"/>
    <n v="0"/>
    <n v="0"/>
    <n v="47518.59"/>
    <n v="0.99839199999999995"/>
    <n v="1.04"/>
    <n v="1.038324"/>
    <s v="CohortAvg+Seasonal(1.040)"/>
    <n v="49339.68"/>
    <n v="53676.03"/>
    <n v="-4336.3500000000004"/>
    <x v="0"/>
    <n v="0"/>
    <n v="0.78500000000000003"/>
    <n v="0.24"/>
    <n v="0"/>
    <n v="0"/>
    <n v="0"/>
    <n v="53676.03"/>
    <n v="49508.49"/>
    <n v="1.0841780000000001"/>
    <n v="-4336.3500000000004"/>
    <n v="-4336.3500000000004"/>
    <n v="0"/>
    <n v="-4336.3500000000004"/>
    <n v="51854.94"/>
    <s v="Forecast"/>
  </r>
  <r>
    <x v="16"/>
    <x v="0"/>
    <s v="202101"/>
    <n v="73"/>
    <n v="691261.02"/>
    <n v="-5.1876438288258556E-3"/>
    <s v="CohortAvg"/>
    <n v="-2.049157398425175E-3"/>
    <s v="CohortAvg"/>
    <n v="0"/>
    <s v="CohortAvg"/>
    <n v="1.5425331183727209E-2"/>
    <s v="CohortAvg_NonZero"/>
    <n v="7.7506264365884767E-6"/>
    <s v="CohortAvg"/>
    <n v="0"/>
    <s v="Zero"/>
    <n v="0"/>
    <s v="CohortAvg"/>
    <n v="0"/>
    <s v="CohortAvg"/>
    <n v="0"/>
    <n v="-3586.02"/>
    <n v="-1416.5"/>
    <n v="0"/>
    <n v="0"/>
    <n v="5.36"/>
    <n v="0"/>
    <n v="0"/>
    <n v="686253.14"/>
    <n v="0.94485699999999995"/>
    <n v="1.04"/>
    <n v="0.98264700000000005"/>
    <s v="CohortAvg+Seasonal(1.040)"/>
    <n v="674344.5"/>
    <n v="709368.65"/>
    <n v="-35024.14"/>
    <x v="0"/>
    <n v="0"/>
    <n v="0.78500000000000003"/>
    <n v="0.24"/>
    <n v="0"/>
    <n v="0"/>
    <n v="0"/>
    <n v="709368.65"/>
    <n v="691261.02"/>
    <n v="1.026195"/>
    <n v="-35024.14"/>
    <n v="-35018.78"/>
    <n v="0"/>
    <n v="-35018.78"/>
    <n v="721271.93"/>
    <s v="Forecast"/>
  </r>
  <r>
    <x v="16"/>
    <x v="0"/>
    <s v="202201"/>
    <n v="53"/>
    <n v="128124.25"/>
    <n v="-0.11519886625850551"/>
    <s v="CohortAvg"/>
    <n v="-5.945326591234929E-3"/>
    <s v="CohortAvg"/>
    <n v="2.5325036892032401E-2"/>
    <s v="CohortAvg"/>
    <n v="4.264885619830594E-2"/>
    <s v="CohortAvg_NonZero"/>
    <n v="4.5348976609033004E-3"/>
    <s v="CohortAvg"/>
    <n v="0"/>
    <s v="Zero"/>
    <n v="-1.1719420948239489E-5"/>
    <s v="CohortAvg"/>
    <n v="-2.5817035388941922E-7"/>
    <s v="CohortAvg"/>
    <n v="0"/>
    <n v="-14759.77"/>
    <n v="-761.74"/>
    <n v="270.39999999999998"/>
    <n v="0"/>
    <n v="581.03"/>
    <n v="-1.5"/>
    <n v="-0.03"/>
    <n v="112292.11"/>
    <n v="0.58492599999999995"/>
    <n v="1.04"/>
    <n v="0.608321"/>
    <s v="CohortAvg+Seasonal(1.040)"/>
    <n v="68309.59"/>
    <n v="81356.88"/>
    <n v="-13047.29"/>
    <x v="0"/>
    <n v="0"/>
    <n v="0.78500000000000003"/>
    <n v="0.24"/>
    <n v="0"/>
    <n v="0"/>
    <n v="0"/>
    <n v="81356.88"/>
    <n v="128124.25"/>
    <n v="0.63498399999999999"/>
    <n v="-13047.29"/>
    <n v="-12466.26"/>
    <n v="0"/>
    <n v="-12466.26"/>
    <n v="124758.37"/>
    <s v="Forecast"/>
  </r>
  <r>
    <x v="16"/>
    <x v="0"/>
    <s v="202301"/>
    <n v="44"/>
    <n v="1575644.97"/>
    <n v="-6.9385997012344977E-2"/>
    <s v="CohortAvg"/>
    <n v="-1.684385773503793E-2"/>
    <s v="CohortAvg"/>
    <n v="0.20596087562276411"/>
    <s v="CohortAvg"/>
    <n v="6.6279983718967803E-2"/>
    <s v="CohortAvg_NonZero"/>
    <n v="1.1144081932066E-4"/>
    <s v="CohortAvg"/>
    <n v="0"/>
    <s v="Zero"/>
    <n v="-5.1721717313776734E-3"/>
    <s v="CohortAvg"/>
    <n v="-7.1094735735678728E-5"/>
    <s v="CohortAvg"/>
    <n v="0"/>
    <n v="-109327.7"/>
    <n v="-26539.94"/>
    <n v="27043.43"/>
    <n v="0"/>
    <n v="175.59"/>
    <n v="-8149.51"/>
    <n v="-112.02"/>
    <n v="1466645.18"/>
    <n v="0.61052099999999998"/>
    <n v="1.04"/>
    <n v="0.63493900000000003"/>
    <s v="CohortAvg+Seasonal(1.040)"/>
    <n v="931230.42"/>
    <n v="1042427.25"/>
    <n v="-111196.83"/>
    <x v="0"/>
    <n v="0"/>
    <n v="0.78500000000000003"/>
    <n v="0.24"/>
    <n v="0"/>
    <n v="0"/>
    <n v="0"/>
    <n v="1042427.25"/>
    <n v="1575644.97"/>
    <n v="0.66158799999999995"/>
    <n v="-111196.83"/>
    <n v="-111021.24"/>
    <n v="0"/>
    <n v="-111021.24"/>
    <n v="1577666.41"/>
    <s v="Forecast"/>
  </r>
  <r>
    <x v="16"/>
    <x v="0"/>
    <s v="202404"/>
    <n v="34"/>
    <n v="230913.28"/>
    <n v="-7.2351819596118416E-2"/>
    <s v="CohortAvg"/>
    <n v="-2.4075619573697589E-2"/>
    <s v="CohortAvg"/>
    <n v="0.25302463933511682"/>
    <s v="CohortAvg"/>
    <n v="0.10955383645003371"/>
    <s v="CohortAvg_NonZero"/>
    <n v="9.492490156534182E-5"/>
    <s v="CohortAvg"/>
    <n v="0"/>
    <s v="Zero"/>
    <n v="-7.6336546953384718E-3"/>
    <s v="CohortAvg"/>
    <n v="-1.5795546873676209E-4"/>
    <s v="CohortAvg"/>
    <n v="0"/>
    <n v="-16707"/>
    <n v="-5559.38"/>
    <n v="4868.8999999999996"/>
    <n v="0"/>
    <n v="21.92"/>
    <n v="-1762.71"/>
    <n v="-36.47"/>
    <n v="213493.88"/>
    <n v="0.450714"/>
    <n v="1.04"/>
    <n v="0.46874100000000002"/>
    <s v="CohortTrend+Seasonal(1.040)"/>
    <n v="100073.25"/>
    <n v="110520.54"/>
    <n v="-10447.290000000001"/>
    <x v="0"/>
    <n v="0"/>
    <n v="0.78500000000000003"/>
    <n v="0.24"/>
    <n v="0"/>
    <n v="0"/>
    <n v="0"/>
    <n v="110520.54"/>
    <n v="230913.28"/>
    <n v="0.47862399999999999"/>
    <n v="-10447.290000000001"/>
    <n v="-10425.370000000001"/>
    <n v="0"/>
    <n v="-10425.370000000001"/>
    <n v="223919.25"/>
    <s v="Forecast"/>
  </r>
  <r>
    <x v="16"/>
    <x v="0"/>
    <s v="202405"/>
    <n v="33"/>
    <n v="347025.3"/>
    <n v="-6.0909374685479772E-2"/>
    <s v="CohortAvg"/>
    <n v="-2.430607820878497E-2"/>
    <s v="CohortAvg"/>
    <n v="0.26165178468355338"/>
    <s v="CohortAvg"/>
    <n v="0.1058315072078562"/>
    <s v="CohortAvg_NonZero"/>
    <n v="1.504155601616775E-4"/>
    <s v="CohortAvg"/>
    <n v="0"/>
    <s v="Zero"/>
    <n v="-1.147281254039414E-2"/>
    <s v="CohortAvg"/>
    <n v="-2.020890949523099E-4"/>
    <s v="CohortAvg"/>
    <n v="0"/>
    <n v="-21137.09"/>
    <n v="-8434.82"/>
    <n v="7566.65"/>
    <n v="0"/>
    <n v="52.2"/>
    <n v="-3981.36"/>
    <n v="-70.13"/>
    <n v="324967.84000000003"/>
    <n v="0.39120300000000002"/>
    <n v="1.04"/>
    <n v="0.40684900000000002"/>
    <s v="CohortTrend+Seasonal(1.040)"/>
    <n v="132212.87"/>
    <n v="144622.54999999999"/>
    <n v="-12409.67"/>
    <x v="0"/>
    <n v="0"/>
    <n v="0.78500000000000003"/>
    <n v="0.24"/>
    <n v="0"/>
    <n v="0"/>
    <n v="0"/>
    <n v="144622.54999999999"/>
    <n v="347025.3"/>
    <n v="0.41674899999999998"/>
    <n v="-12409.67"/>
    <n v="-12357.47"/>
    <n v="0"/>
    <n v="-12357.47"/>
    <n v="337325.31"/>
    <s v="Forecast"/>
  </r>
  <r>
    <x v="16"/>
    <x v="0"/>
    <s v="202406"/>
    <n v="32"/>
    <n v="623090.73"/>
    <n v="-5.5991443178693222E-2"/>
    <s v="CohortAvg"/>
    <n v="-2.5467825513315102E-2"/>
    <s v="CohortAvg"/>
    <n v="0.28039469311859061"/>
    <s v="CohortAvg"/>
    <n v="6.6219301953665224E-2"/>
    <s v="CohortAvg_NonZero"/>
    <n v="1.457685863405216E-5"/>
    <s v="CohortAvg"/>
    <n v="0"/>
    <s v="Zero"/>
    <n v="-9.5571360549628927E-3"/>
    <s v="CohortAvg"/>
    <n v="-2.0771359894828181E-4"/>
    <s v="CohortAvg"/>
    <n v="0"/>
    <n v="-34887.75"/>
    <n v="-15868.77"/>
    <n v="14559.28"/>
    <n v="0"/>
    <n v="9.08"/>
    <n v="-5954.96"/>
    <n v="-129.41999999999999"/>
    <n v="586884.41"/>
    <n v="0.35056799999999999"/>
    <n v="1.04"/>
    <n v="0.364589"/>
    <s v="CohortTrend+Seasonal(1.040)"/>
    <n v="213971.69"/>
    <n v="232241.25"/>
    <n v="-18269.560000000001"/>
    <x v="0"/>
    <n v="0"/>
    <n v="0.78500000000000003"/>
    <n v="0.24"/>
    <n v="0"/>
    <n v="0"/>
    <n v="0"/>
    <n v="232241.25"/>
    <n v="623090.73"/>
    <n v="0.37272499999999997"/>
    <n v="-18269.560000000001"/>
    <n v="-18260.47"/>
    <n v="0"/>
    <n v="-18260.47"/>
    <n v="605144.88"/>
    <s v="Forecast"/>
  </r>
  <r>
    <x v="16"/>
    <x v="0"/>
    <s v="202407"/>
    <n v="31"/>
    <n v="655218.31000000006"/>
    <n v="-5.2860140985355963E-2"/>
    <s v="CohortAvg"/>
    <n v="-2.6783681484934731E-2"/>
    <s v="CohortAvg"/>
    <n v="0.28898216861533338"/>
    <s v="CohortAvg"/>
    <n v="7.3919786078981184E-2"/>
    <s v="CohortAvg_NonZero"/>
    <n v="1.8862082368348521E-5"/>
    <s v="CohortAvg"/>
    <n v="0"/>
    <s v="Zero"/>
    <n v="-1.213970195028871E-2"/>
    <s v="CohortAvg"/>
    <n v="-6.5295174004787674E-5"/>
    <s v="CohortAvg"/>
    <n v="0"/>
    <n v="-34634.93"/>
    <n v="-17549.16"/>
    <n v="15778.87"/>
    <n v="0"/>
    <n v="12.36"/>
    <n v="-7954.15"/>
    <n v="-42.78"/>
    <n v="618800.73"/>
    <n v="0.29559999999999997"/>
    <n v="1.04"/>
    <n v="0.307423"/>
    <s v="CohortTrend+Seasonal(1.040)"/>
    <n v="190233.47"/>
    <n v="206655.2"/>
    <n v="-16421.740000000002"/>
    <x v="0"/>
    <n v="0"/>
    <n v="0.78500000000000003"/>
    <n v="0.24"/>
    <n v="0"/>
    <n v="0"/>
    <n v="0"/>
    <n v="206655.2"/>
    <n v="655218.31000000006"/>
    <n v="0.31539899999999998"/>
    <n v="-16421.740000000002"/>
    <n v="-16409.38"/>
    <n v="0"/>
    <n v="-16409.38"/>
    <n v="635210.11"/>
    <s v="Forecast"/>
  </r>
  <r>
    <x v="16"/>
    <x v="0"/>
    <s v="202408"/>
    <n v="30"/>
    <n v="510461.42"/>
    <n v="-6.4851645098638694E-2"/>
    <s v="CohortAvg"/>
    <n v="-2.6139937896535379E-2"/>
    <s v="CohortAvg"/>
    <n v="0.27916695948777409"/>
    <s v="CohortAvg"/>
    <n v="9.7310966901136622E-2"/>
    <s v="CohortAvg_NonZero"/>
    <n v="1.2245496534763899E-4"/>
    <s v="CohortAvg"/>
    <n v="0"/>
    <s v="Zero"/>
    <n v="-1.3585580236205491E-2"/>
    <s v="CohortAvg"/>
    <n v="-3.1061076419542911E-4"/>
    <s v="CohortAvg"/>
    <n v="0"/>
    <n v="-33104.26"/>
    <n v="-13343.43"/>
    <n v="11875.33"/>
    <n v="0"/>
    <n v="62.51"/>
    <n v="-6934.91"/>
    <n v="-158.55000000000001"/>
    <n v="475826.55"/>
    <n v="0.27260099999999998"/>
    <n v="1.04"/>
    <n v="0.28350399999999998"/>
    <s v="CohortTrend+Seasonal(1.040)"/>
    <n v="134898.60999999999"/>
    <n v="148635.79999999999"/>
    <n v="-13737.19"/>
    <x v="0"/>
    <n v="0"/>
    <n v="0.78500000000000003"/>
    <n v="0.24"/>
    <n v="0"/>
    <n v="0"/>
    <n v="0"/>
    <n v="148635.79999999999"/>
    <n v="510461.42"/>
    <n v="0.29117900000000002"/>
    <n v="-13737.19"/>
    <n v="-13674.69"/>
    <n v="0"/>
    <n v="-13674.69"/>
    <n v="489501.23"/>
    <s v="Forecast"/>
  </r>
  <r>
    <x v="16"/>
    <x v="0"/>
    <s v="202409"/>
    <n v="29"/>
    <n v="436807.28"/>
    <n v="-7.0445361599012199E-2"/>
    <s v="CohortAvg"/>
    <n v="-2.9367210640216659E-2"/>
    <s v="CohortAvg"/>
    <n v="0.29645412206292782"/>
    <s v="CohortAvg"/>
    <n v="0.10149968008597229"/>
    <s v="CohortAvg_NonZero"/>
    <n v="3.3185299903355228E-4"/>
    <s v="CohortAvg"/>
    <n v="0"/>
    <s v="Zero"/>
    <n v="-1.5643965874350161E-2"/>
    <s v="CohortAvg"/>
    <n v="9.8118187134775005E-4"/>
    <s v="CohortAvg"/>
    <n v="0"/>
    <n v="-30771.05"/>
    <n v="-12827.81"/>
    <n v="10791.11"/>
    <n v="0"/>
    <n v="144.96"/>
    <n v="-6833.4"/>
    <n v="428.59"/>
    <n v="403854.58"/>
    <n v="0.25505"/>
    <n v="1.04"/>
    <n v="0.26525100000000001"/>
    <s v="CohortTrend+Seasonal(1.040)"/>
    <n v="107123"/>
    <n v="118943.62"/>
    <n v="-11820.62"/>
    <x v="0"/>
    <n v="0"/>
    <n v="0.78500000000000003"/>
    <n v="0.24"/>
    <n v="0"/>
    <n v="0"/>
    <n v="0"/>
    <n v="118943.62"/>
    <n v="436807.28"/>
    <n v="0.27230199999999999"/>
    <n v="-11820.62"/>
    <n v="-11675.66"/>
    <n v="0"/>
    <n v="-11675.66"/>
    <n v="415530.23999999999"/>
    <s v="Forecast"/>
  </r>
  <r>
    <x v="16"/>
    <x v="0"/>
    <s v="202410"/>
    <n v="28"/>
    <n v="668572.25"/>
    <n v="-6.4976093747611166E-2"/>
    <s v="CohortAvg"/>
    <n v="-2.985798391092542E-2"/>
    <s v="CohortAvg"/>
    <n v="0.29598460069033672"/>
    <s v="CohortAvg"/>
    <n v="9.116821091361256E-2"/>
    <s v="CohortAvg_NonZero"/>
    <n v="8.4075925258744849E-5"/>
    <s v="CohortAvg"/>
    <n v="0"/>
    <s v="Zero"/>
    <n v="-1.924505232307016E-2"/>
    <s v="CohortAvg"/>
    <n v="-2.8218637197735861E-4"/>
    <s v="CohortAvg"/>
    <n v="0"/>
    <n v="-43441.21"/>
    <n v="-19962.22"/>
    <n v="16490.59"/>
    <n v="0"/>
    <n v="56.21"/>
    <n v="-12866.71"/>
    <n v="-188.66"/>
    <n v="621603.19999999995"/>
    <n v="0.24076900000000001"/>
    <n v="1.04"/>
    <n v="0.25039899999999998"/>
    <s v="CohortTrend+Seasonal(1.040)"/>
    <n v="155648.6"/>
    <n v="172050.48"/>
    <n v="-16401.88"/>
    <x v="0"/>
    <n v="0"/>
    <n v="0.78500000000000003"/>
    <n v="0.24"/>
    <n v="0"/>
    <n v="0"/>
    <n v="0"/>
    <n v="172050.48"/>
    <n v="668572.25"/>
    <n v="0.25734000000000001"/>
    <n v="-16401.88"/>
    <n v="-16345.67"/>
    <n v="0"/>
    <n v="-16345.67"/>
    <n v="637948.87"/>
    <s v="Forecast"/>
  </r>
  <r>
    <x v="16"/>
    <x v="0"/>
    <s v="202411"/>
    <n v="27"/>
    <n v="709402.19"/>
    <n v="-6.9577288886523231E-2"/>
    <s v="CohortAvg"/>
    <n v="-3.0854749020229659E-2"/>
    <s v="CohortAvg"/>
    <n v="0.31665365383451999"/>
    <s v="CohortAvg"/>
    <n v="8.1103914281390785E-2"/>
    <s v="CohortAvg_NonZero"/>
    <n v="1.101002306123435E-5"/>
    <s v="CohortAvg"/>
    <n v="0"/>
    <s v="Zero"/>
    <n v="-1.8418343656748611E-2"/>
    <s v="CohortAvg"/>
    <n v="-3.6862271741040981E-4"/>
    <s v="CohortAvg"/>
    <n v="0"/>
    <n v="-49358.28"/>
    <n v="-21888.43"/>
    <n v="18719.57"/>
    <n v="0"/>
    <n v="7.81"/>
    <n v="-13066.01"/>
    <n v="-261.5"/>
    <n v="656867.24"/>
    <n v="0.23539099999999999"/>
    <n v="1.04"/>
    <n v="0.244806"/>
    <s v="CohortTrend+Seasonal(1.040)"/>
    <n v="160804.89000000001"/>
    <n v="178128.71"/>
    <n v="-17323.82"/>
    <x v="0"/>
    <n v="0"/>
    <n v="0.78500000000000003"/>
    <n v="0.24"/>
    <n v="0"/>
    <n v="0"/>
    <n v="0"/>
    <n v="178128.71"/>
    <n v="709402.19"/>
    <n v="0.25109700000000001"/>
    <n v="-17323.82"/>
    <n v="-17316.009999999998"/>
    <n v="0"/>
    <n v="-17316.009999999998"/>
    <n v="674183.25"/>
    <s v="Forecast"/>
  </r>
  <r>
    <x v="16"/>
    <x v="0"/>
    <s v="202412"/>
    <n v="26"/>
    <n v="830182.97"/>
    <n v="-6.5980369774316192E-2"/>
    <s v="CohortAvg"/>
    <n v="-3.2052744673390039E-2"/>
    <s v="CohortAvg"/>
    <n v="0.3262543429456557"/>
    <s v="CohortAvg"/>
    <n v="7.7600408310619137E-2"/>
    <s v="CohortAvg_NonZero"/>
    <n v="3.5255126471770292E-5"/>
    <s v="CohortAvg"/>
    <n v="0"/>
    <s v="Zero"/>
    <n v="-3.3114630621275488E-2"/>
    <s v="CohortAvg"/>
    <n v="-4.4175542013227917E-4"/>
    <s v="CohortAvg"/>
    <n v="0"/>
    <n v="-54775.78"/>
    <n v="-26609.64"/>
    <n v="22570.9"/>
    <n v="0"/>
    <n v="29.27"/>
    <n v="-27491.200000000001"/>
    <n v="-366.74"/>
    <n v="771339.18"/>
    <n v="0.242504"/>
    <n v="1.04"/>
    <n v="0.25220399999999998"/>
    <s v="CohortTrend+Seasonal(1.040)"/>
    <n v="194534.55"/>
    <n v="213484.05"/>
    <n v="-18949.5"/>
    <x v="0"/>
    <n v="0"/>
    <n v="0.78500000000000003"/>
    <n v="0.24"/>
    <n v="0"/>
    <n v="0"/>
    <n v="0"/>
    <n v="213484.05"/>
    <n v="830182.97"/>
    <n v="0.25715300000000002"/>
    <n v="-18949.5"/>
    <n v="-18920.23"/>
    <n v="0"/>
    <n v="-18920.23"/>
    <n v="790259.41"/>
    <s v="Forecast"/>
  </r>
  <r>
    <x v="16"/>
    <x v="0"/>
    <s v="202501"/>
    <n v="25"/>
    <n v="1045845.72"/>
    <n v="-6.3559206985023362E-2"/>
    <s v="CohortAvg"/>
    <n v="-3.1446808238104952E-2"/>
    <s v="CohortAvg"/>
    <n v="0.33553108019596167"/>
    <s v="CohortAvg"/>
    <n v="6.7988922774150404E-2"/>
    <s v="CohortAvg_NonZero"/>
    <n v="8.2770692752423265E-5"/>
    <s v="CohortAvg"/>
    <n v="0"/>
    <s v="Zero"/>
    <n v="-4.6082233656815741E-2"/>
    <s v="CohortAvg"/>
    <n v="-9.0728082033569683E-4"/>
    <s v="CohortAvg"/>
    <n v="0"/>
    <n v="-66473.119999999995"/>
    <n v="-32888.51"/>
    <n v="29242.81"/>
    <n v="0"/>
    <n v="86.57"/>
    <n v="-48194.91"/>
    <n v="-948.88"/>
    <n v="975640.34"/>
    <n v="0.24432000000000001"/>
    <n v="1.04"/>
    <n v="0.25409199999999998"/>
    <s v="CohortTrend+Seasonal(1.040)"/>
    <n v="247902.22"/>
    <n v="269784.12"/>
    <n v="-21881.9"/>
    <x v="0"/>
    <n v="0"/>
    <n v="0.78500000000000003"/>
    <n v="0.24"/>
    <n v="0"/>
    <n v="0"/>
    <n v="0"/>
    <n v="269784.12"/>
    <n v="1045845.72"/>
    <n v="0.25795800000000002"/>
    <n v="-21881.9"/>
    <n v="-21795.34"/>
    <n v="0"/>
    <n v="-21795.34"/>
    <n v="997435.67"/>
    <s v="Forecast"/>
  </r>
  <r>
    <x v="16"/>
    <x v="0"/>
    <s v="202502"/>
    <n v="24"/>
    <n v="1661861.14"/>
    <n v="-6.4712455239677058E-2"/>
    <s v="CohortAvg"/>
    <n v="-3.1807051591802263E-2"/>
    <s v="CohortAvg"/>
    <n v="0.3521412089279406"/>
    <s v="CohortAvg"/>
    <n v="3.998692231072825E-2"/>
    <s v="CohortAvg_NonZero"/>
    <n v="1.180524068592642E-4"/>
    <s v="CohortAvg"/>
    <n v="0"/>
    <s v="Zero"/>
    <n v="-0.1003523399462246"/>
    <s v="CohortAvg"/>
    <n v="-2.169844335861479E-3"/>
    <s v="CohortAvg"/>
    <n v="0"/>
    <n v="-107543.11"/>
    <n v="-52858.9"/>
    <n v="48767.48"/>
    <n v="0"/>
    <n v="196.19"/>
    <n v="-166771.65"/>
    <n v="-3605.98"/>
    <n v="1550030.42"/>
    <n v="0.236489"/>
    <n v="1.04"/>
    <n v="0.245947"/>
    <s v="CohortTrend+Seasonal(1.040)"/>
    <n v="381225.82"/>
    <n v="414510.17"/>
    <n v="-33284.35"/>
    <x v="0"/>
    <n v="0"/>
    <n v="0.78500000000000003"/>
    <n v="0.24"/>
    <n v="0"/>
    <n v="0"/>
    <n v="0"/>
    <n v="414510.17"/>
    <n v="1661861.14"/>
    <n v="0.24942500000000001"/>
    <n v="-33284.35"/>
    <n v="-33088.160000000003"/>
    <n v="0"/>
    <n v="-33088.160000000003"/>
    <n v="1583118.58"/>
    <s v="Forecast"/>
  </r>
  <r>
    <x v="16"/>
    <x v="0"/>
    <s v="202503"/>
    <n v="23"/>
    <n v="2736971.33"/>
    <n v="-5.4844987504028338E-2"/>
    <s v="CohortAvg"/>
    <n v="-3.4951838141523799E-2"/>
    <s v="CohortAvg"/>
    <n v="0.42518215739373211"/>
    <s v="CohortAvg"/>
    <n v="2.337347755521255E-2"/>
    <s v="CohortAvg_NonZero"/>
    <n v="7.0865606180425347E-6"/>
    <s v="CohortAvg"/>
    <n v="0"/>
    <s v="Zero"/>
    <n v="0"/>
    <s v="CohortAvg"/>
    <n v="0"/>
    <s v="CohortAvg"/>
    <n v="0"/>
    <n v="-150109.16"/>
    <n v="-95662.18"/>
    <n v="96975.95"/>
    <n v="0"/>
    <n v="19.399999999999999"/>
    <n v="0"/>
    <n v="0"/>
    <n v="2588156.5499999998"/>
    <n v="0.23316999999999999"/>
    <n v="1.04"/>
    <n v="0.24249599999999999"/>
    <s v="CohortTrend+Seasonal(1.040)"/>
    <n v="627617.5"/>
    <n v="671067.06000000006"/>
    <n v="-43449.56"/>
    <x v="0"/>
    <n v="0"/>
    <n v="0.78500000000000003"/>
    <n v="0.24"/>
    <n v="0"/>
    <n v="0"/>
    <n v="0"/>
    <n v="671067.06000000006"/>
    <n v="2736971.33"/>
    <n v="0.24518599999999999"/>
    <n v="-43449.56"/>
    <n v="-43430.17"/>
    <n v="0"/>
    <n v="-43430.17"/>
    <n v="2631586.7200000002"/>
    <s v="Forecast"/>
  </r>
  <r>
    <x v="16"/>
    <x v="0"/>
    <s v="202504"/>
    <n v="22"/>
    <n v="3623780.06"/>
    <n v="-5.3655063379588953E-2"/>
    <s v="CohortAvg"/>
    <n v="-3.741824539126954E-2"/>
    <s v="CohortAvg"/>
    <n v="0.43759708620974158"/>
    <s v="CohortAvg"/>
    <n v="1.013329171740706E-2"/>
    <s v="CohortAvg_NonZero"/>
    <n v="1.6420948681376011E-6"/>
    <s v="CohortAvg"/>
    <n v="0"/>
    <s v="Zero"/>
    <n v="0"/>
    <s v="CohortAvg"/>
    <n v="0"/>
    <s v="CohortAvg"/>
    <n v="0"/>
    <n v="-194434.15"/>
    <n v="-135595.49"/>
    <n v="132146.29999999999"/>
    <n v="0"/>
    <n v="5.95"/>
    <n v="0"/>
    <n v="0"/>
    <n v="3425890.77"/>
    <n v="0.23114599999999999"/>
    <n v="1.04"/>
    <n v="0.24039099999999999"/>
    <s v="CohortTrend+Seasonal(1.040)"/>
    <n v="823553.42"/>
    <n v="877323.04"/>
    <n v="-53769.62"/>
    <x v="0"/>
    <n v="0"/>
    <n v="0.78500000000000003"/>
    <n v="0.24"/>
    <n v="0"/>
    <n v="0"/>
    <n v="0"/>
    <n v="877323.04"/>
    <n v="3623780.06"/>
    <n v="0.24210200000000001"/>
    <n v="-53769.62"/>
    <n v="-53763.67"/>
    <n v="0"/>
    <n v="-53763.67"/>
    <n v="3479654.44"/>
    <s v="Forecast"/>
  </r>
  <r>
    <x v="16"/>
    <x v="0"/>
    <s v="202505"/>
    <n v="21"/>
    <n v="5211563.08"/>
    <n v="-4.6614793012007993E-2"/>
    <s v="CohortAvg"/>
    <n v="-3.6646922846425269E-2"/>
    <s v="CohortAvg"/>
    <n v="0.44182376888466252"/>
    <s v="CohortAvg"/>
    <n v="0"/>
    <s v="CohortAvg_NoData_ERROR"/>
    <n v="9.2619483345260096E-7"/>
    <s v="CohortAvg"/>
    <n v="0"/>
    <s v="Zero"/>
    <n v="0"/>
    <s v="CohortAvg"/>
    <n v="0"/>
    <s v="CohortAvg"/>
    <n v="0"/>
    <n v="-242935.93"/>
    <n v="-190987.75"/>
    <n v="191882.7"/>
    <n v="0"/>
    <n v="4.83"/>
    <n v="0"/>
    <n v="0"/>
    <n v="4969517.2699999996"/>
    <n v="0.228654"/>
    <n v="1.04"/>
    <n v="0.23779900000000001"/>
    <s v="CohortTrend+Seasonal(1.040)"/>
    <n v="1181745.76"/>
    <n v="1242404.83"/>
    <n v="-60659.07"/>
    <x v="0"/>
    <n v="0"/>
    <n v="0.78500000000000003"/>
    <n v="0.24"/>
    <n v="0"/>
    <n v="0"/>
    <n v="0"/>
    <n v="1242404.83"/>
    <n v="5211563.08"/>
    <n v="0.23839399999999999"/>
    <n v="-60659.07"/>
    <n v="-60654.239999999998"/>
    <n v="0"/>
    <n v="-60654.239999999998"/>
    <n v="5030171.5199999996"/>
    <s v="Forecast"/>
  </r>
  <r>
    <x v="16"/>
    <x v="0"/>
    <s v="202506"/>
    <n v="20"/>
    <n v="5996148.1500000004"/>
    <n v="-4.5091040481030277E-2"/>
    <s v="CohortAvg"/>
    <n v="-3.8121261622125417E-2"/>
    <s v="CohortAvg"/>
    <n v="0.45830589414869"/>
    <s v="CohortAvg"/>
    <n v="0"/>
    <s v="CohortAvg_NoData_ERROR"/>
    <n v="0"/>
    <s v="CohortAvg"/>
    <n v="0"/>
    <s v="Zero"/>
    <n v="0"/>
    <s v="CohortAvg"/>
    <n v="0"/>
    <s v="CohortAvg"/>
    <n v="0"/>
    <n v="-270372.56"/>
    <n v="-228580.73"/>
    <n v="229005.84"/>
    <n v="0"/>
    <n v="0"/>
    <n v="0"/>
    <n v="0"/>
    <n v="5726200.7000000002"/>
    <n v="0.226382"/>
    <n v="1.04"/>
    <n v="0.23543700000000001"/>
    <s v="CohortTrend+Seasonal(1.040)"/>
    <n v="1348158.32"/>
    <n v="1242053.44"/>
    <n v="106104.87"/>
    <x v="0"/>
    <n v="0"/>
    <n v="0.78500000000000003"/>
    <n v="0.24"/>
    <n v="0"/>
    <n v="0"/>
    <n v="0"/>
    <n v="1242053.44"/>
    <n v="5996148.1500000004"/>
    <n v="0.20714199999999999"/>
    <n v="106104.87"/>
    <n v="106104.87"/>
    <n v="0"/>
    <n v="106104.87"/>
    <n v="5620095.8200000003"/>
    <s v="Forecast"/>
  </r>
  <r>
    <x v="16"/>
    <x v="0"/>
    <s v="202507"/>
    <n v="19"/>
    <n v="7621239.7699999996"/>
    <n v="-4.3317919513220539E-2"/>
    <s v="CohortAvg"/>
    <n v="-4.0819013276596428E-2"/>
    <s v="CohortAvg"/>
    <n v="0.45716999428377958"/>
    <s v="CohortAvg"/>
    <n v="0"/>
    <s v="CohortAvg_NoData_ERROR"/>
    <n v="1.325417257939411E-5"/>
    <s v="CohortAvg"/>
    <n v="0"/>
    <s v="Zero"/>
    <n v="0"/>
    <s v="CohortAvg"/>
    <n v="0"/>
    <s v="CohortAvg"/>
    <n v="0"/>
    <n v="-330136.25"/>
    <n v="-311091.49"/>
    <n v="290350.18"/>
    <n v="0"/>
    <n v="101.01"/>
    <n v="0"/>
    <n v="0"/>
    <n v="7270261.2000000002"/>
    <n v="0.190751"/>
    <n v="1.04"/>
    <n v="0.19838"/>
    <s v="DonorCohort:202101+Seasonal(1.040)"/>
    <n v="1442275.76"/>
    <n v="1462926.57"/>
    <n v="-20650.810000000001"/>
    <x v="0"/>
    <n v="0"/>
    <n v="0.78500000000000003"/>
    <n v="0.24"/>
    <n v="0"/>
    <n v="0"/>
    <n v="0"/>
    <n v="1462926.57"/>
    <n v="7621239.7699999996"/>
    <n v="0.19195400000000001"/>
    <n v="-20650.810000000001"/>
    <n v="-20549.79"/>
    <n v="0"/>
    <n v="-20549.79"/>
    <n v="7290810.9900000002"/>
    <s v="Forecast"/>
  </r>
  <r>
    <x v="16"/>
    <x v="0"/>
    <s v="202508"/>
    <n v="18"/>
    <n v="6468272.6500000004"/>
    <n v="-4.8728055865864588E-2"/>
    <s v="CohortAvg"/>
    <n v="-3.2541102983179408E-2"/>
    <s v="CohortAvg"/>
    <n v="0.45797640933047518"/>
    <s v="CohortAvg"/>
    <n v="0"/>
    <s v="CohortAvg_NoData_ERROR"/>
    <n v="1.1354963607435469E-5"/>
    <s v="CohortAvg"/>
    <n v="0"/>
    <s v="Zero"/>
    <n v="0"/>
    <s v="CohortAvg"/>
    <n v="0"/>
    <s v="CohortAvg"/>
    <n v="0"/>
    <n v="-315186.34999999998"/>
    <n v="-210484.73"/>
    <n v="246859.69"/>
    <n v="0"/>
    <n v="73.45"/>
    <n v="0"/>
    <n v="0"/>
    <n v="6189387.8200000003"/>
    <n v="0.17676500000000001"/>
    <n v="1.04"/>
    <n v="0.183835"/>
    <s v="DonorCohort:202101+Seasonal(1.040)"/>
    <n v="1137823.6599999999"/>
    <n v="1259173.8600000001"/>
    <n v="-121350.2"/>
    <x v="0"/>
    <n v="0"/>
    <n v="0.78500000000000003"/>
    <n v="0.24"/>
    <n v="0"/>
    <n v="0"/>
    <n v="0"/>
    <n v="1259173.8600000001"/>
    <n v="6468272.6500000004"/>
    <n v="0.19466900000000001"/>
    <n v="-121350.2"/>
    <n v="-121276.75"/>
    <n v="0"/>
    <n v="-121276.75"/>
    <n v="6310664.5700000003"/>
    <s v="Forecast"/>
  </r>
  <r>
    <x v="16"/>
    <x v="0"/>
    <s v="202509"/>
    <n v="17"/>
    <n v="36175.19"/>
    <n v="-0.40649757360228361"/>
    <s v="CohortAvg"/>
    <n v="-8.44897839701204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4705.13"/>
    <n v="-3056.43"/>
    <n v="1507.3"/>
    <n v="0"/>
    <n v="0"/>
    <n v="0"/>
    <n v="0"/>
    <n v="19920.93"/>
    <n v="0.17926500000000001"/>
    <n v="1.04"/>
    <n v="0.18643499999999999"/>
    <s v="DonorCohort:202101+Seasonal(1.040)"/>
    <n v="3713.96"/>
    <n v="7502.7"/>
    <n v="-3788.74"/>
    <x v="0"/>
    <n v="0"/>
    <n v="0.78500000000000003"/>
    <n v="0.24"/>
    <n v="0"/>
    <n v="0"/>
    <n v="0"/>
    <n v="7502.7"/>
    <n v="36175.19"/>
    <n v="0.207399"/>
    <n v="-3788.74"/>
    <n v="-3788.74"/>
    <n v="0"/>
    <n v="-3788.74"/>
    <n v="23709.67"/>
    <s v="Forecast"/>
  </r>
  <r>
    <x v="16"/>
    <x v="1"/>
    <s v="202301"/>
    <n v="39"/>
    <n v="862336.12"/>
    <n v="-8.5102214892421313E-3"/>
    <s v="CohortAvg"/>
    <n v="-4.5773918793759368E-3"/>
    <s v="CohortAvg"/>
    <n v="8.9154797755883183E-2"/>
    <s v="CohortAvg"/>
    <n v="2.3829795439375769E-2"/>
    <s v="CohortAvg_NonZero"/>
    <n v="0"/>
    <s v="CohortAvg"/>
    <n v="0"/>
    <s v="Zero"/>
    <n v="0"/>
    <s v="CohortAvg"/>
    <n v="0"/>
    <s v="CohortAvg"/>
    <n v="0"/>
    <n v="-7338.67"/>
    <n v="-3947.25"/>
    <n v="6406.78"/>
    <n v="0"/>
    <n v="0"/>
    <n v="0"/>
    <n v="0"/>
    <n v="857456.99"/>
    <n v="0.41617300000000002"/>
    <n v="0.86209999999999998"/>
    <n v="0.35877199999999998"/>
    <s v="CohortTrend+Seasonal(0.862)"/>
    <n v="307631.2"/>
    <n v="257526.96"/>
    <n v="50104.23"/>
    <x v="0"/>
    <n v="0"/>
    <n v="0.78500000000000003"/>
    <n v="0.24"/>
    <n v="0"/>
    <n v="0"/>
    <n v="0"/>
    <n v="257526.96"/>
    <n v="862336.12"/>
    <n v="0.29863899999999999"/>
    <n v="50104.23"/>
    <n v="50104.23"/>
    <n v="0"/>
    <n v="50104.23"/>
    <n v="807352.75"/>
    <s v="Forecast"/>
  </r>
  <r>
    <x v="16"/>
    <x v="1"/>
    <s v="202404"/>
    <n v="34"/>
    <n v="90098.08"/>
    <n v="-6.336519214233767E-2"/>
    <s v="CohortAvg"/>
    <n v="-1.522583432490659E-2"/>
    <s v="CohortAvg"/>
    <n v="0.15655926055823041"/>
    <s v="CohortAvg"/>
    <n v="5.0280890344328283E-2"/>
    <s v="CohortAvg_NonZero"/>
    <n v="0"/>
    <s v="CohortAvg"/>
    <n v="0"/>
    <s v="Zero"/>
    <n v="0"/>
    <s v="CohortAvg"/>
    <n v="0"/>
    <s v="CohortAvg"/>
    <n v="0"/>
    <n v="-5709.08"/>
    <n v="-1371.82"/>
    <n v="1175.47"/>
    <n v="0"/>
    <n v="0"/>
    <n v="0"/>
    <n v="0"/>
    <n v="84192.66"/>
    <n v="0.230132"/>
    <n v="0.86209999999999998"/>
    <n v="0.19839000000000001"/>
    <s v="CohortTrend+Seasonal(0.862)"/>
    <n v="16703.02"/>
    <n v="14972.77"/>
    <n v="1730.25"/>
    <x v="0"/>
    <n v="0"/>
    <n v="0.78500000000000003"/>
    <n v="0.24"/>
    <n v="0"/>
    <n v="0"/>
    <n v="0"/>
    <n v="14972.77"/>
    <n v="90098.08"/>
    <n v="0.166183"/>
    <n v="1730.25"/>
    <n v="1730.25"/>
    <n v="0"/>
    <n v="1730.25"/>
    <n v="82462.41"/>
    <s v="Forecast"/>
  </r>
  <r>
    <x v="16"/>
    <x v="1"/>
    <s v="202405"/>
    <n v="33"/>
    <n v="249412.33"/>
    <n v="-1.180120270973652E-2"/>
    <s v="CohortAvg"/>
    <n v="-1.272795581759247E-2"/>
    <s v="CohortAvg"/>
    <n v="0.14727750439981299"/>
    <s v="CohortAvg"/>
    <n v="6.9799632674182377E-2"/>
    <s v="CohortAvg_NonZero"/>
    <n v="4.7463454947233483E-8"/>
    <s v="CohortAvg"/>
    <n v="0"/>
    <s v="Zero"/>
    <n v="0"/>
    <s v="CohortAvg"/>
    <n v="0"/>
    <s v="CohortAvg"/>
    <n v="0"/>
    <n v="-2943.37"/>
    <n v="-3174.51"/>
    <n v="3061.07"/>
    <n v="0"/>
    <n v="0.01"/>
    <n v="0"/>
    <n v="0"/>
    <n v="246355.51"/>
    <n v="0.40840100000000001"/>
    <n v="0.86209999999999998"/>
    <n v="0.352072"/>
    <s v="CohortTrend+Seasonal(0.862)"/>
    <n v="86734.86"/>
    <n v="72395.740000000005"/>
    <n v="14339.12"/>
    <x v="0"/>
    <n v="0"/>
    <n v="0.78500000000000003"/>
    <n v="0.24"/>
    <n v="0"/>
    <n v="0"/>
    <n v="0"/>
    <n v="72395.740000000005"/>
    <n v="249412.33"/>
    <n v="0.290265"/>
    <n v="14339.12"/>
    <n v="14339.13"/>
    <n v="0"/>
    <n v="14339.13"/>
    <n v="232016.38"/>
    <s v="Forecast"/>
  </r>
  <r>
    <x v="16"/>
    <x v="1"/>
    <s v="202406"/>
    <n v="32"/>
    <n v="145248.04"/>
    <n v="-1.55118396178929E-2"/>
    <s v="CohortAvg"/>
    <n v="-1.4881902906073949E-2"/>
    <s v="CohortAvg"/>
    <n v="0.17823023683294029"/>
    <s v="CohortAvg"/>
    <n v="5.620844502272148E-2"/>
    <s v="CohortAvg_NonZero"/>
    <n v="0"/>
    <s v="CohortAvg"/>
    <n v="0"/>
    <s v="Zero"/>
    <n v="0"/>
    <s v="CohortAvg"/>
    <n v="0"/>
    <s v="CohortAvg"/>
    <n v="0"/>
    <n v="-2253.06"/>
    <n v="-2161.5700000000002"/>
    <n v="2157.3000000000002"/>
    <n v="0"/>
    <n v="0"/>
    <n v="0"/>
    <n v="0"/>
    <n v="142990.71"/>
    <n v="0.28279399999999999"/>
    <n v="0.86209999999999998"/>
    <n v="0.24378900000000001"/>
    <s v="CohortTrend+Seasonal(0.862)"/>
    <n v="34859.57"/>
    <n v="29266.240000000002"/>
    <n v="5593.33"/>
    <x v="0"/>
    <n v="0"/>
    <n v="0.78500000000000003"/>
    <n v="0.24"/>
    <n v="0"/>
    <n v="0"/>
    <n v="0"/>
    <n v="29266.240000000002"/>
    <n v="145248.04"/>
    <n v="0.201491"/>
    <n v="5593.33"/>
    <n v="5593.33"/>
    <n v="0"/>
    <n v="5593.33"/>
    <n v="137397.38"/>
    <s v="Forecast"/>
  </r>
  <r>
    <x v="16"/>
    <x v="1"/>
    <s v="202407"/>
    <n v="31"/>
    <n v="150895.32999999999"/>
    <n v="-4.2421944005059518E-2"/>
    <s v="CohortAvg"/>
    <n v="-1.532787003156264E-2"/>
    <s v="CohortAvg"/>
    <n v="0.169050037713635"/>
    <s v="CohortAvg"/>
    <n v="8.2761551975630079E-2"/>
    <s v="CohortAvg_NonZero"/>
    <n v="0"/>
    <s v="CohortAvg"/>
    <n v="0"/>
    <s v="Zero"/>
    <n v="0"/>
    <s v="CohortAvg"/>
    <n v="0"/>
    <s v="CohortAvg"/>
    <n v="0"/>
    <n v="-6401.27"/>
    <n v="-2312.9"/>
    <n v="2125.7399999999998"/>
    <n v="0"/>
    <n v="0"/>
    <n v="0"/>
    <n v="0"/>
    <n v="144306.9"/>
    <n v="0.25464599999999998"/>
    <n v="0.86209999999999998"/>
    <n v="0.219524"/>
    <s v="CohortTrend+Seasonal(0.862)"/>
    <n v="31678.78"/>
    <n v="27525.98"/>
    <n v="4152.8"/>
    <x v="0"/>
    <n v="0"/>
    <n v="0.78500000000000003"/>
    <n v="0.24"/>
    <n v="0"/>
    <n v="0"/>
    <n v="0"/>
    <n v="27525.98"/>
    <n v="150895.32999999999"/>
    <n v="0.182418"/>
    <n v="4152.8"/>
    <n v="4152.8"/>
    <n v="0"/>
    <n v="4152.8"/>
    <n v="140154.1"/>
    <s v="Forecast"/>
  </r>
  <r>
    <x v="16"/>
    <x v="1"/>
    <s v="202408"/>
    <n v="30"/>
    <n v="123806.81"/>
    <n v="-6.2215206997643401E-2"/>
    <s v="CohortAvg"/>
    <n v="-1.6602930518811749E-2"/>
    <s v="CohortAvg"/>
    <n v="0.1829501122188702"/>
    <s v="CohortAvg"/>
    <n v="0.1104761026857973"/>
    <s v="CohortAvg_NonZero"/>
    <n v="1.517150597973738E-10"/>
    <s v="CohortAvg"/>
    <n v="0"/>
    <s v="Zero"/>
    <n v="0"/>
    <s v="CohortAvg"/>
    <n v="0"/>
    <s v="CohortAvg"/>
    <n v="0"/>
    <n v="-7702.67"/>
    <n v="-2055.56"/>
    <n v="1887.54"/>
    <n v="0"/>
    <n v="0"/>
    <n v="0"/>
    <n v="0"/>
    <n v="115936.13"/>
    <n v="0.26279400000000003"/>
    <n v="0.86209999999999998"/>
    <n v="0.226548"/>
    <s v="CohortTrend+Seasonal(0.862)"/>
    <n v="26265.09"/>
    <n v="23272.15"/>
    <n v="2992.95"/>
    <x v="0"/>
    <n v="0"/>
    <n v="0.78500000000000003"/>
    <n v="0.24"/>
    <n v="0"/>
    <n v="0"/>
    <n v="0"/>
    <n v="23272.15"/>
    <n v="123806.81"/>
    <n v="0.187971"/>
    <n v="2992.95"/>
    <n v="2992.95"/>
    <n v="0"/>
    <n v="2992.95"/>
    <n v="112943.18"/>
    <s v="Forecast"/>
  </r>
  <r>
    <x v="16"/>
    <x v="1"/>
    <s v="202409"/>
    <n v="29"/>
    <n v="282626.42"/>
    <n v="-4.0970396995032327E-2"/>
    <s v="CohortAvg"/>
    <n v="-1.507372259302771E-2"/>
    <s v="CohortAvg"/>
    <n v="0.1823245626432097"/>
    <s v="CohortAvg"/>
    <n v="3.1827057093683671E-2"/>
    <s v="CohortAvg_NonZero"/>
    <n v="0"/>
    <s v="CohortAvg"/>
    <n v="0"/>
    <s v="Zero"/>
    <n v="0"/>
    <s v="CohortAvg"/>
    <n v="0"/>
    <s v="CohortAvg"/>
    <n v="0"/>
    <n v="-11579.32"/>
    <n v="-4260.2299999999996"/>
    <n v="4294.1400000000003"/>
    <n v="0"/>
    <n v="0"/>
    <n v="0"/>
    <n v="0"/>
    <n v="271081.01"/>
    <n v="0.30312"/>
    <n v="0.86209999999999998"/>
    <n v="0.26131199999999999"/>
    <s v="CohortTrend+Seasonal(0.862)"/>
    <n v="70836.69"/>
    <n v="60752.25"/>
    <n v="10084.44"/>
    <x v="0"/>
    <n v="0"/>
    <n v="0.78500000000000003"/>
    <n v="0.24"/>
    <n v="0"/>
    <n v="0"/>
    <n v="0"/>
    <n v="60752.25"/>
    <n v="282626.42"/>
    <n v="0.21495600000000001"/>
    <n v="10084.44"/>
    <n v="10084.44"/>
    <n v="0"/>
    <n v="10084.44"/>
    <n v="260996.57"/>
    <s v="Forecast"/>
  </r>
  <r>
    <x v="16"/>
    <x v="1"/>
    <s v="202410"/>
    <n v="28"/>
    <n v="288814.76"/>
    <n v="-1.2656402562593819E-2"/>
    <s v="CohortAvg"/>
    <n v="-1.8272837841682339E-2"/>
    <s v="CohortAvg"/>
    <n v="0.18755897191960039"/>
    <s v="CohortAvg"/>
    <n v="3.5382620338936639E-2"/>
    <s v="CohortAvg_NonZero"/>
    <n v="6.6563050684546704E-8"/>
    <s v="CohortAvg"/>
    <n v="0"/>
    <s v="Zero"/>
    <n v="0"/>
    <s v="CohortAvg"/>
    <n v="0"/>
    <s v="CohortAvg"/>
    <n v="0"/>
    <n v="-3655.36"/>
    <n v="-5277.47"/>
    <n v="4514.1499999999996"/>
    <n v="0"/>
    <n v="0.02"/>
    <n v="0"/>
    <n v="0"/>
    <n v="284396.07"/>
    <n v="0.30115399999999998"/>
    <n v="0.86209999999999998"/>
    <n v="0.25961699999999999"/>
    <s v="CohortTrend+Seasonal(0.862)"/>
    <n v="73833.929999999993"/>
    <n v="61523.87"/>
    <n v="12310.07"/>
    <x v="0"/>
    <n v="0"/>
    <n v="0.78500000000000003"/>
    <n v="0.24"/>
    <n v="0"/>
    <n v="0"/>
    <n v="0"/>
    <n v="61523.87"/>
    <n v="288814.76"/>
    <n v="0.21302199999999999"/>
    <n v="12310.07"/>
    <n v="12310.09"/>
    <n v="0"/>
    <n v="12310.09"/>
    <n v="272085.98"/>
    <s v="Forecast"/>
  </r>
  <r>
    <x v="16"/>
    <x v="1"/>
    <s v="202411"/>
    <n v="27"/>
    <n v="253980.61"/>
    <n v="-4.4535928649380642E-2"/>
    <s v="CohortAvg"/>
    <n v="-1.4801377469657871E-2"/>
    <s v="CohortAvg"/>
    <n v="0.1733611638659637"/>
    <s v="CohortAvg"/>
    <n v="3.2313768757489578E-2"/>
    <s v="CohortAvg_NonZero"/>
    <n v="0"/>
    <s v="CohortAvg"/>
    <n v="0"/>
    <s v="Zero"/>
    <n v="0"/>
    <s v="CohortAvg"/>
    <n v="0"/>
    <s v="CohortAvg"/>
    <n v="0"/>
    <n v="-11311.26"/>
    <n v="-3759.26"/>
    <n v="3669.2"/>
    <n v="0"/>
    <n v="0"/>
    <n v="0"/>
    <n v="0"/>
    <n v="242579.28"/>
    <n v="0.241064"/>
    <n v="0.86209999999999998"/>
    <n v="0.207815"/>
    <s v="CohortTrend+Seasonal(0.862)"/>
    <n v="50411.71"/>
    <n v="43812.63"/>
    <n v="6599.07"/>
    <x v="0"/>
    <n v="0"/>
    <n v="0.78500000000000003"/>
    <n v="0.24"/>
    <n v="0"/>
    <n v="0"/>
    <n v="0"/>
    <n v="43812.63"/>
    <n v="253980.61"/>
    <n v="0.17250399999999999"/>
    <n v="6599.07"/>
    <n v="6599.07"/>
    <n v="0"/>
    <n v="6599.07"/>
    <n v="235980.21"/>
    <s v="Forecast"/>
  </r>
  <r>
    <x v="16"/>
    <x v="1"/>
    <s v="202412"/>
    <n v="26"/>
    <n v="15009.4"/>
    <n v="-8.5843927852840007E-3"/>
    <s v="CohortAvg"/>
    <n v="-1.2416368013821221E-2"/>
    <s v="CohortAvg"/>
    <n v="0.14535722015451119"/>
    <s v="CohortAvg"/>
    <n v="0.2"/>
    <s v="CohortAvg_NonZero"/>
    <n v="0"/>
    <s v="CohortAvg"/>
    <n v="0"/>
    <s v="Zero"/>
    <n v="0"/>
    <s v="CohortAvg"/>
    <n v="0"/>
    <s v="CohortAvg"/>
    <n v="0"/>
    <n v="-128.85"/>
    <n v="-186.36"/>
    <n v="181.81"/>
    <n v="0"/>
    <n v="0"/>
    <n v="0"/>
    <n v="0"/>
    <n v="14876"/>
    <n v="0.22381000000000001"/>
    <n v="0.86209999999999998"/>
    <n v="0.19294"/>
    <s v="CohortTrend+Seasonal(0.862)"/>
    <n v="2870.18"/>
    <n v="2408.4"/>
    <n v="461.78"/>
    <x v="0"/>
    <n v="0"/>
    <n v="0.78500000000000003"/>
    <n v="0.24"/>
    <n v="0"/>
    <n v="0"/>
    <n v="0"/>
    <n v="2408.4"/>
    <n v="15009.4"/>
    <n v="0.16045899999999999"/>
    <n v="461.78"/>
    <n v="461.78"/>
    <n v="0"/>
    <n v="461.78"/>
    <n v="14414.22"/>
    <s v="Forecast"/>
  </r>
  <r>
    <x v="16"/>
    <x v="1"/>
    <s v="202501"/>
    <n v="25"/>
    <n v="46998.79"/>
    <n v="-1.529112132032562E-2"/>
    <s v="CohortAvg"/>
    <n v="-1.7524384392375018E-2"/>
    <s v="CohortAvg"/>
    <n v="0.2043679032093314"/>
    <s v="CohortAvg"/>
    <n v="0"/>
    <s v="CohortAvg_NoData_ERROR"/>
    <n v="0"/>
    <s v="CohortAvg"/>
    <n v="0"/>
    <s v="Zero"/>
    <n v="0"/>
    <s v="CohortAvg"/>
    <n v="0"/>
    <s v="CohortAvg"/>
    <n v="0"/>
    <n v="-718.66"/>
    <n v="-823.62"/>
    <n v="800.42"/>
    <n v="0"/>
    <n v="0"/>
    <n v="0"/>
    <n v="0"/>
    <n v="46256.93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46998.79"/>
    <n v="0"/>
    <n v="0"/>
    <n v="0"/>
    <n v="0"/>
    <n v="0"/>
    <n v="46256.93"/>
    <s v="Forecast"/>
  </r>
  <r>
    <x v="16"/>
    <x v="1"/>
    <s v="202502"/>
    <n v="24"/>
    <n v="98890.79"/>
    <n v="-1.3854635707806149E-2"/>
    <s v="CohortAvg"/>
    <n v="-1.893556152968516E-2"/>
    <s v="CohortAvg"/>
    <n v="0.19409185768555159"/>
    <s v="CohortAvg"/>
    <n v="0"/>
    <s v="CohortAvg_NoData_ERROR"/>
    <n v="0"/>
    <s v="CohortAvg"/>
    <n v="0"/>
    <s v="Zero"/>
    <n v="0"/>
    <s v="CohortAvg"/>
    <n v="0"/>
    <s v="CohortAvg"/>
    <n v="0"/>
    <n v="-1370.1"/>
    <n v="-1872.55"/>
    <n v="1599.49"/>
    <n v="0"/>
    <n v="0"/>
    <n v="0"/>
    <n v="0"/>
    <n v="97247.63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98890.79"/>
    <n v="0"/>
    <n v="0"/>
    <n v="0"/>
    <n v="0"/>
    <n v="0"/>
    <n v="97247.63"/>
    <s v="Forecast"/>
  </r>
  <r>
    <x v="16"/>
    <x v="1"/>
    <s v="202503"/>
    <n v="23"/>
    <n v="74861.31"/>
    <n v="-9.830545950877791E-3"/>
    <s v="CohortAvg"/>
    <n v="-1.3775682255555029E-2"/>
    <s v="CohortAvg"/>
    <n v="0.20836128158507691"/>
    <s v="CohortAvg"/>
    <n v="0"/>
    <s v="CohortAvg_NoData_ERROR"/>
    <n v="0"/>
    <s v="CohortAvg"/>
    <n v="0"/>
    <s v="Zero"/>
    <n v="0"/>
    <s v="CohortAvg"/>
    <n v="0"/>
    <s v="CohortAvg"/>
    <n v="0"/>
    <n v="-735.93"/>
    <n v="-1031.27"/>
    <n v="1299.8499999999999"/>
    <n v="0"/>
    <n v="0"/>
    <n v="0"/>
    <n v="0"/>
    <n v="74393.97"/>
    <n v="0.252693"/>
    <n v="0.86209999999999998"/>
    <n v="0.21784000000000001"/>
    <s v="CohortTrend+Seasonal(0.862)"/>
    <n v="16206.01"/>
    <n v="13250.2"/>
    <n v="2955.81"/>
    <x v="0"/>
    <n v="0"/>
    <n v="0.78500000000000003"/>
    <n v="0.24"/>
    <n v="0"/>
    <n v="0"/>
    <n v="0"/>
    <n v="13250.2"/>
    <n v="74861.31"/>
    <n v="0.17699699999999999"/>
    <n v="2955.81"/>
    <n v="2955.81"/>
    <n v="0"/>
    <n v="2955.81"/>
    <n v="71438.16"/>
    <s v="Forecast"/>
  </r>
  <r>
    <x v="16"/>
    <x v="1"/>
    <s v="202504"/>
    <n v="22"/>
    <n v="45013.21"/>
    <n v="-2.0711205362943928E-2"/>
    <s v="CohortAvg"/>
    <n v="-1.674742521790477E-2"/>
    <s v="CohortAvg"/>
    <n v="0.20222781387860231"/>
    <s v="CohortAvg"/>
    <n v="0"/>
    <s v="CohortAvg_NoData_ERROR"/>
    <n v="0"/>
    <s v="CohortAvg"/>
    <n v="0"/>
    <s v="Zero"/>
    <n v="0"/>
    <s v="CohortAvg"/>
    <n v="0"/>
    <s v="CohortAvg"/>
    <n v="0"/>
    <n v="-932.28"/>
    <n v="-753.86"/>
    <n v="758.58"/>
    <n v="0"/>
    <n v="0"/>
    <n v="0"/>
    <n v="0"/>
    <n v="44085.65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45013.21"/>
    <n v="0"/>
    <n v="0"/>
    <n v="0"/>
    <n v="0"/>
    <n v="0"/>
    <n v="44085.65"/>
    <s v="Forecast"/>
  </r>
  <r>
    <x v="16"/>
    <x v="1"/>
    <s v="202505"/>
    <n v="21"/>
    <n v="14304.87"/>
    <n v="-1.022084204136987E-2"/>
    <s v="CohortAvg"/>
    <n v="-1.6690177977645059E-2"/>
    <s v="CohortAvg"/>
    <n v="0.20177769292061129"/>
    <s v="CohortAvg"/>
    <n v="0"/>
    <s v="CohortAvg_NoData_ERROR"/>
    <n v="0"/>
    <s v="CohortAvg"/>
    <n v="0"/>
    <s v="Zero"/>
    <n v="0"/>
    <s v="CohortAvg"/>
    <n v="0"/>
    <s v="CohortAvg"/>
    <n v="0"/>
    <n v="-146.21"/>
    <n v="-238.75"/>
    <n v="240.53"/>
    <n v="0"/>
    <n v="0"/>
    <n v="0"/>
    <n v="0"/>
    <n v="14160.44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14304.87"/>
    <n v="0"/>
    <n v="0"/>
    <n v="0"/>
    <n v="0"/>
    <n v="0"/>
    <n v="14160.44"/>
    <s v="Forecast"/>
  </r>
  <r>
    <x v="16"/>
    <x v="1"/>
    <s v="202506"/>
    <n v="20"/>
    <n v="24636.23"/>
    <n v="-1.426980650324486E-2"/>
    <s v="CohortAvg"/>
    <n v="-1.6870238006256019E-2"/>
    <s v="CohortAvg"/>
    <n v="0.19600087811038869"/>
    <s v="CohortAvg"/>
    <n v="0"/>
    <s v="CohortAvg_NoData_ERROR"/>
    <n v="0"/>
    <s v="CohortAvg"/>
    <n v="0"/>
    <s v="Zero"/>
    <n v="0"/>
    <s v="CohortAvg"/>
    <n v="0"/>
    <s v="CohortAvg"/>
    <n v="0"/>
    <n v="-351.55"/>
    <n v="-415.62"/>
    <n v="402.39"/>
    <n v="0"/>
    <n v="0"/>
    <n v="0"/>
    <n v="0"/>
    <n v="24271.45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24636.23"/>
    <n v="0"/>
    <n v="0"/>
    <n v="0"/>
    <n v="0"/>
    <n v="0"/>
    <n v="24271.45"/>
    <s v="Forecast"/>
  </r>
  <r>
    <x v="16"/>
    <x v="1"/>
    <s v="202507"/>
    <n v="19"/>
    <n v="97616.09"/>
    <n v="-1.140337555364589E-2"/>
    <s v="CohortAvg"/>
    <n v="-1.840515728324273E-2"/>
    <s v="CohortAvg"/>
    <n v="0.2038892683866845"/>
    <s v="CohortAvg"/>
    <n v="0"/>
    <s v="CohortAvg_NoData_ERROR"/>
    <n v="0"/>
    <s v="CohortAvg"/>
    <n v="0"/>
    <s v="Zero"/>
    <n v="0"/>
    <s v="CohortAvg"/>
    <n v="0"/>
    <s v="CohortAvg"/>
    <n v="0"/>
    <n v="-1113.1500000000001"/>
    <n v="-1796.64"/>
    <n v="1658.57"/>
    <n v="0"/>
    <n v="0"/>
    <n v="0"/>
    <n v="0"/>
    <n v="96364.87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97616.09"/>
    <n v="0"/>
    <n v="0"/>
    <n v="0"/>
    <n v="0"/>
    <n v="0"/>
    <n v="96364.87"/>
    <s v="Forecast"/>
  </r>
  <r>
    <x v="16"/>
    <x v="1"/>
    <s v="202508"/>
    <n v="18"/>
    <n v="39777.17"/>
    <n v="-1.494481825661942E-2"/>
    <s v="CohortAvg"/>
    <n v="-1.502094389388171E-2"/>
    <s v="CohortAvg"/>
    <n v="0.1849101397056766"/>
    <s v="CohortAvg"/>
    <n v="0"/>
    <s v="CohortAvg_NoData_ERROR"/>
    <n v="0"/>
    <s v="CohortAvg"/>
    <n v="0"/>
    <s v="Zero"/>
    <n v="0"/>
    <s v="CohortAvg"/>
    <n v="0"/>
    <s v="CohortAvg"/>
    <n v="0"/>
    <n v="-594.46"/>
    <n v="-597.49"/>
    <n v="612.92999999999995"/>
    <n v="0"/>
    <n v="0"/>
    <n v="0"/>
    <n v="0"/>
    <n v="39198.15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39777.17"/>
    <n v="0"/>
    <n v="0"/>
    <n v="0"/>
    <n v="0"/>
    <n v="0"/>
    <n v="39198.15"/>
    <s v="Forecast"/>
  </r>
  <r>
    <x v="16"/>
    <x v="1"/>
    <s v="202509"/>
    <n v="17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0.86209999999999998"/>
    <n v="0"/>
    <s v="Manual+Seasonal(0.862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6"/>
    <x v="2"/>
    <s v="202101"/>
    <n v="73"/>
    <n v="110370.95"/>
    <n v="-0.19300386098125"/>
    <s v="CohortAvg"/>
    <n v="-1.42901020530131E-2"/>
    <s v="CohortAvg"/>
    <n v="0.15641953373282419"/>
    <s v="CohortAvg"/>
    <n v="1.790462026664184E-2"/>
    <s v="CohortAvg_NonZero"/>
    <n v="0"/>
    <s v="CohortAvg"/>
    <n v="0"/>
    <s v="Zero"/>
    <n v="0"/>
    <s v="CohortAvg"/>
    <n v="0"/>
    <s v="CohortAvg"/>
    <n v="0"/>
    <n v="-21302.02"/>
    <n v="-1577.21"/>
    <n v="1438.68"/>
    <n v="0"/>
    <n v="0"/>
    <n v="0"/>
    <n v="0"/>
    <n v="88930.4"/>
    <n v="0.26070300000000002"/>
    <n v="1.1686000000000001"/>
    <n v="0.30466700000000002"/>
    <s v="CohortAvg+Seasonal(1.169)"/>
    <n v="27094.14"/>
    <n v="32785.35"/>
    <n v="-5691.21"/>
    <x v="0"/>
    <n v="0"/>
    <n v="0.78500000000000003"/>
    <n v="0.24"/>
    <n v="0"/>
    <n v="0"/>
    <n v="0"/>
    <n v="32785.35"/>
    <n v="110370.95"/>
    <n v="0.29704700000000001"/>
    <n v="-5691.21"/>
    <n v="-5691.21"/>
    <n v="0"/>
    <n v="-5691.21"/>
    <n v="94621.61"/>
    <s v="Forecast"/>
  </r>
  <r>
    <x v="16"/>
    <x v="2"/>
    <s v="202201"/>
    <n v="53"/>
    <n v="52364.18"/>
    <n v="-6.4417404362882749E-2"/>
    <s v="CohortAvg"/>
    <n v="-1.346630378595998E-2"/>
    <s v="CohortAvg"/>
    <n v="0.14985318056229421"/>
    <s v="CohortAvg"/>
    <n v="3.438842237415906E-2"/>
    <s v="CohortAvg_NonZero"/>
    <n v="4.0122734777086421E-7"/>
    <s v="CohortAvg"/>
    <n v="0"/>
    <s v="Zero"/>
    <n v="-1.9948222103337372E-6"/>
    <s v="CohortAvg"/>
    <n v="-9.0062647654478433E-9"/>
    <s v="CohortAvg"/>
    <n v="0"/>
    <n v="-3373.16"/>
    <n v="-705.15"/>
    <n v="653.91"/>
    <n v="0"/>
    <n v="0.02"/>
    <n v="-0.1"/>
    <n v="0"/>
    <n v="48939.75"/>
    <n v="0.186279"/>
    <n v="1.1686000000000001"/>
    <n v="0.217692"/>
    <s v="CohortAvg+Seasonal(1.169)"/>
    <n v="10653.8"/>
    <n v="11095.83"/>
    <n v="-442.03"/>
    <x v="0"/>
    <n v="0"/>
    <n v="0.78500000000000003"/>
    <n v="0.24"/>
    <n v="0"/>
    <n v="0"/>
    <n v="0"/>
    <n v="11095.83"/>
    <n v="52364.18"/>
    <n v="0.211897"/>
    <n v="-442.03"/>
    <n v="-442.01"/>
    <n v="0"/>
    <n v="-442.01"/>
    <n v="49381.77"/>
    <s v="Forecast"/>
  </r>
  <r>
    <x v="16"/>
    <x v="2"/>
    <s v="202301"/>
    <n v="44"/>
    <n v="5658608.1799999997"/>
    <n v="-3.5894474137788741E-2"/>
    <s v="CohortAvg"/>
    <n v="-1.532876667398134E-2"/>
    <s v="CohortAvg"/>
    <n v="0.17434852579877469"/>
    <s v="CohortAvg"/>
    <n v="1.858919235579487E-2"/>
    <s v="CohortAvg_NonZero"/>
    <n v="1.3961184157984181E-8"/>
    <s v="CohortAvg"/>
    <n v="0"/>
    <s v="Zero"/>
    <n v="-4.0692033861122893E-5"/>
    <s v="CohortAvg"/>
    <n v="-1.009121500213344E-7"/>
    <s v="CohortAvg"/>
    <n v="0"/>
    <n v="-203112.77"/>
    <n v="-86739.48"/>
    <n v="82214.17"/>
    <n v="0"/>
    <n v="0.08"/>
    <n v="-230.26"/>
    <n v="-0.56999999999999995"/>
    <n v="5450970.0199999996"/>
    <n v="0.22050600000000001"/>
    <n v="1.1686000000000001"/>
    <n v="0.257691"/>
    <s v="CohortAvg+Seasonal(1.169)"/>
    <n v="1404665.78"/>
    <n v="1418376.72"/>
    <n v="-13710.94"/>
    <x v="0"/>
    <n v="0"/>
    <n v="0.78500000000000003"/>
    <n v="0.24"/>
    <n v="0"/>
    <n v="0"/>
    <n v="0"/>
    <n v="1418376.72"/>
    <n v="5658608.1799999997"/>
    <n v="0.25065799999999999"/>
    <n v="-13710.94"/>
    <n v="-13710.86"/>
    <n v="0"/>
    <n v="-13710.86"/>
    <n v="5464680.8799999999"/>
    <s v="Forecast"/>
  </r>
  <r>
    <x v="16"/>
    <x v="2"/>
    <s v="202404"/>
    <n v="34"/>
    <n v="1331359.43"/>
    <n v="-4.2791009300371739E-2"/>
    <s v="CohortAvg"/>
    <n v="-1.6113720911801809E-2"/>
    <s v="CohortAvg"/>
    <n v="0.1758964730829996"/>
    <s v="CohortAvg"/>
    <n v="2.1314547158035241E-2"/>
    <s v="CohortAvg_NonZero"/>
    <n v="8.7078513466936311E-8"/>
    <s v="CohortAvg"/>
    <n v="0"/>
    <s v="Zero"/>
    <n v="-2.4139710903218069E-3"/>
    <s v="CohortAvg"/>
    <n v="-1.101803052031129E-5"/>
    <s v="CohortAvg"/>
    <n v="0"/>
    <n v="-56970.21"/>
    <n v="-21453.15"/>
    <n v="19515.12"/>
    <n v="0"/>
    <n v="0.12"/>
    <n v="-3213.86"/>
    <n v="-14.67"/>
    <n v="1272451.06"/>
    <n v="0.19877900000000001"/>
    <n v="1.1686000000000001"/>
    <n v="0.23230000000000001"/>
    <s v="CohortTrend+Seasonal(1.169)"/>
    <n v="295590.65999999997"/>
    <n v="293513.21000000002"/>
    <n v="2077.4499999999998"/>
    <x v="0"/>
    <n v="0"/>
    <n v="0.78500000000000003"/>
    <n v="0.24"/>
    <n v="0"/>
    <n v="0"/>
    <n v="0"/>
    <n v="293513.21000000002"/>
    <n v="1331359.43"/>
    <n v="0.22046099999999999"/>
    <n v="2077.4499999999998"/>
    <n v="2077.56"/>
    <n v="0"/>
    <n v="2077.56"/>
    <n v="1270373.5"/>
    <s v="Forecast"/>
  </r>
  <r>
    <x v="16"/>
    <x v="2"/>
    <s v="202405"/>
    <n v="33"/>
    <n v="1638456.39"/>
    <n v="-1.9095131525035381E-2"/>
    <s v="CohortAvg"/>
    <n v="-1.511678498191261E-2"/>
    <s v="CohortAvg"/>
    <n v="0.17323494911266241"/>
    <s v="CohortAvg"/>
    <n v="3.1673664825940889E-2"/>
    <s v="CohortAvg_NonZero"/>
    <n v="6.6939733363068312E-8"/>
    <s v="CohortAvg"/>
    <n v="0"/>
    <s v="Zero"/>
    <n v="-5.654335128222953E-3"/>
    <s v="CohortAvg"/>
    <n v="-3.4050563568332993E-5"/>
    <s v="CohortAvg"/>
    <n v="0"/>
    <n v="-31286.54"/>
    <n v="-24768.19"/>
    <n v="23653.16"/>
    <n v="0"/>
    <n v="0.11"/>
    <n v="-9264.3799999999992"/>
    <n v="-55.79"/>
    <n v="1606054.7"/>
    <n v="0.16875999999999999"/>
    <n v="1.1686000000000001"/>
    <n v="0.19721900000000001"/>
    <s v="CohortTrend+Seasonal(1.169)"/>
    <n v="316743.90000000002"/>
    <n v="306649.93"/>
    <n v="10093.969999999999"/>
    <x v="0"/>
    <n v="0"/>
    <n v="0.78500000000000003"/>
    <n v="0.24"/>
    <n v="0"/>
    <n v="0"/>
    <n v="0"/>
    <n v="306649.93"/>
    <n v="1638456.39"/>
    <n v="0.18715799999999999"/>
    <n v="10093.969999999999"/>
    <n v="10094.08"/>
    <n v="0"/>
    <n v="10094.08"/>
    <n v="1595960.62"/>
    <s v="Forecast"/>
  </r>
  <r>
    <x v="16"/>
    <x v="2"/>
    <s v="202406"/>
    <n v="32"/>
    <n v="1176018.24"/>
    <n v="-2.7613540604083511E-2"/>
    <s v="CohortAvg"/>
    <n v="-1.514607975678387E-2"/>
    <s v="CohortAvg"/>
    <n v="0.17185294045487551"/>
    <s v="CohortAvg"/>
    <n v="6.275647330737405E-2"/>
    <s v="CohortAvg_NonZero"/>
    <n v="5.8112350596131211E-8"/>
    <s v="CohortAvg"/>
    <n v="0"/>
    <s v="Zero"/>
    <n v="-3.480355616935292E-3"/>
    <s v="CohortAvg"/>
    <n v="-5.4451709149300999E-5"/>
    <s v="CohortAvg"/>
    <n v="0"/>
    <n v="-32474.03"/>
    <n v="-17812.07"/>
    <n v="16841.849999999999"/>
    <n v="0"/>
    <n v="7.0000000000000007E-2"/>
    <n v="-4092.96"/>
    <n v="-64.040000000000006"/>
    <n v="1142573.92"/>
    <n v="0.17297299999999999"/>
    <n v="1.1686000000000001"/>
    <n v="0.20214199999999999"/>
    <s v="CohortTrend+Seasonal(1.169)"/>
    <n v="230961.91"/>
    <n v="225963.43"/>
    <n v="4998.4799999999996"/>
    <x v="0"/>
    <n v="0"/>
    <n v="0.78500000000000003"/>
    <n v="0.24"/>
    <n v="0"/>
    <n v="0"/>
    <n v="0"/>
    <n v="225963.43"/>
    <n v="1176018.24"/>
    <n v="0.19214300000000001"/>
    <n v="4998.4799999999996"/>
    <n v="4998.54"/>
    <n v="0"/>
    <n v="4998.54"/>
    <n v="1137575.3799999999"/>
    <s v="Forecast"/>
  </r>
  <r>
    <x v="16"/>
    <x v="2"/>
    <s v="202407"/>
    <n v="31"/>
    <n v="2350486.69"/>
    <n v="-2.7278126215834499E-2"/>
    <s v="CohortAvg"/>
    <n v="-1.565403856465207E-2"/>
    <s v="CohortAvg"/>
    <n v="0.1758408154079612"/>
    <s v="CohortAvg"/>
    <n v="3.1756699527484382E-2"/>
    <s v="CohortAvg_NonZero"/>
    <n v="6.5738924999113167E-6"/>
    <s v="CohortAvg"/>
    <n v="0"/>
    <s v="Zero"/>
    <n v="-4.889676619436051E-3"/>
    <s v="CohortAvg"/>
    <n v="-4.0944893089914088E-5"/>
    <s v="CohortAvg"/>
    <n v="0"/>
    <n v="-64116.87"/>
    <n v="-36794.61"/>
    <n v="34442.620000000003"/>
    <n v="0"/>
    <n v="15.45"/>
    <n v="-11493.12"/>
    <n v="-96.24"/>
    <n v="2284002.38"/>
    <n v="0.149585"/>
    <n v="1.1686000000000001"/>
    <n v="0.17481099999999999"/>
    <s v="CohortTrend+Seasonal(1.169)"/>
    <n v="399268.39"/>
    <n v="389494.96"/>
    <n v="9773.43"/>
    <x v="0"/>
    <n v="0"/>
    <n v="0.78500000000000003"/>
    <n v="0.24"/>
    <n v="0"/>
    <n v="0"/>
    <n v="0"/>
    <n v="389494.96"/>
    <n v="2350486.69"/>
    <n v="0.16570799999999999"/>
    <n v="9773.43"/>
    <n v="9788.8799999999992"/>
    <n v="0"/>
    <n v="9788.8799999999992"/>
    <n v="2274213.5"/>
    <s v="Forecast"/>
  </r>
  <r>
    <x v="16"/>
    <x v="2"/>
    <s v="202408"/>
    <n v="30"/>
    <n v="1770373.01"/>
    <n v="-2.3948875756925739E-2"/>
    <s v="CohortAvg"/>
    <n v="-1.648732538444209E-2"/>
    <s v="CohortAvg"/>
    <n v="0.18798780034510321"/>
    <s v="CohortAvg"/>
    <n v="2.168989294444135E-2"/>
    <s v="CohortAvg_NonZero"/>
    <n v="2.3459237547602772E-8"/>
    <s v="CohortAvg"/>
    <n v="0"/>
    <s v="Zero"/>
    <n v="-2.1231825133921169E-3"/>
    <s v="CohortAvg"/>
    <n v="-2.3047644381649749E-5"/>
    <s v="CohortAvg"/>
    <n v="0"/>
    <n v="-42398.44"/>
    <n v="-29188.720000000001"/>
    <n v="27734.04"/>
    <n v="0"/>
    <n v="0.04"/>
    <n v="-3758.83"/>
    <n v="-40.799999999999997"/>
    <n v="1726519.85"/>
    <n v="0.152224"/>
    <n v="1.1686000000000001"/>
    <n v="0.177894"/>
    <s v="CohortTrend+Seasonal(1.169)"/>
    <n v="307138.25"/>
    <n v="297103.96000000002"/>
    <n v="10034.280000000001"/>
    <x v="0"/>
    <n v="0"/>
    <n v="0.78500000000000003"/>
    <n v="0.24"/>
    <n v="0"/>
    <n v="0"/>
    <n v="0"/>
    <n v="297103.96000000002"/>
    <n v="1770373.01"/>
    <n v="0.16782"/>
    <n v="10034.280000000001"/>
    <n v="10034.32"/>
    <n v="0"/>
    <n v="10034.32"/>
    <n v="1716485.53"/>
    <s v="Forecast"/>
  </r>
  <r>
    <x v="16"/>
    <x v="2"/>
    <s v="202409"/>
    <n v="29"/>
    <n v="1485245.67"/>
    <n v="-3.2617783182481527E-2"/>
    <s v="CohortAvg"/>
    <n v="-1.6764187148719731E-2"/>
    <s v="CohortAvg"/>
    <n v="0.18513890098847899"/>
    <s v="CohortAvg"/>
    <n v="3.5165504201127601E-2"/>
    <s v="CohortAvg_NonZero"/>
    <n v="7.3264510018965959E-6"/>
    <s v="CohortAvg"/>
    <n v="0"/>
    <s v="Zero"/>
    <n v="-1.162160927052627E-2"/>
    <s v="CohortAvg"/>
    <n v="-9.3809276801053198E-5"/>
    <s v="CohortAvg"/>
    <n v="0"/>
    <n v="-48445.42"/>
    <n v="-24898.94"/>
    <n v="22914.73"/>
    <n v="0"/>
    <n v="10.88"/>
    <n v="-17260.939999999999"/>
    <n v="-139.33000000000001"/>
    <n v="1434805.16"/>
    <n v="0.13348499999999999"/>
    <n v="1.1686000000000001"/>
    <n v="0.155996"/>
    <s v="CohortTrend+Seasonal(1.169)"/>
    <n v="223823.65"/>
    <n v="218573.04"/>
    <n v="5250.61"/>
    <x v="0"/>
    <n v="0"/>
    <n v="0.78500000000000003"/>
    <n v="0.24"/>
    <n v="0"/>
    <n v="0"/>
    <n v="0"/>
    <n v="218573.04"/>
    <n v="1485245.67"/>
    <n v="0.14716299999999999"/>
    <n v="5250.61"/>
    <n v="5261.49"/>
    <n v="0"/>
    <n v="5261.49"/>
    <n v="1429543.66"/>
    <s v="Forecast"/>
  </r>
  <r>
    <x v="16"/>
    <x v="2"/>
    <s v="202410"/>
    <n v="28"/>
    <n v="1341930.32"/>
    <n v="-4.066565125806685E-2"/>
    <s v="CohortAvg"/>
    <n v="-1.6721898894156251E-2"/>
    <s v="CohortAvg"/>
    <n v="0.18196492028270311"/>
    <s v="CohortAvg"/>
    <n v="2.9472023940625421E-2"/>
    <s v="CohortAvg_NonZero"/>
    <n v="1.077230468538505E-7"/>
    <s v="CohortAvg"/>
    <n v="0"/>
    <s v="Zero"/>
    <n v="-7.2045818247374804E-3"/>
    <s v="CohortAvg"/>
    <n v="-1.1064749058199779E-4"/>
    <s v="CohortAvg"/>
    <n v="0"/>
    <n v="-54570.47"/>
    <n v="-22439.62"/>
    <n v="20348.689999999999"/>
    <n v="0"/>
    <n v="0.14000000000000001"/>
    <n v="-9668.0499999999993"/>
    <n v="-148.47999999999999"/>
    <n v="1285268.77"/>
    <n v="0.12123100000000001"/>
    <n v="1.1686000000000001"/>
    <n v="0.14167399999999999"/>
    <s v="CohortTrend+Seasonal(1.169)"/>
    <n v="182089.55"/>
    <n v="179961.99"/>
    <n v="2127.5500000000002"/>
    <x v="0"/>
    <n v="0"/>
    <n v="0.78500000000000003"/>
    <n v="0.24"/>
    <n v="0"/>
    <n v="0"/>
    <n v="0"/>
    <n v="179961.99"/>
    <n v="1341930.32"/>
    <n v="0.134107"/>
    <n v="2127.5500000000002"/>
    <n v="2127.6999999999998"/>
    <n v="0"/>
    <n v="2127.6999999999998"/>
    <n v="1283141.07"/>
    <s v="Forecast"/>
  </r>
  <r>
    <x v="16"/>
    <x v="2"/>
    <s v="202411"/>
    <n v="27"/>
    <n v="1596428.09"/>
    <n v="-3.7049070187988503E-2"/>
    <s v="CohortAvg"/>
    <n v="-1.7564849482488869E-2"/>
    <s v="CohortAvg"/>
    <n v="0.19005191539924801"/>
    <s v="CohortAvg"/>
    <n v="2.1708003318555741E-2"/>
    <s v="CohortAvg_NonZero"/>
    <n v="1.745671097988002E-6"/>
    <s v="CohortAvg"/>
    <n v="0"/>
    <s v="Zero"/>
    <n v="-1.084375975792228E-2"/>
    <s v="CohortAvg"/>
    <n v="-9.4959429580772088E-5"/>
    <s v="CohortAvg"/>
    <n v="0"/>
    <n v="-59146.18"/>
    <n v="-28041.02"/>
    <n v="25283.68"/>
    <n v="0"/>
    <n v="2.79"/>
    <n v="-17311.28"/>
    <n v="-151.6"/>
    <n v="1534521.79"/>
    <n v="0.12342400000000001"/>
    <n v="1.1686000000000001"/>
    <n v="0.14423800000000001"/>
    <s v="CohortTrend+Seasonal(1.169)"/>
    <n v="221335.91"/>
    <n v="216224.08"/>
    <n v="5111.83"/>
    <x v="0"/>
    <n v="0"/>
    <n v="0.78500000000000003"/>
    <n v="0.24"/>
    <n v="0"/>
    <n v="0"/>
    <n v="0"/>
    <n v="216224.08"/>
    <n v="1596428.09"/>
    <n v="0.13544200000000001"/>
    <n v="5111.83"/>
    <n v="5114.62"/>
    <n v="0"/>
    <n v="5114.62"/>
    <n v="1529407.17"/>
    <s v="Forecast"/>
  </r>
  <r>
    <x v="16"/>
    <x v="2"/>
    <s v="202412"/>
    <n v="26"/>
    <n v="1638927.8"/>
    <n v="-2.0007319078071881E-2"/>
    <s v="CohortAvg"/>
    <n v="-1.6656218062371608E-2"/>
    <s v="CohortAvg"/>
    <n v="0.189447349675681"/>
    <s v="CohortAvg"/>
    <n v="2.8205895111674741E-2"/>
    <s v="CohortAvg_NonZero"/>
    <n v="6.8068293935354914E-8"/>
    <s v="CohortAvg"/>
    <n v="0"/>
    <s v="Zero"/>
    <n v="-1.02007710814582E-2"/>
    <s v="CohortAvg"/>
    <n v="-6.9262201186662858E-5"/>
    <s v="CohortAvg"/>
    <n v="0"/>
    <n v="-32790.550000000003"/>
    <n v="-27298.34"/>
    <n v="25874.21"/>
    <n v="0"/>
    <n v="0.11"/>
    <n v="-16718.330000000002"/>
    <n v="-113.52"/>
    <n v="1604713"/>
    <n v="9.8880999999999997E-2"/>
    <n v="1.1686000000000001"/>
    <n v="0.115555"/>
    <s v="CohortTrend+Seasonal(1.169)"/>
    <n v="185433.41"/>
    <n v="179633.88"/>
    <n v="5799.53"/>
    <x v="0"/>
    <n v="0"/>
    <n v="0.78500000000000003"/>
    <n v="0.24"/>
    <n v="0"/>
    <n v="0"/>
    <n v="0"/>
    <n v="179633.88"/>
    <n v="1638927.8"/>
    <n v="0.10960499999999999"/>
    <n v="5799.53"/>
    <n v="5799.64"/>
    <n v="0"/>
    <n v="5799.64"/>
    <n v="1598913.36"/>
    <s v="Forecast"/>
  </r>
  <r>
    <x v="16"/>
    <x v="2"/>
    <s v="202501"/>
    <n v="25"/>
    <n v="2759622.67"/>
    <n v="-3.044893261066077E-2"/>
    <s v="CohortAvg"/>
    <n v="-1.7543305362229721E-2"/>
    <s v="CohortAvg"/>
    <n v="0.1907655665413161"/>
    <s v="CohortAvg"/>
    <n v="1.5564574262199701E-2"/>
    <s v="CohortAvg_NonZero"/>
    <n v="2.8712043478898999E-6"/>
    <s v="CohortAvg"/>
    <n v="0"/>
    <s v="Zero"/>
    <n v="-1.889782456544721E-2"/>
    <s v="CohortAvg"/>
    <n v="-1.542216865950606E-4"/>
    <s v="CohortAvg"/>
    <n v="0"/>
    <n v="-84027.56"/>
    <n v="-48412.9"/>
    <n v="43870.080000000002"/>
    <n v="0"/>
    <n v="7.92"/>
    <n v="-52150.87"/>
    <n v="-425.59"/>
    <n v="2671044.36"/>
    <n v="0.10556699999999999"/>
    <n v="1.1686000000000001"/>
    <n v="0.12336900000000001"/>
    <s v="CohortTrend+Seasonal(1.169)"/>
    <n v="329523.90000000002"/>
    <n v="319869.84000000003"/>
    <n v="9654.07"/>
    <x v="0"/>
    <n v="0"/>
    <n v="0.78500000000000003"/>
    <n v="0.24"/>
    <n v="0"/>
    <n v="0"/>
    <n v="0"/>
    <n v="319869.84000000003"/>
    <n v="2759622.67"/>
    <n v="0.115911"/>
    <n v="9654.07"/>
    <n v="9661.99"/>
    <n v="0"/>
    <n v="9661.99"/>
    <n v="2661382.37"/>
    <s v="Forecast"/>
  </r>
  <r>
    <x v="16"/>
    <x v="2"/>
    <s v="202502"/>
    <n v="24"/>
    <n v="2811706.9"/>
    <n v="-3.40681268494731E-2"/>
    <s v="CohortAvg"/>
    <n v="-1.7640602305019942E-2"/>
    <s v="CohortAvg"/>
    <n v="0.19719835102103361"/>
    <s v="CohortAvg"/>
    <n v="7.9645373695133598E-3"/>
    <s v="CohortAvg_NonZero"/>
    <n v="0"/>
    <s v="CohortAvg"/>
    <n v="0"/>
    <s v="Zero"/>
    <n v="-3.4706492211889352E-2"/>
    <s v="CohortAvg"/>
    <n v="-3.172912109136716E-4"/>
    <s v="CohortAvg"/>
    <n v="0"/>
    <n v="-95789.59"/>
    <n v="-49600.2"/>
    <n v="46205.33"/>
    <n v="0"/>
    <n v="0"/>
    <n v="-97584.48"/>
    <n v="-892.13"/>
    <n v="2712522.44"/>
    <n v="0.11032500000000001"/>
    <n v="1.1686000000000001"/>
    <n v="0.12892899999999999"/>
    <s v="CohortTrend+Seasonal(1.169)"/>
    <n v="349723.31"/>
    <n v="337653.05"/>
    <n v="12070.26"/>
    <x v="0"/>
    <n v="0"/>
    <n v="0.78500000000000003"/>
    <n v="0.24"/>
    <n v="0"/>
    <n v="0"/>
    <n v="0"/>
    <n v="337653.05"/>
    <n v="2811706.9"/>
    <n v="0.120088"/>
    <n v="12070.26"/>
    <n v="12070.26"/>
    <n v="0"/>
    <n v="12070.26"/>
    <n v="2700452.18"/>
    <s v="Forecast"/>
  </r>
  <r>
    <x v="16"/>
    <x v="2"/>
    <s v="202503"/>
    <n v="23"/>
    <n v="4093163.79"/>
    <n v="-2.2745036361431371E-2"/>
    <s v="CohortAvg"/>
    <n v="-1.6984704299833241E-2"/>
    <s v="CohortAvg"/>
    <n v="0.20120275500063869"/>
    <s v="CohortAvg"/>
    <n v="7.1848262480383477E-3"/>
    <s v="CohortAvg_NonZero"/>
    <n v="4.008969385870396E-9"/>
    <s v="CohortAvg"/>
    <n v="0"/>
    <s v="Zero"/>
    <n v="0"/>
    <s v="CohortAvg"/>
    <n v="0"/>
    <s v="CohortAvg"/>
    <n v="0"/>
    <n v="-93099.16"/>
    <n v="-69521.179999999993"/>
    <n v="68629.649999999994"/>
    <n v="0"/>
    <n v="0.02"/>
    <n v="0"/>
    <n v="0"/>
    <n v="3999173.09"/>
    <n v="0.10656599999999999"/>
    <n v="1.1686000000000001"/>
    <n v="0.12453699999999999"/>
    <s v="CohortTrend+Seasonal(1.169)"/>
    <n v="498046.08"/>
    <n v="472951.31"/>
    <n v="25094.77"/>
    <x v="0"/>
    <n v="0"/>
    <n v="0.78500000000000003"/>
    <n v="0.24"/>
    <n v="0"/>
    <n v="0"/>
    <n v="0"/>
    <n v="472951.31"/>
    <n v="4093163.79"/>
    <n v="0.115547"/>
    <n v="25094.77"/>
    <n v="25094.79"/>
    <n v="0"/>
    <n v="25094.79"/>
    <n v="3974078.3"/>
    <s v="Forecast"/>
  </r>
  <r>
    <x v="16"/>
    <x v="2"/>
    <s v="202504"/>
    <n v="22"/>
    <n v="5123915.83"/>
    <n v="-2.4622005438321579E-2"/>
    <s v="CohortAvg"/>
    <n v="-1.690772988888653E-2"/>
    <s v="CohortAvg"/>
    <n v="0.19642092923849289"/>
    <s v="CohortAvg"/>
    <n v="3.260907177009143E-3"/>
    <s v="CohortAvg_NonZero"/>
    <n v="0"/>
    <s v="CohortAvg"/>
    <n v="0"/>
    <s v="Zero"/>
    <n v="0"/>
    <s v="CohortAvg"/>
    <n v="0"/>
    <s v="CohortAvg"/>
    <n v="0"/>
    <n v="-126161.08"/>
    <n v="-86633.78"/>
    <n v="83870.36"/>
    <n v="0"/>
    <n v="0"/>
    <n v="0"/>
    <n v="0"/>
    <n v="4994991.32"/>
    <n v="0.10448300000000001"/>
    <n v="1.1686000000000001"/>
    <n v="0.122102"/>
    <s v="CohortTrend+Seasonal(1.169)"/>
    <n v="609900.07999999996"/>
    <n v="577280.56000000006"/>
    <n v="32619.53"/>
    <x v="0"/>
    <n v="0"/>
    <n v="0.78500000000000003"/>
    <n v="0.24"/>
    <n v="0"/>
    <n v="0"/>
    <n v="0"/>
    <n v="577280.56000000006"/>
    <n v="5123915.83"/>
    <n v="0.112664"/>
    <n v="32619.53"/>
    <n v="32619.53"/>
    <n v="0"/>
    <n v="32619.53"/>
    <n v="4962371.79"/>
    <s v="Forecast"/>
  </r>
  <r>
    <x v="16"/>
    <x v="2"/>
    <s v="202505"/>
    <n v="21"/>
    <n v="4950150.1900000004"/>
    <n v="-2.740675376028949E-2"/>
    <s v="CohortAvg"/>
    <n v="-1.6558068250851349E-2"/>
    <s v="CohortAvg"/>
    <n v="0.19370676900821129"/>
    <s v="CohortAvg"/>
    <n v="0"/>
    <s v="CohortAvg_NoData_ERROR"/>
    <n v="0"/>
    <s v="CohortAvg"/>
    <n v="0"/>
    <s v="Zero"/>
    <n v="0"/>
    <s v="CohortAvg"/>
    <n v="0"/>
    <s v="CohortAvg"/>
    <n v="0"/>
    <n v="-135667.54999999999"/>
    <n v="-81964.92"/>
    <n v="79906.47"/>
    <n v="0"/>
    <n v="0"/>
    <n v="0"/>
    <n v="0"/>
    <n v="4812424.18"/>
    <n v="0.100352"/>
    <n v="1.1686000000000001"/>
    <n v="0.117275"/>
    <s v="CohortTrend+Seasonal(1.169)"/>
    <n v="564375.96"/>
    <n v="533013.93000000005"/>
    <n v="31362.03"/>
    <x v="0"/>
    <n v="0"/>
    <n v="0.78500000000000003"/>
    <n v="0.24"/>
    <n v="0"/>
    <n v="0"/>
    <n v="0"/>
    <n v="533013.93000000005"/>
    <n v="4950150.1900000004"/>
    <n v="0.10767599999999999"/>
    <n v="31362.03"/>
    <n v="31362.03"/>
    <n v="0"/>
    <n v="31362.03"/>
    <n v="4781062.16"/>
    <s v="Forecast"/>
  </r>
  <r>
    <x v="16"/>
    <x v="2"/>
    <s v="202506"/>
    <n v="20"/>
    <n v="5446377.2800000003"/>
    <n v="-2.0034782410524681E-2"/>
    <s v="CohortAvg"/>
    <n v="-1.622586177740127E-2"/>
    <s v="CohortAvg"/>
    <n v="0.197249667664671"/>
    <s v="CohortAvg"/>
    <n v="0"/>
    <s v="CohortAvg_NoData_ERROR"/>
    <n v="0"/>
    <s v="CohortAvg"/>
    <n v="0"/>
    <s v="Zero"/>
    <n v="0"/>
    <s v="CohortAvg"/>
    <n v="0"/>
    <s v="CohortAvg"/>
    <n v="0"/>
    <n v="-109116.98"/>
    <n v="-88372.160000000003"/>
    <n v="89524.68"/>
    <n v="0"/>
    <n v="0"/>
    <n v="0"/>
    <n v="0"/>
    <n v="5338412.8099999996"/>
    <n v="9.7233E-2"/>
    <n v="1.1686000000000001"/>
    <n v="0.11362999999999999"/>
    <s v="CohortTrend+Seasonal(1.169)"/>
    <n v="606603.39"/>
    <n v="595983.25"/>
    <n v="10620.15"/>
    <x v="0"/>
    <n v="0"/>
    <n v="0.78500000000000003"/>
    <n v="0.24"/>
    <n v="0"/>
    <n v="0"/>
    <n v="0"/>
    <n v="595983.25"/>
    <n v="5446377.2800000003"/>
    <n v="0.109427"/>
    <n v="10620.15"/>
    <n v="10620.15"/>
    <n v="0"/>
    <n v="10620.15"/>
    <n v="5327792.66"/>
    <s v="Forecast"/>
  </r>
  <r>
    <x v="16"/>
    <x v="2"/>
    <s v="202507"/>
    <n v="19"/>
    <n v="6990213.0899999999"/>
    <n v="-1.6251613566783431E-2"/>
    <s v="CohortAvg"/>
    <n v="-1.7080347899008481E-2"/>
    <s v="CohortAvg"/>
    <n v="0.18819593905178161"/>
    <s v="CohortAvg"/>
    <n v="0"/>
    <s v="CohortAvg_NoData_ERROR"/>
    <n v="0"/>
    <s v="CohortAvg"/>
    <n v="0"/>
    <s v="Zero"/>
    <n v="0"/>
    <s v="CohortAvg"/>
    <n v="0"/>
    <s v="CohortAvg"/>
    <n v="0"/>
    <n v="-113602.24000000001"/>
    <n v="-119395.27"/>
    <n v="109627.48"/>
    <n v="0"/>
    <n v="0"/>
    <n v="0"/>
    <n v="0"/>
    <n v="6866843.0499999998"/>
    <n v="9.6042000000000002E-2"/>
    <n v="1.1686000000000001"/>
    <n v="0.112238"/>
    <s v="DonorCohort:202101+Seasonal(1.169)"/>
    <n v="770722.23"/>
    <n v="661020.49"/>
    <n v="109701.74"/>
    <x v="0"/>
    <n v="0"/>
    <n v="0.78500000000000003"/>
    <n v="0.24"/>
    <n v="0"/>
    <n v="0"/>
    <n v="0"/>
    <n v="661020.49"/>
    <n v="6990213.0899999999"/>
    <n v="9.4563999999999995E-2"/>
    <n v="109701.74"/>
    <n v="109701.74"/>
    <n v="0"/>
    <n v="109701.74"/>
    <n v="6757141.3099999996"/>
    <s v="Forecast"/>
  </r>
  <r>
    <x v="16"/>
    <x v="2"/>
    <s v="202508"/>
    <n v="18"/>
    <n v="6291689.3899999997"/>
    <n v="-1.9718192425523719E-2"/>
    <s v="CohortAvg"/>
    <n v="-1.2062011724278831E-2"/>
    <s v="CohortAvg"/>
    <n v="0.1901018985408261"/>
    <s v="CohortAvg"/>
    <n v="0"/>
    <s v="CohortAvg_NoData_ERROR"/>
    <n v="3.5174085851449287E-5"/>
    <s v="CohortAvg"/>
    <n v="0"/>
    <s v="Zero"/>
    <n v="0"/>
    <s v="CohortAvg"/>
    <n v="0"/>
    <s v="CohortAvg"/>
    <n v="0"/>
    <n v="-124060.74"/>
    <n v="-75890.429999999993"/>
    <n v="99671.84"/>
    <n v="0"/>
    <n v="221.3"/>
    <n v="0"/>
    <n v="0"/>
    <n v="6191188.75"/>
    <n v="8.2997000000000001E-2"/>
    <n v="1.1686000000000001"/>
    <n v="9.6992999999999996E-2"/>
    <s v="DonorCohort:202101+Seasonal(1.169)"/>
    <n v="600499.97"/>
    <n v="555258.56000000006"/>
    <n v="45241.41"/>
    <x v="0"/>
    <n v="0"/>
    <n v="0.78500000000000003"/>
    <n v="0.24"/>
    <n v="0"/>
    <n v="0"/>
    <n v="0"/>
    <n v="555258.56000000006"/>
    <n v="6291689.3899999997"/>
    <n v="8.8252999999999998E-2"/>
    <n v="45241.41"/>
    <n v="45462.720000000001"/>
    <n v="0"/>
    <n v="45462.720000000001"/>
    <n v="6145726.04"/>
    <s v="Forecast"/>
  </r>
  <r>
    <x v="16"/>
    <x v="2"/>
    <s v="202509"/>
    <n v="17"/>
    <n v="505581.43"/>
    <n v="-0.26296276263347113"/>
    <s v="CohortAvg"/>
    <n v="-3.226428408231146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32949.09"/>
    <n v="-16312.22"/>
    <n v="21065.89"/>
    <n v="0"/>
    <n v="0"/>
    <n v="0"/>
    <n v="0"/>
    <n v="377386.01"/>
    <n v="7.7456999999999998E-2"/>
    <n v="1.1686000000000001"/>
    <n v="9.0520000000000003E-2"/>
    <s v="DonorCohort:202101+Seasonal(1.169)"/>
    <n v="34160.81"/>
    <n v="43751.26"/>
    <n v="-9590.44"/>
    <x v="0"/>
    <n v="0"/>
    <n v="0.78500000000000003"/>
    <n v="0.24"/>
    <n v="0"/>
    <n v="0"/>
    <n v="0"/>
    <n v="43751.26"/>
    <n v="505581.43"/>
    <n v="8.6537000000000003E-2"/>
    <n v="-9590.44"/>
    <n v="-9590.44"/>
    <n v="0"/>
    <n v="-9590.44"/>
    <n v="386976.45"/>
    <s v="Forecast"/>
  </r>
  <r>
    <x v="16"/>
    <x v="3"/>
    <s v="201912"/>
    <n v="86"/>
    <n v="45962.53"/>
    <n v="-6.8493164235613607E-3"/>
    <s v="CohortAvg"/>
    <n v="-6.4305760839187902E-4"/>
    <s v="CohortAvg"/>
    <n v="0"/>
    <s v="CohortAvg"/>
    <n v="3.0087049067313819E-2"/>
    <s v="CohortAvg_NonZero"/>
    <n v="7.5775345771999377E-8"/>
    <s v="CohortAvg"/>
    <n v="0"/>
    <s v="Zero"/>
    <n v="0"/>
    <s v="CohortAvg"/>
    <n v="0"/>
    <s v="CohortAvg"/>
    <n v="0"/>
    <n v="-314.81"/>
    <n v="-29.56"/>
    <n v="0"/>
    <n v="0"/>
    <n v="0"/>
    <n v="0"/>
    <n v="0"/>
    <n v="45618.16"/>
    <n v="0.98813899999999999"/>
    <n v="1.0666"/>
    <n v="1.053973"/>
    <s v="CohortAvg+Seasonal(1.067)"/>
    <n v="48080.33"/>
    <n v="47697.2"/>
    <n v="383.13"/>
    <x v="0"/>
    <n v="0"/>
    <n v="0.78500000000000003"/>
    <n v="0.24"/>
    <n v="0"/>
    <n v="0"/>
    <n v="0"/>
    <n v="47697.2"/>
    <n v="45962.53"/>
    <n v="1.037741"/>
    <n v="383.13"/>
    <n v="383.14"/>
    <n v="0"/>
    <n v="383.14"/>
    <n v="45235.02"/>
    <s v="Forecast"/>
  </r>
  <r>
    <x v="16"/>
    <x v="3"/>
    <s v="202001"/>
    <n v="85"/>
    <n v="0.1"/>
    <n v="-0.5"/>
    <s v="CohortAvg"/>
    <n v="-2.0389606957819259E-6"/>
    <s v="CohortAvg"/>
    <n v="0"/>
    <s v="CohortAvg"/>
    <n v="1.8008462784944581E-2"/>
    <s v="CohortAvg_NonZero"/>
    <n v="0"/>
    <s v="CohortAvg"/>
    <n v="0"/>
    <s v="Zero"/>
    <n v="0"/>
    <s v="CohortAvg"/>
    <n v="0"/>
    <s v="CohortAvg"/>
    <n v="0"/>
    <n v="-0.05"/>
    <n v="0"/>
    <n v="0"/>
    <n v="0"/>
    <n v="0"/>
    <n v="0"/>
    <n v="0"/>
    <n v="0.05"/>
    <n v="0.81938699999999998"/>
    <n v="1.0666"/>
    <n v="0.87397899999999995"/>
    <s v="CohortAvg+Seasonal(1.067)"/>
    <n v="0.05"/>
    <n v="0.09"/>
    <n v="-0.04"/>
    <x v="0"/>
    <n v="0"/>
    <n v="0.78500000000000003"/>
    <n v="0.24"/>
    <n v="0"/>
    <n v="0"/>
    <n v="0"/>
    <n v="0.09"/>
    <n v="0.1"/>
    <n v="0.86087599999999997"/>
    <n v="-0.04"/>
    <n v="-0.04"/>
    <n v="0"/>
    <n v="-0.04"/>
    <n v="0.1"/>
    <s v="Forecast"/>
  </r>
  <r>
    <x v="16"/>
    <x v="3"/>
    <s v="202101"/>
    <n v="73"/>
    <n v="362080.16"/>
    <n v="-0.1052021018415026"/>
    <s v="CohortAvg"/>
    <n v="-8.1222604072185445E-3"/>
    <s v="CohortAvg"/>
    <n v="0.1089452698067634"/>
    <s v="CohortAvg"/>
    <n v="6.1772682262039996E-3"/>
    <s v="CohortAvg_NonZero"/>
    <n v="0"/>
    <s v="CohortAvg"/>
    <n v="0"/>
    <s v="Zero"/>
    <n v="-1.8139854690636878E-5"/>
    <s v="CohortAvg"/>
    <n v="-1.9250091313494679E-7"/>
    <s v="CohortAvg"/>
    <n v="0"/>
    <n v="-38091.589999999997"/>
    <n v="-2940.91"/>
    <n v="3287.24"/>
    <n v="0"/>
    <n v="0"/>
    <n v="-6.57"/>
    <n v="-7.0000000000000007E-2"/>
    <n v="324334.90000000002"/>
    <n v="0.27617700000000001"/>
    <n v="1.0666"/>
    <n v="0.29457699999999998"/>
    <s v="CohortAvg+Seasonal(1.067)"/>
    <n v="95541.57"/>
    <n v="105031.86"/>
    <n v="-9490.2800000000007"/>
    <x v="0"/>
    <n v="0"/>
    <n v="0.78500000000000003"/>
    <n v="0.24"/>
    <n v="0"/>
    <n v="0"/>
    <n v="0"/>
    <n v="105031.86"/>
    <n v="362080.16"/>
    <n v="0.29007899999999998"/>
    <n v="-9490.2800000000007"/>
    <n v="-9490.2800000000007"/>
    <n v="0"/>
    <n v="-9490.2800000000007"/>
    <n v="333825.18"/>
    <s v="Forecast"/>
  </r>
  <r>
    <x v="16"/>
    <x v="3"/>
    <s v="202201"/>
    <n v="53"/>
    <n v="86578.18"/>
    <n v="-8.8821975275665585E-2"/>
    <s v="CohortAvg"/>
    <n v="-1.0372934574036419E-2"/>
    <s v="CohortAvg"/>
    <n v="0.1126413796999908"/>
    <s v="CohortAvg"/>
    <n v="3.3600193490572632E-2"/>
    <s v="CohortAvg_NonZero"/>
    <n v="9.0618341208407993E-4"/>
    <s v="CohortAvg"/>
    <n v="0"/>
    <s v="Zero"/>
    <n v="-1.9004283919456321E-5"/>
    <s v="CohortAvg"/>
    <n v="-1.6185379682044179E-7"/>
    <s v="CohortAvg"/>
    <n v="0"/>
    <n v="-7690.04"/>
    <n v="-898.07"/>
    <n v="812.69"/>
    <n v="0"/>
    <n v="78.459999999999994"/>
    <n v="-1.65"/>
    <n v="-0.01"/>
    <n v="78724.3"/>
    <n v="0.304232"/>
    <n v="1.0666"/>
    <n v="0.32450099999999998"/>
    <s v="CohortAvg+Seasonal(1.067)"/>
    <n v="25546.11"/>
    <n v="27650.31"/>
    <n v="-2104.19"/>
    <x v="0"/>
    <n v="0"/>
    <n v="0.78500000000000003"/>
    <n v="0.24"/>
    <n v="0"/>
    <n v="0"/>
    <n v="0"/>
    <n v="27650.31"/>
    <n v="86578.18"/>
    <n v="0.31936799999999999"/>
    <n v="-2104.19"/>
    <n v="-2025.74"/>
    <n v="0"/>
    <n v="-2025.74"/>
    <n v="80750.03"/>
    <s v="Forecast"/>
  </r>
  <r>
    <x v="16"/>
    <x v="3"/>
    <s v="202301"/>
    <n v="44"/>
    <n v="1320171.17"/>
    <n v="-6.9818403431665135E-2"/>
    <s v="CohortAvg"/>
    <n v="-1.6140467943407361E-2"/>
    <s v="CohortAvg"/>
    <n v="0.19078549983793011"/>
    <s v="CohortAvg"/>
    <n v="2.5260671281419459E-2"/>
    <s v="CohortAvg_NonZero"/>
    <n v="4.5406789391807008E-7"/>
    <s v="CohortAvg"/>
    <n v="0"/>
    <s v="Zero"/>
    <n v="-2.3822527607333431E-3"/>
    <s v="CohortAvg"/>
    <n v="-1.404419932399394E-5"/>
    <s v="CohortAvg"/>
    <n v="0"/>
    <n v="-92172.24"/>
    <n v="-21308.18"/>
    <n v="20989.13"/>
    <n v="0"/>
    <n v="0.6"/>
    <n v="-3144.98"/>
    <n v="-18.54"/>
    <n v="1227679.28"/>
    <n v="0.28278999999999999"/>
    <n v="1.0666"/>
    <n v="0.30163000000000001"/>
    <s v="CohortAvg+Seasonal(1.067)"/>
    <n v="370305.43"/>
    <n v="391190.76"/>
    <n v="-20885.330000000002"/>
    <x v="0"/>
    <n v="0"/>
    <n v="0.78500000000000003"/>
    <n v="0.24"/>
    <n v="0"/>
    <n v="0"/>
    <n v="0"/>
    <n v="391190.76"/>
    <n v="1320171.17"/>
    <n v="0.29631800000000003"/>
    <n v="-20885.330000000002"/>
    <n v="-20884.73"/>
    <n v="0"/>
    <n v="-20884.73"/>
    <n v="1248564.01"/>
    <s v="Forecast"/>
  </r>
  <r>
    <x v="16"/>
    <x v="3"/>
    <s v="202404"/>
    <n v="34"/>
    <n v="354915.24"/>
    <n v="-5.0044685631071527E-2"/>
    <s v="CohortAvg"/>
    <n v="-1.754301469710846E-2"/>
    <s v="CohortAvg"/>
    <n v="0.19121529890933511"/>
    <s v="CohortAvg"/>
    <n v="6.3430322373941209E-2"/>
    <s v="CohortAvg_NonZero"/>
    <n v="9.3317238236373045E-7"/>
    <s v="CohortAvg"/>
    <n v="0"/>
    <s v="Zero"/>
    <n v="-1.057515651026762E-2"/>
    <s v="CohortAvg"/>
    <n v="-1.193545143408883E-4"/>
    <s v="CohortAvg"/>
    <n v="0"/>
    <n v="-17761.62"/>
    <n v="-6226.28"/>
    <n v="5655.44"/>
    <n v="0"/>
    <n v="0.33"/>
    <n v="-3753.28"/>
    <n v="-42.36"/>
    <n v="336582.44"/>
    <n v="0.21010100000000001"/>
    <n v="1.0666"/>
    <n v="0.22409899999999999"/>
    <s v="CohortTrend+Seasonal(1.067)"/>
    <n v="75427.7"/>
    <n v="76438.2"/>
    <n v="-1010.5"/>
    <x v="0"/>
    <n v="0"/>
    <n v="0.78500000000000003"/>
    <n v="0.24"/>
    <n v="0"/>
    <n v="0"/>
    <n v="0"/>
    <n v="76438.2"/>
    <n v="354915.24"/>
    <n v="0.21537000000000001"/>
    <n v="-1010.5"/>
    <n v="-1010.17"/>
    <n v="0"/>
    <n v="-1010.17"/>
    <n v="337592.61"/>
    <s v="Forecast"/>
  </r>
  <r>
    <x v="16"/>
    <x v="3"/>
    <s v="202405"/>
    <n v="33"/>
    <n v="331415.96999999997"/>
    <n v="-5.2135324647004287E-2"/>
    <s v="CohortAvg"/>
    <n v="-1.7932401900835709E-2"/>
    <s v="CohortAvg"/>
    <n v="0.19980166865638571"/>
    <s v="CohortAvg"/>
    <n v="4.5759754097313893E-2"/>
    <s v="CohortAvg_NonZero"/>
    <n v="1.772562603837857E-7"/>
    <s v="CohortAvg"/>
    <n v="0"/>
    <s v="Zero"/>
    <n v="-1.203945036500532E-2"/>
    <s v="CohortAvg"/>
    <n v="-1.074981522378712E-4"/>
    <s v="CohortAvg"/>
    <n v="0"/>
    <n v="-17278.48"/>
    <n v="-5943.08"/>
    <n v="5518.12"/>
    <n v="0"/>
    <n v="0.06"/>
    <n v="-3990.07"/>
    <n v="-35.630000000000003"/>
    <n v="313712.46999999997"/>
    <n v="0.16877600000000001"/>
    <n v="1.0666"/>
    <n v="0.18002099999999999"/>
    <s v="CohortTrend+Seasonal(1.067)"/>
    <n v="56474.82"/>
    <n v="57522.44"/>
    <n v="-1047.6199999999999"/>
    <x v="0"/>
    <n v="0"/>
    <n v="0.78500000000000003"/>
    <n v="0.24"/>
    <n v="0"/>
    <n v="0"/>
    <n v="0"/>
    <n v="57522.44"/>
    <n v="331415.96999999997"/>
    <n v="0.173566"/>
    <n v="-1047.6199999999999"/>
    <n v="-1047.56"/>
    <n v="0"/>
    <n v="-1047.56"/>
    <n v="314760.03999999998"/>
    <s v="Forecast"/>
  </r>
  <r>
    <x v="16"/>
    <x v="3"/>
    <s v="202406"/>
    <n v="32"/>
    <n v="434881.95"/>
    <n v="-4.8008212988941527E-2"/>
    <s v="CohortAvg"/>
    <n v="-1.8106416518388971E-2"/>
    <s v="CohortAvg"/>
    <n v="0.2023938299796193"/>
    <s v="CohortAvg"/>
    <n v="3.9503829980951137E-2"/>
    <s v="CohortAvg_NonZero"/>
    <n v="1.280778676012723E-7"/>
    <s v="CohortAvg"/>
    <n v="0"/>
    <s v="Zero"/>
    <n v="-1.3772949735650551E-2"/>
    <s v="CohortAvg"/>
    <n v="-1.045077671696048E-4"/>
    <s v="CohortAvg"/>
    <n v="0"/>
    <n v="-20877.91"/>
    <n v="-7874.15"/>
    <n v="7334.79"/>
    <n v="0"/>
    <n v="0.06"/>
    <n v="-5989.61"/>
    <n v="-45.45"/>
    <n v="413464.62"/>
    <n v="0.13249900000000001"/>
    <n v="1.0666"/>
    <n v="0.14132700000000001"/>
    <s v="CohortTrend+Seasonal(1.067)"/>
    <n v="58433.79"/>
    <n v="59301.21"/>
    <n v="-867.41"/>
    <x v="0"/>
    <n v="0"/>
    <n v="0.78500000000000003"/>
    <n v="0.24"/>
    <n v="0"/>
    <n v="0"/>
    <n v="0"/>
    <n v="59301.21"/>
    <n v="434881.95"/>
    <n v="0.13636200000000001"/>
    <n v="-867.41"/>
    <n v="-867.36"/>
    <n v="0"/>
    <n v="-867.36"/>
    <n v="414331.98"/>
    <s v="Forecast"/>
  </r>
  <r>
    <x v="16"/>
    <x v="3"/>
    <s v="202407"/>
    <n v="31"/>
    <n v="341608.54"/>
    <n v="-6.7707575143933579E-2"/>
    <s v="CohortAvg"/>
    <n v="-1.8949529644234069E-2"/>
    <s v="CohortAvg"/>
    <n v="0.20665014413673491"/>
    <s v="CohortAvg"/>
    <n v="2.708649690945095E-2"/>
    <s v="CohortAvg_NonZero"/>
    <n v="4.5314769002860094E-6"/>
    <s v="CohortAvg"/>
    <n v="0"/>
    <s v="Zero"/>
    <n v="-1.690754073535107E-2"/>
    <s v="CohortAvg"/>
    <n v="-2.0087336184506469E-4"/>
    <s v="CohortAvg"/>
    <n v="0"/>
    <n v="-23129.49"/>
    <n v="-6473.32"/>
    <n v="5882.79"/>
    <n v="0"/>
    <n v="1.55"/>
    <n v="-5775.76"/>
    <n v="-68.62"/>
    <n v="317886.96999999997"/>
    <n v="0.10742599999999999"/>
    <n v="1.0666"/>
    <n v="0.11458400000000001"/>
    <s v="CohortTrend+Seasonal(1.067)"/>
    <n v="36424.639999999999"/>
    <n v="37863.68"/>
    <n v="-1439.04"/>
    <x v="0"/>
    <n v="0"/>
    <n v="0.78500000000000003"/>
    <n v="0.24"/>
    <n v="0"/>
    <n v="0"/>
    <n v="0"/>
    <n v="37863.68"/>
    <n v="341608.54"/>
    <n v="0.11083899999999999"/>
    <n v="-1439.04"/>
    <n v="-1437.49"/>
    <n v="0"/>
    <n v="-1437.49"/>
    <n v="319324.46000000002"/>
    <s v="Forecast"/>
  </r>
  <r>
    <x v="16"/>
    <x v="3"/>
    <s v="202408"/>
    <n v="30"/>
    <n v="489025.47"/>
    <n v="-4.9804974345935567E-2"/>
    <s v="CohortAvg"/>
    <n v="-1.9273657184425551E-2"/>
    <s v="CohortAvg"/>
    <n v="0.21380927301303271"/>
    <s v="CohortAvg"/>
    <n v="3.2176534150099127E-2"/>
    <s v="CohortAvg_NonZero"/>
    <n v="2.3287581592420259E-7"/>
    <s v="CohortAvg"/>
    <n v="0"/>
    <s v="Zero"/>
    <n v="-1.142469402240349E-2"/>
    <s v="CohortAvg"/>
    <n v="-9.8226780117017932E-5"/>
    <s v="CohortAvg"/>
    <n v="0"/>
    <n v="-24355.9"/>
    <n v="-9425.31"/>
    <n v="8713.18"/>
    <n v="0"/>
    <n v="0.11"/>
    <n v="-5586.97"/>
    <n v="-48.04"/>
    <n v="463957.33"/>
    <n v="9.1534000000000004E-2"/>
    <n v="1.0666"/>
    <n v="9.7632999999999998E-2"/>
    <s v="CohortTrend+Seasonal(1.067)"/>
    <n v="45297.45"/>
    <n v="46332.959999999999"/>
    <n v="-1035.51"/>
    <x v="0"/>
    <n v="0"/>
    <n v="0.78500000000000003"/>
    <n v="0.24"/>
    <n v="0"/>
    <n v="0"/>
    <n v="0"/>
    <n v="46332.959999999999"/>
    <n v="489025.47"/>
    <n v="9.4744999999999996E-2"/>
    <n v="-1035.51"/>
    <n v="-1035.4000000000001"/>
    <n v="0"/>
    <n v="-1035.4000000000001"/>
    <n v="464992.72"/>
    <s v="Forecast"/>
  </r>
  <r>
    <x v="16"/>
    <x v="3"/>
    <s v="202409"/>
    <n v="29"/>
    <n v="305663.35999999999"/>
    <n v="-7.390052869612028E-2"/>
    <s v="CohortAvg"/>
    <n v="-2.017903126951175E-2"/>
    <s v="CohortAvg"/>
    <n v="0.21044568341358011"/>
    <s v="CohortAvg"/>
    <n v="3.5746753453189749E-2"/>
    <s v="CohortAvg_NonZero"/>
    <n v="1.5928113723140861E-7"/>
    <s v="CohortAvg"/>
    <n v="0"/>
    <s v="Zero"/>
    <n v="-1.410328313778436E-2"/>
    <s v="CohortAvg"/>
    <n v="-1.1005240918399389E-4"/>
    <s v="CohortAvg"/>
    <n v="0"/>
    <n v="-22588.68"/>
    <n v="-6167.99"/>
    <n v="5360.46"/>
    <n v="0"/>
    <n v="0.05"/>
    <n v="-4310.8599999999997"/>
    <n v="-33.64"/>
    <n v="282267.09999999998"/>
    <n v="7.5314999999999993E-2"/>
    <n v="1.0666"/>
    <n v="8.0333000000000002E-2"/>
    <s v="CohortTrend+Seasonal(1.067)"/>
    <n v="22675.34"/>
    <n v="23928.07"/>
    <n v="-1252.73"/>
    <x v="0"/>
    <n v="0"/>
    <n v="0.78500000000000003"/>
    <n v="0.24"/>
    <n v="0"/>
    <n v="0"/>
    <n v="0"/>
    <n v="23928.07"/>
    <n v="305663.35999999999"/>
    <n v="7.8282000000000004E-2"/>
    <n v="-1252.73"/>
    <n v="-1252.68"/>
    <n v="0"/>
    <n v="-1252.68"/>
    <n v="283519.78999999998"/>
    <s v="Forecast"/>
  </r>
  <r>
    <x v="16"/>
    <x v="3"/>
    <s v="202410"/>
    <n v="28"/>
    <n v="412910.48"/>
    <n v="-4.8325956875424507E-2"/>
    <s v="CohortAvg"/>
    <n v="-1.9998199438710802E-2"/>
    <s v="CohortAvg"/>
    <n v="0.21312116980633061"/>
    <s v="CohortAvg"/>
    <n v="3.7718919867737073E-2"/>
    <s v="CohortAvg_NonZero"/>
    <n v="9.1591497594404341E-7"/>
    <s v="CohortAvg"/>
    <n v="0"/>
    <s v="Zero"/>
    <n v="-1.9442469692814351E-2"/>
    <s v="CohortAvg"/>
    <n v="-1.5762063602523861E-4"/>
    <s v="CohortAvg"/>
    <n v="0"/>
    <n v="-19954.29"/>
    <n v="-8257.4699999999993"/>
    <n v="7333.33"/>
    <n v="0"/>
    <n v="0.38"/>
    <n v="-8028"/>
    <n v="-65.08"/>
    <n v="392031.67"/>
    <n v="6.9759000000000002E-2"/>
    <n v="1.0666"/>
    <n v="7.4406E-2"/>
    <s v="CohortTrend+Seasonal(1.067)"/>
    <n v="29169.599999999999"/>
    <n v="29959.51"/>
    <n v="-789.91"/>
    <x v="0"/>
    <n v="0"/>
    <n v="0.78500000000000003"/>
    <n v="0.24"/>
    <n v="0"/>
    <n v="0"/>
    <n v="0"/>
    <n v="29959.51"/>
    <n v="412910.48"/>
    <n v="7.2556999999999996E-2"/>
    <n v="-789.91"/>
    <n v="-789.53"/>
    <n v="0"/>
    <n v="-789.53"/>
    <n v="392821.21"/>
    <s v="Forecast"/>
  </r>
  <r>
    <x v="16"/>
    <x v="3"/>
    <s v="202411"/>
    <n v="27"/>
    <n v="464309.32"/>
    <n v="-5.2221635198356833E-2"/>
    <s v="CohortAvg"/>
    <n v="-2.0124446676921849E-2"/>
    <s v="CohortAvg"/>
    <n v="0.22303246243532951"/>
    <s v="CohortAvg"/>
    <n v="2.8750407770375779E-2"/>
    <s v="CohortAvg_NonZero"/>
    <n v="5.2022832082611462E-8"/>
    <s v="CohortAvg"/>
    <n v="0"/>
    <s v="Zero"/>
    <n v="-2.4300458195147281E-2"/>
    <s v="CohortAvg"/>
    <n v="-2.245823847386786E-4"/>
    <s v="CohortAvg"/>
    <n v="0"/>
    <n v="-24246.99"/>
    <n v="-9343.9699999999993"/>
    <n v="8629.67"/>
    <n v="0"/>
    <n v="0.02"/>
    <n v="-11282.93"/>
    <n v="-104.28"/>
    <n v="439348"/>
    <n v="6.4829999999999999E-2"/>
    <n v="1.0666"/>
    <n v="6.9150000000000003E-2"/>
    <s v="CohortTrend+Seasonal(1.067)"/>
    <n v="30380.77"/>
    <n v="31237.200000000001"/>
    <n v="-856.43"/>
    <x v="0"/>
    <n v="0"/>
    <n v="0.78500000000000003"/>
    <n v="0.24"/>
    <n v="0"/>
    <n v="0"/>
    <n v="0"/>
    <n v="31237.200000000001"/>
    <n v="464309.32"/>
    <n v="6.7277000000000003E-2"/>
    <n v="-856.43"/>
    <n v="-856.4"/>
    <n v="0"/>
    <n v="-856.4"/>
    <n v="440204.41"/>
    <s v="Forecast"/>
  </r>
  <r>
    <x v="16"/>
    <x v="3"/>
    <s v="202412"/>
    <n v="26"/>
    <n v="493137.17"/>
    <n v="-5.0392343406733743E-2"/>
    <s v="CohortAvg"/>
    <n v="-2.0613669531811811E-2"/>
    <s v="CohortAvg"/>
    <n v="0.22203229182295139"/>
    <s v="CohortAvg"/>
    <n v="3.2976654411613411E-2"/>
    <s v="CohortAvg_NonZero"/>
    <n v="9.1717010713680722E-7"/>
    <s v="CohortAvg"/>
    <n v="0"/>
    <s v="Zero"/>
    <n v="-4.4493441319755522E-2"/>
    <s v="CohortAvg"/>
    <n v="-4.6173394043655581E-4"/>
    <s v="CohortAvg"/>
    <n v="0"/>
    <n v="-24850.34"/>
    <n v="-10165.370000000001"/>
    <n v="9124.36"/>
    <n v="0"/>
    <n v="0.45"/>
    <n v="-21941.37"/>
    <n v="-227.7"/>
    <n v="467245.38"/>
    <n v="6.6419000000000006E-2"/>
    <n v="1.0666"/>
    <n v="7.0844000000000004E-2"/>
    <s v="CohortTrend+Seasonal(1.067)"/>
    <n v="33101.42"/>
    <n v="33775.199999999997"/>
    <n v="-673.78"/>
    <x v="0"/>
    <n v="0"/>
    <n v="0.78500000000000003"/>
    <n v="0.24"/>
    <n v="0"/>
    <n v="0"/>
    <n v="0"/>
    <n v="33775.199999999997"/>
    <n v="493137.17"/>
    <n v="6.8489999999999995E-2"/>
    <n v="-673.78"/>
    <n v="-673.32"/>
    <n v="0"/>
    <n v="-673.32"/>
    <n v="467918.7"/>
    <s v="Forecast"/>
  </r>
  <r>
    <x v="16"/>
    <x v="3"/>
    <s v="202501"/>
    <n v="25"/>
    <n v="848522.1"/>
    <n v="-5.2578913946549663E-2"/>
    <s v="CohortAvg"/>
    <n v="-2.083248677053234E-2"/>
    <s v="CohortAvg"/>
    <n v="0.2249889393391494"/>
    <s v="CohortAvg"/>
    <n v="1.4148443969406611E-2"/>
    <s v="CohortAvg_NonZero"/>
    <n v="1.523039514768268E-5"/>
    <s v="CohortAvg"/>
    <n v="0"/>
    <s v="Zero"/>
    <n v="-4.3293614365014159E-2"/>
    <s v="CohortAvg"/>
    <n v="-4.6061632550643692E-4"/>
    <s v="CohortAvg"/>
    <n v="0"/>
    <n v="-44614.37"/>
    <n v="-17676.830000000002"/>
    <n v="15909.01"/>
    <n v="0"/>
    <n v="12.92"/>
    <n v="-36735.589999999997"/>
    <n v="-390.84"/>
    <n v="802126.99"/>
    <n v="6.8722000000000005E-2"/>
    <n v="1.0666"/>
    <n v="7.3301000000000005E-2"/>
    <s v="CohortTrend+Seasonal(1.067)"/>
    <n v="58796.61"/>
    <n v="59664.91"/>
    <n v="-868.3"/>
    <x v="0"/>
    <n v="0"/>
    <n v="0.78500000000000003"/>
    <n v="0.24"/>
    <n v="0"/>
    <n v="0"/>
    <n v="0"/>
    <n v="59664.91"/>
    <n v="848522.1"/>
    <n v="7.0316000000000004E-2"/>
    <n v="-868.3"/>
    <n v="-855.38"/>
    <n v="0"/>
    <n v="-855.38"/>
    <n v="802982.37"/>
    <s v="Forecast"/>
  </r>
  <r>
    <x v="16"/>
    <x v="3"/>
    <s v="202502"/>
    <n v="24"/>
    <n v="907146.99"/>
    <n v="-5.3365776741529973E-2"/>
    <s v="CohortAvg"/>
    <n v="-1.914530248260795E-2"/>
    <s v="CohortAvg"/>
    <n v="0.22675764855503661"/>
    <s v="CohortAvg"/>
    <n v="1.9491751522335739E-2"/>
    <s v="CohortAvg_NonZero"/>
    <n v="3.8919891976048012E-4"/>
    <s v="CohortAvg"/>
    <n v="0"/>
    <s v="Zero"/>
    <n v="-9.1970002637909221E-2"/>
    <s v="CohortAvg"/>
    <n v="-1.195903003950698E-3"/>
    <s v="CohortAvg"/>
    <n v="0"/>
    <n v="-48410.6"/>
    <n v="-17367.599999999999"/>
    <n v="17141.88"/>
    <n v="0"/>
    <n v="353.06"/>
    <n v="-83430.31"/>
    <n v="-1084.8599999999999"/>
    <n v="858157.6"/>
    <n v="6.6850999999999994E-2"/>
    <n v="1.0666"/>
    <n v="7.1304999999999993E-2"/>
    <s v="CohortTrend+Seasonal(1.067)"/>
    <n v="61190.74"/>
    <n v="61845.72"/>
    <n v="-654.98"/>
    <x v="0"/>
    <n v="0"/>
    <n v="0.78500000000000003"/>
    <n v="0.24"/>
    <n v="0"/>
    <n v="0"/>
    <n v="0"/>
    <n v="61845.72"/>
    <n v="907146.99"/>
    <n v="6.8176E-2"/>
    <n v="-654.98"/>
    <n v="-301.92"/>
    <n v="0"/>
    <n v="-301.92"/>
    <n v="858459.52"/>
    <s v="Forecast"/>
  </r>
  <r>
    <x v="16"/>
    <x v="3"/>
    <s v="202503"/>
    <n v="23"/>
    <n v="1197188.02"/>
    <n v="-4.5528860619160907E-2"/>
    <s v="CohortAvg"/>
    <n v="-2.1958146891483191E-2"/>
    <s v="CohortAvg"/>
    <n v="0.25478243808940387"/>
    <s v="CohortAvg"/>
    <n v="4.6176837495393924E-3"/>
    <s v="CohortAvg_NonZero"/>
    <n v="1.7864627597611329E-8"/>
    <s v="CohortAvg"/>
    <n v="0"/>
    <s v="Zero"/>
    <n v="0"/>
    <s v="CohortAvg"/>
    <n v="0"/>
    <s v="CohortAvg"/>
    <n v="0"/>
    <n v="-54506.61"/>
    <n v="-26288.03"/>
    <n v="25418.54"/>
    <n v="0"/>
    <n v="0.02"/>
    <n v="0"/>
    <n v="0"/>
    <n v="1141811.9099999999"/>
    <n v="7.2835999999999998E-2"/>
    <n v="1.0666"/>
    <n v="7.7687999999999993E-2"/>
    <s v="CohortTrend+Seasonal(1.067)"/>
    <n v="88705.38"/>
    <n v="87786.53"/>
    <n v="918.84"/>
    <x v="0"/>
    <n v="0"/>
    <n v="0.78500000000000003"/>
    <n v="0.24"/>
    <n v="0"/>
    <n v="0"/>
    <n v="0"/>
    <n v="87786.53"/>
    <n v="1197188.02"/>
    <n v="7.3327000000000003E-2"/>
    <n v="918.84"/>
    <n v="918.87"/>
    <n v="0"/>
    <n v="918.87"/>
    <n v="1140893.04"/>
    <s v="Forecast"/>
  </r>
  <r>
    <x v="16"/>
    <x v="3"/>
    <s v="202504"/>
    <n v="22"/>
    <n v="933211.79"/>
    <n v="-5.576347780190833E-2"/>
    <s v="CohortAvg"/>
    <n v="-2.202008060218244E-2"/>
    <s v="CohortAvg"/>
    <n v="0.25069886729454272"/>
    <s v="CohortAvg"/>
    <n v="2.1791689037598898E-3"/>
    <s v="CohortAvg_NonZero"/>
    <n v="1.410417894929803E-8"/>
    <s v="CohortAvg"/>
    <n v="0"/>
    <s v="Zero"/>
    <n v="0"/>
    <s v="CohortAvg"/>
    <n v="0"/>
    <s v="CohortAvg"/>
    <n v="0"/>
    <n v="-52039.13"/>
    <n v="-20549.400000000001"/>
    <n v="19496.259999999998"/>
    <n v="0"/>
    <n v="0.01"/>
    <n v="0"/>
    <n v="0"/>
    <n v="880119.5"/>
    <n v="7.1368000000000001E-2"/>
    <n v="1.0666"/>
    <n v="7.6122999999999996E-2"/>
    <s v="CohortTrend+Seasonal(1.067)"/>
    <n v="66997.41"/>
    <n v="66735.97"/>
    <n v="261.44"/>
    <x v="0"/>
    <n v="0"/>
    <n v="0.78500000000000003"/>
    <n v="0.24"/>
    <n v="0"/>
    <n v="0"/>
    <n v="0"/>
    <n v="66735.97"/>
    <n v="933211.79"/>
    <n v="7.1512000000000006E-2"/>
    <n v="261.44"/>
    <n v="261.45"/>
    <n v="0"/>
    <n v="261.45"/>
    <n v="879858.05"/>
    <s v="Forecast"/>
  </r>
  <r>
    <x v="16"/>
    <x v="3"/>
    <s v="202505"/>
    <n v="21"/>
    <n v="1203534.56"/>
    <n v="-4.9320108588112997E-2"/>
    <s v="CohortAvg"/>
    <n v="-2.1483625254924109E-2"/>
    <s v="CohortAvg"/>
    <n v="0.24312318601439309"/>
    <s v="CohortAvg"/>
    <n v="0"/>
    <s v="CohortAvg_NoData_ERROR"/>
    <n v="0"/>
    <s v="CohortAvg"/>
    <n v="0"/>
    <s v="Zero"/>
    <n v="0"/>
    <s v="CohortAvg"/>
    <n v="0"/>
    <s v="CohortAvg"/>
    <n v="0"/>
    <n v="-59358.46"/>
    <n v="-25856.29"/>
    <n v="24383.93"/>
    <n v="0"/>
    <n v="0"/>
    <n v="0"/>
    <n v="0"/>
    <n v="1142703.75"/>
    <n v="7.3580000000000007E-2"/>
    <n v="1.0666"/>
    <n v="7.8481999999999996E-2"/>
    <s v="CohortTrend+Seasonal(1.067)"/>
    <n v="89682.13"/>
    <n v="87770.64"/>
    <n v="1911.49"/>
    <x v="0"/>
    <n v="0"/>
    <n v="0.78500000000000003"/>
    <n v="0.24"/>
    <n v="0"/>
    <n v="0"/>
    <n v="0"/>
    <n v="87770.64"/>
    <n v="1203534.56"/>
    <n v="7.2927000000000006E-2"/>
    <n v="1911.49"/>
    <n v="1911.49"/>
    <n v="0"/>
    <n v="1911.49"/>
    <n v="1140792.26"/>
    <s v="Forecast"/>
  </r>
  <r>
    <x v="16"/>
    <x v="3"/>
    <s v="202506"/>
    <n v="20"/>
    <n v="1321016.3799999999"/>
    <n v="-5.3554418541537259E-2"/>
    <s v="CohortAvg"/>
    <n v="-2.2562972335964632E-2"/>
    <s v="CohortAvg"/>
    <n v="0.25540021597284113"/>
    <s v="CohortAvg"/>
    <n v="0"/>
    <s v="CohortAvg_NoData_ERROR"/>
    <n v="0"/>
    <s v="CohortAvg"/>
    <n v="0"/>
    <s v="Zero"/>
    <n v="0"/>
    <s v="CohortAvg"/>
    <n v="0"/>
    <s v="CohortAvg"/>
    <n v="0"/>
    <n v="-70746.259999999995"/>
    <n v="-29806.06"/>
    <n v="28115.66"/>
    <n v="0"/>
    <n v="0"/>
    <n v="0"/>
    <n v="0"/>
    <n v="1248579.72"/>
    <n v="7.1485999999999994E-2"/>
    <n v="1.0666"/>
    <n v="7.6248999999999997E-2"/>
    <s v="CohortTrend+Seasonal(1.067)"/>
    <n v="95202.45"/>
    <n v="99659.14"/>
    <n v="-4456.7"/>
    <x v="0"/>
    <n v="0"/>
    <n v="0.78500000000000003"/>
    <n v="0.24"/>
    <n v="0"/>
    <n v="0"/>
    <n v="0"/>
    <n v="99659.14"/>
    <n v="1321016.3799999999"/>
    <n v="7.5440999999999994E-2"/>
    <n v="-4456.7"/>
    <n v="-4456.7"/>
    <n v="0"/>
    <n v="-4456.7"/>
    <n v="1253036.4099999999"/>
    <s v="Forecast"/>
  </r>
  <r>
    <x v="16"/>
    <x v="3"/>
    <s v="202507"/>
    <n v="19"/>
    <n v="1858878.84"/>
    <n v="-3.9544336841918257E-2"/>
    <s v="CohortAvg"/>
    <n v="-2.3746752441404489E-2"/>
    <s v="CohortAvg"/>
    <n v="0.2569455355271249"/>
    <s v="CohortAvg"/>
    <n v="0"/>
    <s v="CohortAvg_NoData_ERROR"/>
    <n v="0"/>
    <s v="CohortAvg"/>
    <n v="0"/>
    <s v="Zero"/>
    <n v="0"/>
    <s v="CohortAvg"/>
    <n v="0"/>
    <s v="CohortAvg"/>
    <n v="0"/>
    <n v="-73508.13"/>
    <n v="-44142.34"/>
    <n v="39802.550000000003"/>
    <n v="0"/>
    <n v="0"/>
    <n v="0"/>
    <n v="0"/>
    <n v="1781030.93"/>
    <n v="7.1835999999999997E-2"/>
    <n v="1.0666"/>
    <n v="7.6621999999999996E-2"/>
    <s v="DonorCohort:202101+Seasonal(1.067)"/>
    <n v="136466.23000000001"/>
    <n v="120399.01"/>
    <n v="16067.22"/>
    <x v="0"/>
    <n v="0"/>
    <n v="0.78500000000000003"/>
    <n v="0.24"/>
    <n v="0"/>
    <n v="0"/>
    <n v="0"/>
    <n v="120399.01"/>
    <n v="1858878.84"/>
    <n v="6.4769999999999994E-2"/>
    <n v="16067.22"/>
    <n v="16067.22"/>
    <n v="0"/>
    <n v="16067.22"/>
    <n v="1764963.71"/>
    <s v="Forecast"/>
  </r>
  <r>
    <x v="16"/>
    <x v="3"/>
    <s v="202508"/>
    <n v="18"/>
    <n v="2134512.58"/>
    <n v="-3.9595176067491827E-2"/>
    <s v="CohortAvg"/>
    <n v="-1.8158486596627329E-2"/>
    <s v="CohortAvg"/>
    <n v="0.24762787900164829"/>
    <s v="CohortAvg"/>
    <n v="0"/>
    <s v="CohortAvg_NoData_ERROR"/>
    <n v="0"/>
    <s v="CohortAvg"/>
    <n v="0"/>
    <s v="Zero"/>
    <n v="0"/>
    <s v="CohortAvg"/>
    <n v="0"/>
    <s v="CohortAvg"/>
    <n v="0"/>
    <n v="-84516.4"/>
    <n v="-38759.519999999997"/>
    <n v="44047.07"/>
    <n v="0"/>
    <n v="0"/>
    <n v="0"/>
    <n v="0"/>
    <n v="2055283.73"/>
    <n v="6.1674E-2"/>
    <n v="1.0666"/>
    <n v="6.5782999999999994E-2"/>
    <s v="DonorCohort:202101+Seasonal(1.067)"/>
    <n v="135203.64000000001"/>
    <n v="131675.39000000001"/>
    <n v="3528.25"/>
    <x v="0"/>
    <n v="0"/>
    <n v="0.78500000000000003"/>
    <n v="0.24"/>
    <n v="0"/>
    <n v="0"/>
    <n v="0"/>
    <n v="131675.39000000001"/>
    <n v="2134512.58"/>
    <n v="6.1689000000000001E-2"/>
    <n v="3528.25"/>
    <n v="3528.25"/>
    <n v="0"/>
    <n v="3528.25"/>
    <n v="2051755.48"/>
    <s v="Forecast"/>
  </r>
  <r>
    <x v="16"/>
    <x v="3"/>
    <s v="202509"/>
    <n v="17"/>
    <n v="202733.03"/>
    <n v="-0.25391914122501619"/>
    <s v="CohortAvg"/>
    <n v="-3.714835294389497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51477.8"/>
    <n v="-7531.2"/>
    <n v="8447.2099999999991"/>
    <n v="0"/>
    <n v="0"/>
    <n v="0"/>
    <n v="0"/>
    <n v="152171.24"/>
    <n v="5.8741000000000002E-2"/>
    <n v="1.0666"/>
    <n v="6.2654000000000001E-2"/>
    <s v="DonorCohort:202101+Seasonal(1.067)"/>
    <n v="9534.18"/>
    <n v="11685.95"/>
    <n v="-2151.77"/>
    <x v="0"/>
    <n v="0"/>
    <n v="0.78500000000000003"/>
    <n v="0.24"/>
    <n v="0"/>
    <n v="0"/>
    <n v="0"/>
    <n v="11685.95"/>
    <n v="202733.03"/>
    <n v="5.7641999999999999E-2"/>
    <n v="-2151.77"/>
    <n v="-2151.77"/>
    <n v="0"/>
    <n v="-2151.77"/>
    <n v="154323.01"/>
    <s v="Forecast"/>
  </r>
  <r>
    <x v="16"/>
    <x v="4"/>
    <s v="202101"/>
    <n v="71"/>
    <n v="269570.59000000003"/>
    <n v="-0.13738696653737401"/>
    <s v="CohortAvg"/>
    <n v="-1.1517300510361419E-2"/>
    <s v="CohortAvg"/>
    <n v="0.13171897070410021"/>
    <s v="CohortAvg"/>
    <n v="4.6165256259137637E-2"/>
    <s v="CohortAvg_NonZero"/>
    <n v="0"/>
    <s v="CohortAvg"/>
    <n v="0"/>
    <s v="Zero"/>
    <n v="0"/>
    <s v="CohortAvg"/>
    <n v="0"/>
    <s v="CohortAvg"/>
    <n v="0"/>
    <n v="-37035.49"/>
    <n v="-3104.73"/>
    <n v="2958.96"/>
    <n v="0"/>
    <n v="0"/>
    <n v="0"/>
    <n v="0"/>
    <n v="232389.34"/>
    <n v="0.170096"/>
    <n v="1.1869000000000001"/>
    <n v="0.20189199999999999"/>
    <s v="CohortAvg+Seasonal(1.187)"/>
    <n v="46917.52"/>
    <n v="48364.66"/>
    <n v="-1447.14"/>
    <x v="0"/>
    <n v="0"/>
    <n v="0.78500000000000003"/>
    <n v="0.24"/>
    <n v="0"/>
    <n v="0"/>
    <n v="0"/>
    <n v="48364.66"/>
    <n v="269570.59000000003"/>
    <n v="0.17941399999999999"/>
    <n v="-1447.14"/>
    <n v="-1447.14"/>
    <n v="0"/>
    <n v="-1447.14"/>
    <n v="233836.48"/>
    <s v="Forecast"/>
  </r>
  <r>
    <x v="16"/>
    <x v="4"/>
    <s v="202201"/>
    <n v="53"/>
    <n v="19246.060000000001"/>
    <n v="-9.8835919177034062E-2"/>
    <s v="CohortAvg"/>
    <n v="-9.5718289673631472E-3"/>
    <s v="CohortAvg"/>
    <n v="9.9613112112426364E-2"/>
    <s v="CohortAvg"/>
    <n v="3.6282993654433569E-2"/>
    <s v="CohortAvg_NonZero"/>
    <n v="4.4646931025194271E-10"/>
    <s v="CohortAvg"/>
    <n v="0"/>
    <s v="Zero"/>
    <n v="0"/>
    <s v="CohortAvg"/>
    <n v="0"/>
    <s v="CohortAvg"/>
    <n v="0"/>
    <n v="-1902.2"/>
    <n v="-184.22"/>
    <n v="159.76"/>
    <n v="0"/>
    <n v="0"/>
    <n v="0"/>
    <n v="0"/>
    <n v="17319.400000000001"/>
    <n v="3.9057000000000001E-2"/>
    <n v="1.1869000000000001"/>
    <n v="4.6358000000000003E-2"/>
    <s v="CohortAvg+Seasonal(1.187)"/>
    <n v="802.9"/>
    <n v="791.56"/>
    <n v="11.34"/>
    <x v="0"/>
    <n v="0"/>
    <n v="0.78500000000000003"/>
    <n v="0.24"/>
    <n v="0"/>
    <n v="0"/>
    <n v="0"/>
    <n v="791.56"/>
    <n v="19246.060000000001"/>
    <n v="4.1128999999999999E-2"/>
    <n v="11.34"/>
    <n v="11.34"/>
    <n v="0"/>
    <n v="11.34"/>
    <n v="17308.060000000001"/>
    <s v="Forecast"/>
  </r>
  <r>
    <x v="16"/>
    <x v="4"/>
    <s v="202405"/>
    <n v="33"/>
    <n v="3673.64"/>
    <n v="-1.6749671647958521E-2"/>
    <s v="CohortAvg"/>
    <n v="-1.046029990188773E-2"/>
    <s v="CohortAvg"/>
    <n v="0.1215721505556541"/>
    <s v="CohortAvg"/>
    <n v="0"/>
    <s v="CohortAvg_NoData_ERROR"/>
    <n v="0"/>
    <s v="CohortAvg"/>
    <n v="0"/>
    <s v="Zero"/>
    <n v="0"/>
    <s v="CohortAvg"/>
    <n v="0"/>
    <s v="CohortAvg"/>
    <n v="0"/>
    <n v="-61.53"/>
    <n v="-38.43"/>
    <n v="37.22"/>
    <n v="0"/>
    <n v="0"/>
    <n v="0"/>
    <n v="0"/>
    <n v="3610.9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3673.64"/>
    <n v="0"/>
    <n v="0"/>
    <n v="0"/>
    <n v="0"/>
    <n v="0"/>
    <n v="3610.9"/>
    <s v="Forecast"/>
  </r>
  <r>
    <x v="16"/>
    <x v="4"/>
    <s v="202407"/>
    <n v="31"/>
    <n v="1291.3900000000001"/>
    <n v="-5.3606337808837279E-2"/>
    <s v="CohortAvg"/>
    <n v="-1.049701465474241E-2"/>
    <s v="CohortAvg"/>
    <n v="0.1204587554882677"/>
    <s v="CohortAvg"/>
    <n v="0"/>
    <s v="CohortAvg_NoData_ERROR"/>
    <n v="0"/>
    <s v="CohortAvg"/>
    <n v="0"/>
    <s v="Zero"/>
    <n v="0"/>
    <s v="CohortAvg"/>
    <n v="0"/>
    <s v="CohortAvg"/>
    <n v="0"/>
    <n v="-69.23"/>
    <n v="-13.56"/>
    <n v="12.96"/>
    <n v="0"/>
    <n v="0"/>
    <n v="0"/>
    <n v="0"/>
    <n v="1221.57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1291.3900000000001"/>
    <n v="0"/>
    <n v="0"/>
    <n v="0"/>
    <n v="0"/>
    <n v="0"/>
    <n v="1221.57"/>
    <s v="Forecast"/>
  </r>
  <r>
    <x v="16"/>
    <x v="4"/>
    <s v="202409"/>
    <n v="29"/>
    <n v="5027.22"/>
    <n v="-4.346972324067061E-2"/>
    <s v="CohortAvg"/>
    <n v="-1.046666784532839E-2"/>
    <s v="CohortAvg"/>
    <n v="0.12081822513157631"/>
    <s v="CohortAvg"/>
    <n v="0"/>
    <s v="CohortAvg_NoData_ERROR"/>
    <n v="0"/>
    <s v="CohortAvg"/>
    <n v="0"/>
    <s v="Zero"/>
    <n v="0"/>
    <s v="CohortAvg"/>
    <n v="0"/>
    <s v="CohortAvg"/>
    <n v="0"/>
    <n v="-218.53"/>
    <n v="-52.62"/>
    <n v="50.61"/>
    <n v="0"/>
    <n v="0"/>
    <n v="0"/>
    <n v="0"/>
    <n v="4806.68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5027.22"/>
    <n v="0"/>
    <n v="0"/>
    <n v="0"/>
    <n v="0"/>
    <n v="0"/>
    <n v="4806.68"/>
    <s v="Forecast"/>
  </r>
  <r>
    <x v="16"/>
    <x v="4"/>
    <s v="202504"/>
    <n v="22"/>
    <n v="3781.98"/>
    <n v="-1.2982453613059251E-2"/>
    <s v="CohortAvg"/>
    <n v="-1.043026358648444E-2"/>
    <s v="CohortAvg"/>
    <n v="0.12559077464292939"/>
    <s v="CohortAvg"/>
    <n v="0"/>
    <s v="CohortAvg_NoData_ERROR"/>
    <n v="0"/>
    <s v="CohortAvg"/>
    <n v="0"/>
    <s v="Zero"/>
    <n v="0"/>
    <s v="CohortAvg"/>
    <n v="0"/>
    <s v="CohortAvg"/>
    <n v="0"/>
    <n v="-49.1"/>
    <n v="-39.450000000000003"/>
    <n v="39.58"/>
    <n v="0"/>
    <n v="0"/>
    <n v="0"/>
    <n v="0"/>
    <n v="3733.01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3781.98"/>
    <n v="0"/>
    <n v="0"/>
    <n v="0"/>
    <n v="0"/>
    <n v="0"/>
    <n v="3733.01"/>
    <s v="Forecast"/>
  </r>
  <r>
    <x v="16"/>
    <x v="4"/>
    <s v="202507"/>
    <n v="19"/>
    <n v="8528.4599999999991"/>
    <n v="-1.1622206062950981E-2"/>
    <s v="CohortAvg"/>
    <n v="-1.1488445381645869E-2"/>
    <s v="CohortAvg"/>
    <n v="0.1367034162938256"/>
    <s v="CohortAvg"/>
    <n v="0"/>
    <s v="CohortAvg_NoData_ERROR"/>
    <n v="0"/>
    <s v="CohortAvg"/>
    <n v="0"/>
    <s v="Zero"/>
    <n v="0"/>
    <s v="CohortAvg"/>
    <n v="0"/>
    <s v="CohortAvg"/>
    <n v="0"/>
    <n v="-99.12"/>
    <n v="-97.98"/>
    <n v="97.16"/>
    <n v="0"/>
    <n v="0"/>
    <n v="0"/>
    <n v="0"/>
    <n v="8428.51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8528.4599999999991"/>
    <n v="0"/>
    <n v="0"/>
    <n v="0"/>
    <n v="0"/>
    <n v="0"/>
    <n v="8428.51"/>
    <s v="Forecast"/>
  </r>
  <r>
    <x v="16"/>
    <x v="4"/>
    <s v="202508"/>
    <n v="18"/>
    <n v="30003.18"/>
    <n v="-7.5631199128720758E-3"/>
    <s v="CohortAvg"/>
    <n v="-3.892631830511081E-3"/>
    <s v="CohortAvg"/>
    <n v="0.13570475058015449"/>
    <s v="CohortAvg"/>
    <n v="0"/>
    <s v="CohortAvg_NoData_ERROR"/>
    <n v="0"/>
    <s v="CohortAvg"/>
    <n v="0"/>
    <s v="Zero"/>
    <n v="0"/>
    <s v="CohortAvg"/>
    <n v="0"/>
    <s v="CohortAvg"/>
    <n v="0"/>
    <n v="-226.92"/>
    <n v="-116.79"/>
    <n v="339.3"/>
    <n v="0"/>
    <n v="0"/>
    <n v="0"/>
    <n v="0"/>
    <n v="29998.77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30003.18"/>
    <n v="0"/>
    <n v="0"/>
    <n v="0"/>
    <n v="0"/>
    <n v="0"/>
    <n v="29998.77"/>
    <s v="Forecast"/>
  </r>
  <r>
    <x v="16"/>
    <x v="4"/>
    <s v="202509"/>
    <n v="17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1869000000000001"/>
    <n v="0"/>
    <s v="Manual+Seasonal(1.187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7"/>
    <x v="0"/>
    <s v="201912"/>
    <n v="87"/>
    <n v="309064.34999999998"/>
    <n v="-4.7164697930352742E-4"/>
    <s v="CohortAvg"/>
    <n v="1.4802775459700011E-3"/>
    <s v="CohortAvg"/>
    <n v="0"/>
    <s v="CohortAvg"/>
    <n v="2.8868079057178111E-2"/>
    <s v="CohortAvg_NonZero"/>
    <n v="6.7600697213845119E-6"/>
    <s v="CohortAvg"/>
    <n v="0"/>
    <s v="Zero"/>
    <n v="0"/>
    <s v="CohortAvg"/>
    <n v="0"/>
    <s v="CohortAvg"/>
    <n v="0"/>
    <n v="-145.77000000000001"/>
    <n v="457.5"/>
    <n v="0"/>
    <n v="8922.09"/>
    <n v="2.09"/>
    <n v="0"/>
    <n v="0"/>
    <n v="299536.89"/>
    <n v="0.99671699999999996"/>
    <n v="0.95499999999999996"/>
    <n v="0.95181700000000002"/>
    <s v="CohortAvg+Seasonal(0.955)"/>
    <n v="285104.18"/>
    <n v="320367.96000000002"/>
    <n v="-35263.78"/>
    <x v="1"/>
    <n v="8922.09"/>
    <n v="0.78500000000000003"/>
    <n v="0.24"/>
    <n v="7003.84"/>
    <n v="7003.84"/>
    <n v="2141.3000000000002"/>
    <n v="313364.12"/>
    <n v="300142.25"/>
    <n v="1.044052"/>
    <n v="-28259.93"/>
    <n v="-28257.84"/>
    <n v="18067.240000000002"/>
    <n v="-10190.6"/>
    <n v="309727.5"/>
    <s v="Forecast"/>
  </r>
  <r>
    <x v="17"/>
    <x v="0"/>
    <s v="202001"/>
    <n v="86"/>
    <n v="47518.59"/>
    <n v="3.8551549051020949E-2"/>
    <s v="CohortAvg"/>
    <n v="1.654418015207012E-3"/>
    <s v="CohortAvg"/>
    <n v="0"/>
    <s v="CohortAvg"/>
    <n v="1.309760543633613E-2"/>
    <s v="CohortAvg_NonZero"/>
    <n v="0"/>
    <s v="CohortAvg"/>
    <n v="0"/>
    <s v="Zero"/>
    <n v="0"/>
    <s v="CohortAvg"/>
    <n v="0"/>
    <s v="CohortAvg"/>
    <n v="0"/>
    <n v="1831.92"/>
    <n v="78.62"/>
    <n v="0"/>
    <n v="622.38"/>
    <n v="0"/>
    <n v="0"/>
    <n v="0"/>
    <n v="44985.68"/>
    <n v="0.99839599999999995"/>
    <n v="0.95499999999999996"/>
    <n v="0.95342000000000005"/>
    <s v="CohortAvg+Seasonal(0.955)"/>
    <n v="42890.239999999998"/>
    <n v="49339.68"/>
    <n v="-6449.44"/>
    <x v="1"/>
    <n v="622.38"/>
    <n v="0.78500000000000003"/>
    <n v="0.24"/>
    <n v="488.57"/>
    <n v="488.57"/>
    <n v="149.37"/>
    <n v="48851.11"/>
    <n v="46896.21"/>
    <n v="1.0416859999999999"/>
    <n v="-5960.88"/>
    <n v="-5960.88"/>
    <n v="1260.32"/>
    <n v="-4700.5600000000004"/>
    <n v="49686.23"/>
    <s v="Forecast"/>
  </r>
  <r>
    <x v="17"/>
    <x v="0"/>
    <s v="202101"/>
    <n v="74"/>
    <n v="686253.14"/>
    <n v="-5.2161653803373701E-3"/>
    <s v="CohortAvg"/>
    <n v="-2.052302677372159E-3"/>
    <s v="CohortAvg"/>
    <n v="0"/>
    <s v="CohortAvg"/>
    <n v="1.5400091262158669E-2"/>
    <s v="CohortAvg_NonZero"/>
    <n v="5.5782310465096059E-6"/>
    <s v="CohortAvg"/>
    <n v="0"/>
    <s v="Zero"/>
    <n v="0"/>
    <s v="CohortAvg"/>
    <n v="0"/>
    <s v="CohortAvg"/>
    <n v="0"/>
    <n v="-3579.61"/>
    <n v="-1408.4"/>
    <n v="0"/>
    <n v="10568.36"/>
    <n v="3.83"/>
    <n v="0"/>
    <n v="0"/>
    <n v="670692.93999999994"/>
    <n v="0.944797"/>
    <n v="0.95499999999999996"/>
    <n v="0.90223500000000001"/>
    <s v="CohortAvg+Seasonal(0.955)"/>
    <n v="605122.51"/>
    <n v="674344.5"/>
    <n v="-69222"/>
    <x v="1"/>
    <n v="10568.36"/>
    <n v="0.78500000000000003"/>
    <n v="0.24"/>
    <n v="8296.16"/>
    <n v="8296.16"/>
    <n v="2536.41"/>
    <n v="666048.34"/>
    <n v="675684.78"/>
    <n v="0.985738"/>
    <n v="-60925.83"/>
    <n v="-60922"/>
    <n v="21400.93"/>
    <n v="-39521.07"/>
    <n v="710214.02"/>
    <s v="Forecast"/>
  </r>
  <r>
    <x v="17"/>
    <x v="0"/>
    <s v="202201"/>
    <n v="54"/>
    <n v="112292.11"/>
    <n v="-0.1152030469265216"/>
    <s v="CohortAvg"/>
    <n v="-5.933526630147689E-3"/>
    <s v="CohortAvg"/>
    <n v="2.5203777473093492E-2"/>
    <s v="CohortAvg"/>
    <n v="4.2675378951063957E-2"/>
    <s v="CohortAvg_NonZero"/>
    <n v="4.5399271787994978E-3"/>
    <s v="CohortAvg"/>
    <n v="0"/>
    <s v="Zero"/>
    <n v="-8.436776305886382E-6"/>
    <s v="CohortAvg"/>
    <n v="-1.8589978840914099E-7"/>
    <s v="CohortAvg"/>
    <n v="0"/>
    <n v="-12936.39"/>
    <n v="-666.29"/>
    <n v="235.85"/>
    <n v="4792.1099999999997"/>
    <n v="509.8"/>
    <n v="-0.95"/>
    <n v="-0.02"/>
    <n v="93623.37"/>
    <n v="0.58493399999999995"/>
    <n v="0.95499999999999996"/>
    <n v="0.55858399999999997"/>
    <s v="CohortAvg+Seasonal(0.955)"/>
    <n v="52296.480000000003"/>
    <n v="68309.59"/>
    <n v="-16013.12"/>
    <x v="1"/>
    <n v="4792.1099999999997"/>
    <n v="0.78500000000000003"/>
    <n v="0.24"/>
    <n v="3761.81"/>
    <n v="3761.81"/>
    <n v="1150.1099999999999"/>
    <n v="64547.79"/>
    <n v="107500"/>
    <n v="0.60044500000000001"/>
    <n v="-12251.31"/>
    <n v="-11741.51"/>
    <n v="9704.02"/>
    <n v="-2037.49"/>
    <n v="95660.86"/>
    <s v="Forecast"/>
  </r>
  <r>
    <x v="17"/>
    <x v="0"/>
    <s v="202301"/>
    <n v="45"/>
    <n v="1466645.18"/>
    <n v="-6.9376312311246482E-2"/>
    <s v="CohortAvg"/>
    <n v="-1.6840885687956039E-2"/>
    <s v="CohortAvg"/>
    <n v="0.20595979502529621"/>
    <s v="CohortAvg"/>
    <n v="6.6327726792772726E-2"/>
    <s v="CohortAvg_NonZero"/>
    <n v="1.111291172263508E-4"/>
    <s v="CohortAvg"/>
    <n v="0"/>
    <s v="Zero"/>
    <n v="-5.1712997120743941E-3"/>
    <s v="CohortAvg"/>
    <n v="-7.1014587571753576E-5"/>
    <s v="CohortAvg"/>
    <n v="0"/>
    <n v="-101750.43"/>
    <n v="-24699.599999999999"/>
    <n v="25172.49"/>
    <n v="97279.24"/>
    <n v="162.99"/>
    <n v="-7584.46"/>
    <n v="-104.15"/>
    <n v="1267925.4099999999"/>
    <n v="0.60911499999999996"/>
    <n v="0.95499999999999996"/>
    <n v="0.58167500000000005"/>
    <s v="CohortAvg+Seasonal(0.955)"/>
    <n v="737520.42"/>
    <n v="931230.42"/>
    <n v="-193710"/>
    <x v="1"/>
    <n v="97279.24"/>
    <n v="0.78500000000000003"/>
    <n v="0.24"/>
    <n v="76364.2"/>
    <n v="76364.2"/>
    <n v="23347.02"/>
    <n v="854866.22"/>
    <n v="1369365.94"/>
    <n v="0.62427900000000003"/>
    <n v="-117345.8"/>
    <n v="-117182.81"/>
    <n v="196990.46"/>
    <n v="79807.649999999994"/>
    <n v="1188117.76"/>
    <s v="Forecast"/>
  </r>
  <r>
    <x v="17"/>
    <x v="0"/>
    <s v="202404"/>
    <n v="35"/>
    <n v="213493.88"/>
    <n v="-7.2360562154285921E-2"/>
    <s v="CohortAvg"/>
    <n v="-2.4074680512920731E-2"/>
    <s v="CohortAvg"/>
    <n v="0.25299198423533192"/>
    <s v="CohortAvg"/>
    <n v="0.109598649136642"/>
    <s v="CohortAvg_NonZero"/>
    <n v="9.4843976841529906E-5"/>
    <s v="CohortAvg"/>
    <n v="0"/>
    <s v="Zero"/>
    <n v="-7.6278353041044538E-3"/>
    <s v="CohortAvg"/>
    <n v="-1.5927104837866089E-4"/>
    <s v="CohortAvg"/>
    <n v="0"/>
    <n v="-15448.54"/>
    <n v="-5139.8"/>
    <n v="4501.0200000000004"/>
    <n v="23398.639999999999"/>
    <n v="20.25"/>
    <n v="-1628.5"/>
    <n v="-34"/>
    <n v="173987.68"/>
    <n v="0.460677"/>
    <n v="0.95499999999999996"/>
    <n v="0.43992399999999998"/>
    <s v="CohortTrend+Seasonal(0.955)"/>
    <n v="76541.429999999993"/>
    <n v="100073.25"/>
    <n v="-23531.82"/>
    <x v="1"/>
    <n v="23398.639999999999"/>
    <n v="0.78500000000000003"/>
    <n v="0.24"/>
    <n v="18367.93"/>
    <n v="18367.93"/>
    <n v="5615.67"/>
    <n v="81705.320000000007"/>
    <n v="190095.24"/>
    <n v="0.429813"/>
    <n v="-5163.8900000000003"/>
    <n v="-5143.6400000000003"/>
    <n v="47382.25"/>
    <n v="42238.61"/>
    <n v="131749.07"/>
    <s v="Forecast"/>
  </r>
  <r>
    <x v="17"/>
    <x v="0"/>
    <s v="202405"/>
    <n v="34"/>
    <n v="324967.84000000003"/>
    <n v="-6.0914445730823892E-2"/>
    <s v="CohortAvg"/>
    <n v="-2.4305632284255089E-2"/>
    <s v="CohortAvg"/>
    <n v="0.26162344841024199"/>
    <s v="CohortAvg"/>
    <n v="0.1058656965792619"/>
    <s v="CohortAvg_NonZero"/>
    <n v="1.5038117343293191E-4"/>
    <s v="CohortAvg"/>
    <n v="0"/>
    <s v="Zero"/>
    <n v="-1.146527595359308E-2"/>
    <s v="CohortAvg"/>
    <n v="-2.019123977354395E-4"/>
    <s v="CohortAvg"/>
    <n v="0"/>
    <n v="-19795.240000000002"/>
    <n v="-7898.55"/>
    <n v="7084.93"/>
    <n v="34402.949999999997"/>
    <n v="48.87"/>
    <n v="-3725.85"/>
    <n v="-65.62"/>
    <n v="269907.17"/>
    <n v="0.39863300000000002"/>
    <n v="0.95499999999999996"/>
    <n v="0.38067499999999999"/>
    <s v="CohortTrend+Seasonal(0.955)"/>
    <n v="102746.94"/>
    <n v="132212.87"/>
    <n v="-29465.94"/>
    <x v="1"/>
    <n v="34402.949999999997"/>
    <n v="0.78500000000000003"/>
    <n v="0.24"/>
    <n v="27006.31"/>
    <n v="27006.31"/>
    <n v="8256.7099999999991"/>
    <n v="105206.56"/>
    <n v="290564.89"/>
    <n v="0.36207600000000001"/>
    <n v="-2459.62"/>
    <n v="-2410.75"/>
    <n v="69665.97"/>
    <n v="67255.210000000006"/>
    <n v="202651.96"/>
    <s v="Forecast"/>
  </r>
  <r>
    <x v="17"/>
    <x v="0"/>
    <s v="202406"/>
    <n v="33"/>
    <n v="586884.41"/>
    <n v="-5.598993678809757E-2"/>
    <s v="CohortAvg"/>
    <n v="-2.5466817520221639E-2"/>
    <s v="CohortAvg"/>
    <n v="0.28036786178690593"/>
    <s v="CohortAvg"/>
    <n v="6.6228883890517176E-2"/>
    <s v="CohortAvg_NonZero"/>
    <n v="1.4467266600334899E-5"/>
    <s v="CohortAvg"/>
    <n v="0"/>
    <s v="Zero"/>
    <n v="-9.54455524337465E-3"/>
    <s v="CohortAvg"/>
    <n v="-2.0752864582983959E-4"/>
    <s v="CohortAvg"/>
    <n v="0"/>
    <n v="-32859.620000000003"/>
    <n v="-14946.08"/>
    <n v="13711.96"/>
    <n v="38868.699999999997"/>
    <n v="8.49"/>
    <n v="-5601.55"/>
    <n v="-121.8"/>
    <n v="513913.48"/>
    <n v="0.35790499999999997"/>
    <n v="0.95499999999999996"/>
    <n v="0.341781"/>
    <s v="CohortTrend+Seasonal(0.955)"/>
    <n v="175646.07999999999"/>
    <n v="213971.69"/>
    <n v="-38325.599999999999"/>
    <x v="1"/>
    <n v="38868.699999999997"/>
    <n v="0.78500000000000003"/>
    <n v="0.24"/>
    <n v="30511.93"/>
    <n v="30511.93"/>
    <n v="9328.49"/>
    <n v="183459.76"/>
    <n v="548015.71"/>
    <n v="0.33477099999999999"/>
    <n v="-7813.67"/>
    <n v="-7805.18"/>
    <n v="78709.119999999995"/>
    <n v="70903.929999999993"/>
    <n v="443009.55"/>
    <s v="Forecast"/>
  </r>
  <r>
    <x v="17"/>
    <x v="0"/>
    <s v="202407"/>
    <n v="32"/>
    <n v="618800.73"/>
    <n v="-5.284784412453547E-2"/>
    <s v="CohortAvg"/>
    <n v="-2.6783632966965631E-2"/>
    <s v="CohortAvg"/>
    <n v="0.28895571462587161"/>
    <s v="CohortAvg"/>
    <n v="7.3933633417379047E-2"/>
    <s v="CohortAvg_NonZero"/>
    <n v="1.8703431060045121E-5"/>
    <s v="CohortAvg"/>
    <n v="0"/>
    <s v="Zero"/>
    <n v="-1.212738989883856E-2"/>
    <s v="CohortAvg"/>
    <n v="-6.4876165961534629E-5"/>
    <s v="CohortAvg"/>
    <n v="0"/>
    <n v="-32702.28"/>
    <n v="-16573.73"/>
    <n v="14900.5"/>
    <n v="45750.19"/>
    <n v="11.57"/>
    <n v="-7504.44"/>
    <n v="-40.15"/>
    <n v="538663.44999999995"/>
    <n v="0.30075800000000003"/>
    <n v="0.95499999999999996"/>
    <n v="0.28721000000000002"/>
    <s v="CohortTrend+Seasonal(0.955)"/>
    <n v="154709.29999999999"/>
    <n v="190233.47"/>
    <n v="-35524.160000000003"/>
    <x v="1"/>
    <n v="45750.19"/>
    <n v="0.78500000000000003"/>
    <n v="0.24"/>
    <n v="35913.9"/>
    <n v="35913.9"/>
    <n v="10980.04"/>
    <n v="154319.57"/>
    <n v="573050.54"/>
    <n v="0.26929500000000001"/>
    <n v="389.73"/>
    <n v="401.31"/>
    <n v="92644.13"/>
    <n v="93045.43"/>
    <n v="445618.02"/>
    <s v="Forecast"/>
  </r>
  <r>
    <x v="17"/>
    <x v="0"/>
    <s v="202408"/>
    <n v="31"/>
    <n v="475826.55"/>
    <n v="-6.4850642202989639E-2"/>
    <s v="CohortAvg"/>
    <n v="-2.6138432300022819E-2"/>
    <s v="CohortAvg"/>
    <n v="0.27912739916208668"/>
    <s v="CohortAvg"/>
    <n v="9.7366127374651668E-2"/>
    <s v="CohortAvg_NonZero"/>
    <n v="1.2239939833668249E-4"/>
    <s v="CohortAvg"/>
    <n v="0"/>
    <s v="Zero"/>
    <n v="-1.356672350003674E-2"/>
    <s v="CohortAvg"/>
    <n v="-3.1038891871273738E-4"/>
    <s v="CohortAvg"/>
    <n v="0"/>
    <n v="-30857.66"/>
    <n v="-12437.36"/>
    <n v="11068.02"/>
    <n v="46329.39"/>
    <n v="58.24"/>
    <n v="-6455.41"/>
    <n v="-147.69"/>
    <n v="397211.92"/>
    <n v="0.277063"/>
    <n v="0.95499999999999996"/>
    <n v="0.26458199999999998"/>
    <s v="CohortTrend+Seasonal(0.955)"/>
    <n v="105095.05"/>
    <n v="134898.60999999999"/>
    <n v="-29803.56"/>
    <x v="1"/>
    <n v="46329.39"/>
    <n v="0.78500000000000003"/>
    <n v="0.24"/>
    <n v="36368.57"/>
    <n v="36368.57"/>
    <n v="11119.05"/>
    <n v="98530.04"/>
    <n v="429497.16"/>
    <n v="0.229408"/>
    <n v="6565.01"/>
    <n v="6623.26"/>
    <n v="93817.01"/>
    <n v="100440.27"/>
    <n v="296771.65000000002"/>
    <s v="Forecast"/>
  </r>
  <r>
    <x v="17"/>
    <x v="0"/>
    <s v="202409"/>
    <n v="30"/>
    <n v="403854.58"/>
    <n v="-7.0452831553693765E-2"/>
    <s v="CohortAvg"/>
    <n v="-2.9369719190115291E-2"/>
    <s v="CohortAvg"/>
    <n v="0.29642300936074639"/>
    <s v="CohortAvg"/>
    <n v="0.1015450794863117"/>
    <s v="CohortAvg_NonZero"/>
    <n v="3.3186221553845968E-4"/>
    <s v="CohortAvg"/>
    <n v="0"/>
    <s v="Zero"/>
    <n v="-1.5612424159396151E-2"/>
    <s v="CohortAvg"/>
    <n v="9.8327974820304302E-4"/>
    <s v="CohortAvg"/>
    <n v="0"/>
    <n v="-28452.7"/>
    <n v="-11861.1"/>
    <n v="9975.98"/>
    <n v="41009.449999999997"/>
    <n v="134.02000000000001"/>
    <n v="-6305.15"/>
    <n v="397.1"/>
    <n v="332373.3"/>
    <n v="0.25934600000000002"/>
    <n v="0.95499999999999996"/>
    <n v="0.24766299999999999"/>
    <s v="CohortTrend+Seasonal(0.955)"/>
    <n v="82316.399999999994"/>
    <n v="107123"/>
    <n v="-24806.6"/>
    <x v="1"/>
    <n v="41009.449999999997"/>
    <n v="0.78500000000000003"/>
    <n v="0.24"/>
    <n v="32192.41"/>
    <n v="32192.41"/>
    <n v="9842.27"/>
    <n v="74930.59"/>
    <n v="362845.13"/>
    <n v="0.206508"/>
    <n v="7385.82"/>
    <n v="7519.84"/>
    <n v="83044.13"/>
    <n v="90563.97"/>
    <n v="241809.33"/>
    <s v="Forecast"/>
  </r>
  <r>
    <x v="17"/>
    <x v="0"/>
    <s v="202410"/>
    <n v="29"/>
    <n v="621603.19999999995"/>
    <n v="-6.4982131295808265E-2"/>
    <s v="CohortAvg"/>
    <n v="-2.9859529918562989E-2"/>
    <s v="CohortAvg"/>
    <n v="0.29593338142277031"/>
    <s v="CohortAvg"/>
    <n v="9.1218405189269117E-2"/>
    <s v="CohortAvg_NonZero"/>
    <n v="8.4069223400826319E-5"/>
    <s v="CohortAvg"/>
    <n v="0"/>
    <s v="Zero"/>
    <n v="-1.9218923118737768E-2"/>
    <s v="CohortAvg"/>
    <n v="-2.8161824924562623E-4"/>
    <s v="CohortAvg"/>
    <n v="0"/>
    <n v="-40393.1"/>
    <n v="-18560.78"/>
    <n v="15329.43"/>
    <n v="56701.65"/>
    <n v="52.26"/>
    <n v="-11946.54"/>
    <n v="-175.05"/>
    <n v="521224.84"/>
    <n v="0.244561"/>
    <n v="0.95499999999999996"/>
    <n v="0.233544"/>
    <s v="CohortTrend+Seasonal(0.955)"/>
    <n v="121728.73"/>
    <n v="155648.6"/>
    <n v="-33919.870000000003"/>
    <x v="1"/>
    <n v="56701.65"/>
    <n v="0.78500000000000003"/>
    <n v="0.24"/>
    <n v="44510.8"/>
    <n v="44510.8"/>
    <n v="13608.4"/>
    <n v="111137.8"/>
    <n v="564901.55000000005"/>
    <n v="0.196738"/>
    <n v="10590.93"/>
    <n v="10643.18"/>
    <n v="114820.85"/>
    <n v="125464.03"/>
    <n v="395760.81"/>
    <s v="Forecast"/>
  </r>
  <r>
    <x v="17"/>
    <x v="0"/>
    <s v="202411"/>
    <n v="28"/>
    <n v="656867.24"/>
    <n v="-6.958752097761893E-2"/>
    <s v="CohortAvg"/>
    <n v="-3.0856847166369869E-2"/>
    <s v="CohortAvg"/>
    <n v="0.31660487434217999"/>
    <s v="CohortAvg"/>
    <n v="8.1126111439467116E-2"/>
    <s v="CohortAvg_NonZero"/>
    <n v="1.0852637434013331E-5"/>
    <s v="CohortAvg"/>
    <n v="0"/>
    <s v="Zero"/>
    <n v="-1.8378012356962629E-2"/>
    <s v="CohortAvg"/>
    <n v="-3.6779170235137488E-4"/>
    <s v="CohortAvg"/>
    <n v="0"/>
    <n v="-45709.760000000002"/>
    <n v="-20268.849999999999"/>
    <n v="17330.61"/>
    <n v="53289.08"/>
    <n v="7.13"/>
    <n v="-12071.91"/>
    <n v="-241.59"/>
    <n v="554923.02"/>
    <n v="0.23955399999999999"/>
    <n v="0.95499999999999996"/>
    <n v="0.22876299999999999"/>
    <s v="CohortTrend+Seasonal(0.955)"/>
    <n v="126945.73"/>
    <n v="160804.89000000001"/>
    <n v="-33859.17"/>
    <x v="1"/>
    <n v="53289.08"/>
    <n v="0.78500000000000003"/>
    <n v="0.24"/>
    <n v="41831.93"/>
    <n v="41831.93"/>
    <n v="12789.38"/>
    <n v="118972.96"/>
    <n v="603578.15"/>
    <n v="0.19711300000000001"/>
    <n v="7972.76"/>
    <n v="7979.89"/>
    <n v="107910.39999999999"/>
    <n v="115890.29"/>
    <n v="439032.74"/>
    <s v="Forecast"/>
  </r>
  <r>
    <x v="17"/>
    <x v="0"/>
    <s v="202412"/>
    <n v="27"/>
    <n v="771339.18"/>
    <n v="-6.5986210766293504E-2"/>
    <s v="CohortAvg"/>
    <n v="-3.2053896625564057E-2"/>
    <s v="CohortAvg"/>
    <n v="0.32619391769580952"/>
    <s v="CohortAvg"/>
    <n v="7.7639600311748339E-2"/>
    <s v="CohortAvg_NonZero"/>
    <n v="3.5228233119470683E-5"/>
    <s v="CohortAvg"/>
    <n v="0"/>
    <s v="Zero"/>
    <n v="-3.3094757625758121E-2"/>
    <s v="CohortAvg"/>
    <n v="-4.4108272530926949E-4"/>
    <s v="CohortAvg"/>
    <n v="0"/>
    <n v="-50897.75"/>
    <n v="-24724.43"/>
    <n v="20967.18"/>
    <n v="59886.47"/>
    <n v="27.17"/>
    <n v="-25527.279999999999"/>
    <n v="-340.22"/>
    <n v="656770.54"/>
    <n v="0.24820400000000001"/>
    <n v="0.95499999999999996"/>
    <n v="0.23702300000000001"/>
    <s v="CohortTrend+Seasonal(0.955)"/>
    <n v="155669.69"/>
    <n v="194534.55"/>
    <n v="-38864.85"/>
    <x v="1"/>
    <n v="59886.47"/>
    <n v="0.78500000000000003"/>
    <n v="0.24"/>
    <n v="47010.879999999997"/>
    <n v="47010.879999999997"/>
    <n v="14372.75"/>
    <n v="147523.67000000001"/>
    <n v="711452.71"/>
    <n v="0.20735600000000001"/>
    <n v="8146.02"/>
    <n v="8173.19"/>
    <n v="121270.09"/>
    <n v="129443.29"/>
    <n v="527327.26"/>
    <s v="Forecast"/>
  </r>
  <r>
    <x v="17"/>
    <x v="0"/>
    <s v="202501"/>
    <n v="26"/>
    <n v="975640.34"/>
    <n v="-6.3566778893486747E-2"/>
    <s v="CohortAvg"/>
    <n v="-3.1446958008160532E-2"/>
    <s v="CohortAvg"/>
    <n v="0.33548130028771889"/>
    <s v="CohortAvg"/>
    <n v="6.8036790360211402E-2"/>
    <s v="CohortAvg_NonZero"/>
    <n v="8.2805245126878584E-5"/>
    <s v="CohortAvg"/>
    <n v="0"/>
    <s v="Zero"/>
    <n v="-4.6071148539391232E-2"/>
    <s v="CohortAvg"/>
    <n v="-9.0711036188417858E-4"/>
    <s v="CohortAvg"/>
    <n v="0"/>
    <n v="-62018.31"/>
    <n v="-30680.92"/>
    <n v="27275.759999999998"/>
    <n v="66379.44"/>
    <n v="80.790000000000006"/>
    <n v="-44948.87"/>
    <n v="-885.01"/>
    <n v="843756.63"/>
    <n v="0.25109399999999998"/>
    <n v="0.95499999999999996"/>
    <n v="0.239783"/>
    <s v="CohortTrend+Seasonal(0.955)"/>
    <n v="202318.26"/>
    <n v="247902.22"/>
    <n v="-45583.96"/>
    <x v="1"/>
    <n v="66379.44"/>
    <n v="0.78500000000000003"/>
    <n v="0.24"/>
    <n v="52107.86"/>
    <n v="52107.86"/>
    <n v="15931.06"/>
    <n v="195794.36"/>
    <n v="909260.9"/>
    <n v="0.215334"/>
    <n v="6523.9"/>
    <n v="6604.68"/>
    <n v="134418.35999999999"/>
    <n v="141023.04000000001"/>
    <n v="702733.59"/>
    <s v="Forecast"/>
  </r>
  <r>
    <x v="17"/>
    <x v="0"/>
    <s v="202502"/>
    <n v="25"/>
    <n v="1550030.42"/>
    <n v="-6.4723593957879036E-2"/>
    <s v="CohortAvg"/>
    <n v="-3.1804362178956221E-2"/>
    <s v="CohortAvg"/>
    <n v="0.35207091344640079"/>
    <s v="CohortAvg"/>
    <n v="4.001871292030338E-2"/>
    <s v="CohortAvg_NonZero"/>
    <n v="1.18171977467467E-4"/>
    <s v="CohortAvg"/>
    <n v="0"/>
    <s v="Zero"/>
    <n v="-0.10046937429037731"/>
    <s v="CohortAvg"/>
    <n v="-2.1723748828212908E-3"/>
    <s v="CohortAvg"/>
    <n v="0"/>
    <n v="-100323.54"/>
    <n v="-49297.73"/>
    <n v="45476.72"/>
    <n v="62030.22"/>
    <n v="183.17"/>
    <n v="-155730.59"/>
    <n v="-3367.25"/>
    <n v="1383672.48"/>
    <n v="0.24328900000000001"/>
    <n v="0.95499999999999996"/>
    <n v="0.23232900000000001"/>
    <s v="CohortTrend+Seasonal(0.955)"/>
    <n v="321467.49"/>
    <n v="381225.82"/>
    <n v="-59758.32"/>
    <x v="1"/>
    <n v="62030.22"/>
    <n v="0.78500000000000003"/>
    <n v="0.24"/>
    <n v="48693.72"/>
    <n v="48693.72"/>
    <n v="14887.25"/>
    <n v="332532.09000000003"/>
    <n v="1488000.2"/>
    <n v="0.22347600000000001"/>
    <n v="-11064.6"/>
    <n v="-10881.43"/>
    <n v="125611.2"/>
    <n v="114729.77"/>
    <n v="1268942.71"/>
    <s v="Forecast"/>
  </r>
  <r>
    <x v="17"/>
    <x v="0"/>
    <s v="202503"/>
    <n v="24"/>
    <n v="2588156.5499999998"/>
    <n v="-5.4846302186137563E-2"/>
    <s v="CohortAvg"/>
    <n v="-3.4952198397021711E-2"/>
    <s v="CohortAvg"/>
    <n v="0.42516928944049648"/>
    <s v="CohortAvg"/>
    <n v="2.337347755521255E-2"/>
    <s v="CohortAvg_NonZero"/>
    <n v="7.0820901082101324E-6"/>
    <s v="CohortAvg"/>
    <n v="0"/>
    <s v="Zero"/>
    <n v="0"/>
    <s v="CohortAvg"/>
    <n v="0"/>
    <s v="CohortAvg"/>
    <n v="0"/>
    <n v="-141950.82"/>
    <n v="-90461.759999999995"/>
    <n v="91700.39"/>
    <n v="60494.22"/>
    <n v="18.329999999999998"/>
    <n v="0"/>
    <n v="0"/>
    <n v="2386931.81"/>
    <n v="0.24055599999999999"/>
    <n v="0.95499999999999996"/>
    <n v="0.22971900000000001"/>
    <s v="CohortTrend+Seasonal(0.955)"/>
    <n v="548323.31999999995"/>
    <n v="627617.5"/>
    <n v="-79294.179999999993"/>
    <x v="1"/>
    <n v="60494.22"/>
    <n v="0.78500000000000003"/>
    <n v="0.24"/>
    <n v="47487.96"/>
    <n v="47487.96"/>
    <n v="14518.61"/>
    <n v="580129.54"/>
    <n v="2527662.33"/>
    <n v="0.22951199999999999"/>
    <n v="-31806.22"/>
    <n v="-31787.89"/>
    <n v="122500.79"/>
    <n v="90712.9"/>
    <n v="2296218.91"/>
    <s v="Forecast"/>
  </r>
  <r>
    <x v="17"/>
    <x v="0"/>
    <s v="202504"/>
    <n v="23"/>
    <n v="3425890.77"/>
    <n v="-5.3658419820946143E-2"/>
    <s v="CohortAvg"/>
    <n v="-3.7420636592422153E-2"/>
    <s v="CohortAvg"/>
    <n v="0.43758904640412472"/>
    <s v="CohortAvg"/>
    <n v="1.013329171740706E-2"/>
    <s v="CohortAvg_NonZero"/>
    <n v="1.638899713215547E-6"/>
    <s v="CohortAvg"/>
    <n v="0"/>
    <s v="Zero"/>
    <n v="0"/>
    <s v="CohortAvg"/>
    <n v="0"/>
    <s v="CohortAvg"/>
    <n v="0"/>
    <n v="-183827.89"/>
    <n v="-128199.01"/>
    <n v="124927.69"/>
    <n v="34715.550000000003"/>
    <n v="5.61"/>
    <n v="0"/>
    <n v="0"/>
    <n v="3204070.4"/>
    <n v="0.23934800000000001"/>
    <n v="0.95499999999999996"/>
    <n v="0.22856599999999999"/>
    <s v="CohortTrend+Seasonal(0.955)"/>
    <n v="732340.45"/>
    <n v="823553.42"/>
    <n v="-91212.97"/>
    <x v="1"/>
    <n v="34715.550000000003"/>
    <n v="0.78500000000000003"/>
    <n v="0.24"/>
    <n v="27251.71"/>
    <n v="27251.71"/>
    <n v="8331.73"/>
    <n v="796301.71"/>
    <n v="3391175.22"/>
    <n v="0.234816"/>
    <n v="-63961.26"/>
    <n v="-63955.65"/>
    <n v="70298.990000000005"/>
    <n v="6343.34"/>
    <n v="3197727.05"/>
    <s v="Forecast"/>
  </r>
  <r>
    <x v="17"/>
    <x v="0"/>
    <s v="202505"/>
    <n v="22"/>
    <n v="4969517.2699999996"/>
    <n v="-4.6655070205898458E-2"/>
    <s v="CohortAvg"/>
    <n v="-3.6678587370101143E-2"/>
    <s v="CohortAvg"/>
    <n v="0.44220552369799387"/>
    <s v="CohortAvg"/>
    <n v="0"/>
    <s v="CohortAvg_NoData_ERROR"/>
    <n v="9.2699510577983656E-7"/>
    <s v="CohortAvg"/>
    <n v="0"/>
    <s v="Zero"/>
    <n v="0"/>
    <s v="CohortAvg"/>
    <n v="0"/>
    <s v="CohortAvg"/>
    <n v="0"/>
    <n v="-231853.18"/>
    <n v="-182274.87"/>
    <n v="183129"/>
    <n v="0"/>
    <n v="4.6100000000000003"/>
    <n v="0"/>
    <n v="0"/>
    <n v="4738513.62"/>
    <n v="0.23777699999999999"/>
    <n v="0.95499999999999996"/>
    <n v="0.22706599999999999"/>
    <s v="CohortTrend+Seasonal(0.955)"/>
    <n v="1075954.68"/>
    <n v="1181745.76"/>
    <n v="-105791.08"/>
    <x v="1"/>
    <n v="0"/>
    <n v="0.78500000000000003"/>
    <n v="0.24"/>
    <n v="0"/>
    <n v="0"/>
    <n v="0"/>
    <n v="1181745.76"/>
    <n v="4969517.2699999996"/>
    <n v="0.23779900000000001"/>
    <n v="-105791.08"/>
    <n v="-105786.47"/>
    <n v="0"/>
    <n v="-105786.47"/>
    <n v="4844300.09"/>
    <s v="Forecast"/>
  </r>
  <r>
    <x v="17"/>
    <x v="0"/>
    <s v="202506"/>
    <n v="21"/>
    <n v="5726200.7000000002"/>
    <n v="-4.5141640329252518E-2"/>
    <s v="CohortAvg"/>
    <n v="-3.8164040188145232E-2"/>
    <s v="CohortAvg"/>
    <n v="0.45882019163297721"/>
    <s v="CohortAvg"/>
    <n v="0"/>
    <s v="CohortAvg_NoData_ERROR"/>
    <n v="0"/>
    <s v="CohortAvg"/>
    <n v="0"/>
    <s v="Zero"/>
    <n v="0"/>
    <s v="CohortAvg"/>
    <n v="0"/>
    <s v="CohortAvg"/>
    <n v="0"/>
    <n v="-258490.09"/>
    <n v="-218534.95"/>
    <n v="218941.38"/>
    <n v="0"/>
    <n v="0"/>
    <n v="0"/>
    <n v="0"/>
    <n v="5468117.0300000003"/>
    <n v="0.23671500000000001"/>
    <n v="0.95499999999999996"/>
    <n v="0.226052"/>
    <s v="CohortTrend+Seasonal(0.955)"/>
    <n v="1236077.07"/>
    <n v="1348158.32"/>
    <n v="-112081.24"/>
    <x v="1"/>
    <n v="0"/>
    <n v="0.78500000000000003"/>
    <n v="0.24"/>
    <n v="0"/>
    <n v="0"/>
    <n v="0"/>
    <n v="1348158.32"/>
    <n v="5726200.7000000002"/>
    <n v="0.23543700000000001"/>
    <n v="-112081.24"/>
    <n v="-112081.24"/>
    <n v="0"/>
    <n v="-112081.24"/>
    <n v="5580198.2699999996"/>
    <s v="Forecast"/>
  </r>
  <r>
    <x v="17"/>
    <x v="0"/>
    <s v="202507"/>
    <n v="20"/>
    <n v="7270261.2000000002"/>
    <n v="-4.338584897699916E-2"/>
    <s v="CohortAvg"/>
    <n v="-4.0883024053545332E-2"/>
    <s v="CohortAvg"/>
    <n v="0.45788691035261098"/>
    <s v="CohortAvg"/>
    <n v="0"/>
    <s v="CohortAvg_NoData_ERROR"/>
    <n v="1.327495725341043E-5"/>
    <s v="CohortAvg"/>
    <n v="0"/>
    <s v="Zero"/>
    <n v="0"/>
    <s v="CohortAvg"/>
    <n v="0"/>
    <s v="CohortAvg"/>
    <n v="0"/>
    <n v="-315426.45"/>
    <n v="-297230.26"/>
    <n v="277413.12"/>
    <n v="0"/>
    <n v="96.51"/>
    <n v="0"/>
    <n v="0"/>
    <n v="6934921.0899999999"/>
    <n v="0.226382"/>
    <n v="0.95499999999999996"/>
    <n v="0.21618399999999999"/>
    <s v="CohortTrend+Seasonal(0.955)"/>
    <n v="1499220.5"/>
    <n v="1442275.76"/>
    <n v="56944.74"/>
    <x v="1"/>
    <n v="0"/>
    <n v="0.78500000000000003"/>
    <n v="0.24"/>
    <n v="0"/>
    <n v="0"/>
    <n v="0"/>
    <n v="1442275.76"/>
    <n v="7270261.2000000002"/>
    <n v="0.19838"/>
    <n v="56944.74"/>
    <n v="57041.26"/>
    <n v="0"/>
    <n v="57041.26"/>
    <n v="6877879.8300000001"/>
    <s v="Forecast"/>
  </r>
  <r>
    <x v="17"/>
    <x v="0"/>
    <s v="202508"/>
    <n v="19"/>
    <n v="6189387.8200000003"/>
    <n v="-4.8834387339488992E-2"/>
    <s v="CohortAvg"/>
    <n v="-3.2612112248213289E-2"/>
    <s v="CohortAvg"/>
    <n v="0.45897577828997921"/>
    <s v="CohortAvg"/>
    <n v="0"/>
    <s v="CohortAvg_NoData_ERROR"/>
    <n v="1.137974173559748E-5"/>
    <s v="CohortAvg"/>
    <n v="0"/>
    <s v="Zero"/>
    <n v="0"/>
    <s v="CohortAvg"/>
    <n v="0"/>
    <s v="CohortAvg"/>
    <n v="0"/>
    <n v="-302254.96000000002"/>
    <n v="-201849.01"/>
    <n v="236731.59"/>
    <n v="0"/>
    <n v="70.430000000000007"/>
    <n v="0"/>
    <n v="0"/>
    <n v="5921945"/>
    <n v="0.190751"/>
    <n v="0.95499999999999996"/>
    <n v="0.18215799999999999"/>
    <s v="DonorCohort:202101+Seasonal(0.955)"/>
    <n v="1078728.9099999999"/>
    <n v="1137823.6599999999"/>
    <n v="-59094.75"/>
    <x v="1"/>
    <n v="0"/>
    <n v="0.78500000000000003"/>
    <n v="0.24"/>
    <n v="0"/>
    <n v="0"/>
    <n v="0"/>
    <n v="1137823.6599999999"/>
    <n v="6189387.8200000003"/>
    <n v="0.183835"/>
    <n v="-59094.75"/>
    <n v="-59024.31"/>
    <n v="0"/>
    <n v="-59024.31"/>
    <n v="5980969.3099999996"/>
    <s v="Forecast"/>
  </r>
  <r>
    <x v="17"/>
    <x v="0"/>
    <s v="202509"/>
    <n v="18"/>
    <n v="19920.93"/>
    <n v="-0.40772260681953948"/>
    <s v="CohortAvg"/>
    <n v="-8.474440490417654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8122.21"/>
    <n v="-1688.19"/>
    <n v="830.04"/>
    <n v="0"/>
    <n v="0"/>
    <n v="0"/>
    <n v="0"/>
    <n v="10940.57"/>
    <n v="0.17676500000000001"/>
    <n v="0.95499999999999996"/>
    <n v="0.16880200000000001"/>
    <s v="DonorCohort:202101+Seasonal(0.955)"/>
    <n v="1846.79"/>
    <n v="3713.96"/>
    <n v="-1867.17"/>
    <x v="1"/>
    <n v="0"/>
    <n v="0.78500000000000003"/>
    <n v="0.24"/>
    <n v="0"/>
    <n v="0"/>
    <n v="0"/>
    <n v="3713.96"/>
    <n v="19920.93"/>
    <n v="0.18643499999999999"/>
    <n v="-1867.17"/>
    <n v="-1867.17"/>
    <n v="0"/>
    <n v="-1867.17"/>
    <n v="12807.74"/>
    <s v="Forecast"/>
  </r>
  <r>
    <x v="17"/>
    <x v="1"/>
    <s v="202301"/>
    <n v="40"/>
    <n v="857456.99"/>
    <n v="-8.4809634729489589E-3"/>
    <s v="CohortAvg"/>
    <n v="-4.5677802010817897E-3"/>
    <s v="CohortAvg"/>
    <n v="8.9090867212333849E-2"/>
    <s v="CohortAvg"/>
    <n v="2.383906280785476E-2"/>
    <s v="CohortAvg_NonZero"/>
    <n v="0"/>
    <s v="CohortAvg"/>
    <n v="0"/>
    <s v="Zero"/>
    <n v="0"/>
    <s v="CohortAvg"/>
    <n v="0"/>
    <s v="CohortAvg"/>
    <n v="0"/>
    <n v="-7272.06"/>
    <n v="-3916.68"/>
    <n v="6365.97"/>
    <n v="20440.97"/>
    <n v="0"/>
    <n v="0"/>
    <n v="0"/>
    <n v="832193.24"/>
    <n v="0.38751600000000003"/>
    <n v="1.0752999999999999"/>
    <n v="0.41667799999999999"/>
    <s v="CohortAvg+Seasonal(1.075)"/>
    <n v="346756.82"/>
    <n v="307631.2"/>
    <n v="39125.629999999997"/>
    <x v="1"/>
    <n v="20440.97"/>
    <n v="0.78500000000000003"/>
    <n v="0.24"/>
    <n v="16046.16"/>
    <n v="16046.16"/>
    <n v="4905.83"/>
    <n v="291585.03000000003"/>
    <n v="837016.01"/>
    <n v="0.34836299999999998"/>
    <n v="55171.79"/>
    <n v="55171.79"/>
    <n v="41392.97"/>
    <n v="96564.76"/>
    <n v="735628.49"/>
    <s v="Forecast"/>
  </r>
  <r>
    <x v="17"/>
    <x v="1"/>
    <s v="202404"/>
    <n v="35"/>
    <n v="84192.66"/>
    <n v="-6.3411048563429009E-2"/>
    <s v="CohortAvg"/>
    <n v="-1.5226666560524949E-2"/>
    <s v="CohortAvg"/>
    <n v="0.15655108402004769"/>
    <s v="CohortAvg"/>
    <n v="5.0304419126024701E-2"/>
    <s v="CohortAvg_NonZero"/>
    <n v="0"/>
    <s v="CohortAvg"/>
    <n v="0"/>
    <s v="Zero"/>
    <n v="0"/>
    <s v="CohortAvg"/>
    <n v="0"/>
    <s v="CohortAvg"/>
    <n v="0"/>
    <n v="-5338.74"/>
    <n v="-1281.97"/>
    <n v="1098.3699999999999"/>
    <n v="4235.26"/>
    <n v="0"/>
    <n v="0"/>
    <n v="0"/>
    <n v="74435.05"/>
    <n v="0.23505499999999999"/>
    <n v="1.0752999999999999"/>
    <n v="0.25274400000000002"/>
    <s v="CohortTrend+Seasonal(1.075)"/>
    <n v="18812.990000000002"/>
    <n v="16703.02"/>
    <n v="2109.9699999999998"/>
    <x v="1"/>
    <n v="4235.26"/>
    <n v="0.78500000000000003"/>
    <n v="0.24"/>
    <n v="3324.68"/>
    <n v="3324.68"/>
    <n v="1016.46"/>
    <n v="13378.34"/>
    <n v="79957.39"/>
    <n v="0.16731799999999999"/>
    <n v="5434.65"/>
    <n v="5434.65"/>
    <n v="8576.41"/>
    <n v="14011.06"/>
    <n v="60423.99"/>
    <s v="Forecast"/>
  </r>
  <r>
    <x v="17"/>
    <x v="1"/>
    <s v="202405"/>
    <n v="34"/>
    <n v="246355.51"/>
    <n v="-1.175787797613557E-2"/>
    <s v="CohortAvg"/>
    <n v="-1.27270536979166E-2"/>
    <s v="CohortAvg"/>
    <n v="0.14725718849003649"/>
    <s v="CohortAvg"/>
    <n v="6.9831153665505588E-2"/>
    <s v="CohortAvg_NonZero"/>
    <n v="3.4264570330153311E-8"/>
    <s v="CohortAvg"/>
    <n v="0"/>
    <s v="Zero"/>
    <n v="0"/>
    <s v="CohortAvg"/>
    <n v="0"/>
    <s v="CohortAvg"/>
    <n v="0"/>
    <n v="-2896.62"/>
    <n v="-3135.38"/>
    <n v="3023.14"/>
    <n v="17203.29"/>
    <n v="0.01"/>
    <n v="0"/>
    <n v="0"/>
    <n v="226143.35"/>
    <n v="0.42343999999999998"/>
    <n v="1.0752999999999999"/>
    <n v="0.45530500000000002"/>
    <s v="CohortTrend+Seasonal(1.075)"/>
    <n v="102964.27"/>
    <n v="86734.86"/>
    <n v="16229.41"/>
    <x v="1"/>
    <n v="17203.29"/>
    <n v="0.78500000000000003"/>
    <n v="0.24"/>
    <n v="13504.58"/>
    <n v="13504.58"/>
    <n v="4128.79"/>
    <n v="73230.28"/>
    <n v="229152.22"/>
    <n v="0.31957000000000002"/>
    <n v="29733.99"/>
    <n v="29734"/>
    <n v="34836.660000000003"/>
    <n v="64570.66"/>
    <n v="161572.69"/>
    <s v="Forecast"/>
  </r>
  <r>
    <x v="17"/>
    <x v="1"/>
    <s v="202406"/>
    <n v="33"/>
    <n v="142990.71"/>
    <n v="-1.549323463155952E-2"/>
    <s v="CohortAvg"/>
    <n v="-1.488075853162347E-2"/>
    <s v="CohortAvg"/>
    <n v="0.17822416699288171"/>
    <s v="CohortAvg"/>
    <n v="5.620844502272148E-2"/>
    <s v="CohortAvg_NonZero"/>
    <n v="0"/>
    <s v="CohortAvg"/>
    <n v="0"/>
    <s v="Zero"/>
    <n v="0"/>
    <s v="CohortAvg"/>
    <n v="0"/>
    <s v="CohortAvg"/>
    <n v="0"/>
    <n v="-2215.39"/>
    <n v="-2127.81"/>
    <n v="2123.6999999999998"/>
    <n v="8037.29"/>
    <n v="0"/>
    <n v="0"/>
    <n v="0"/>
    <n v="132733.92000000001"/>
    <n v="0.29253000000000001"/>
    <n v="1.0752999999999999"/>
    <n v="0.31454399999999999"/>
    <s v="CohortTrend+Seasonal(1.075)"/>
    <n v="41750.620000000003"/>
    <n v="34859.57"/>
    <n v="6891.05"/>
    <x v="1"/>
    <n v="8037.29"/>
    <n v="0.78500000000000003"/>
    <n v="0.24"/>
    <n v="6309.27"/>
    <n v="6309.27"/>
    <n v="1928.95"/>
    <n v="28550.3"/>
    <n v="134953.42000000001"/>
    <n v="0.211557"/>
    <n v="13200.32"/>
    <n v="13200.32"/>
    <n v="16275.5"/>
    <n v="29475.83"/>
    <n v="103258.1"/>
    <s v="Forecast"/>
  </r>
  <r>
    <x v="17"/>
    <x v="1"/>
    <s v="202407"/>
    <n v="32"/>
    <n v="144306.9"/>
    <n v="-4.243009745483603E-2"/>
    <s v="CohortAvg"/>
    <n v="-1.532824835697159E-2"/>
    <s v="CohortAvg"/>
    <n v="0.16904041922985649"/>
    <s v="CohortAvg"/>
    <n v="8.2761551975630079E-2"/>
    <s v="CohortAvg_NonZero"/>
    <n v="0"/>
    <s v="CohortAvg"/>
    <n v="0"/>
    <s v="Zero"/>
    <n v="0"/>
    <s v="CohortAvg"/>
    <n v="0"/>
    <s v="CohortAvg"/>
    <n v="0"/>
    <n v="-6122.96"/>
    <n v="-2211.9699999999998"/>
    <n v="2032.81"/>
    <n v="11943.06"/>
    <n v="0"/>
    <n v="0"/>
    <n v="0"/>
    <n v="126061.71"/>
    <n v="0.26208300000000001"/>
    <n v="1.0752999999999999"/>
    <n v="0.28180500000000003"/>
    <s v="CohortTrend+Seasonal(1.075)"/>
    <n v="35524.879999999997"/>
    <n v="31678.78"/>
    <n v="3846.1"/>
    <x v="1"/>
    <n v="11943.06"/>
    <n v="0.78500000000000003"/>
    <n v="0.24"/>
    <n v="9375.2999999999993"/>
    <n v="9375.2999999999993"/>
    <n v="2866.34"/>
    <n v="22303.47"/>
    <n v="132363.82999999999"/>
    <n v="0.16850100000000001"/>
    <n v="13221.41"/>
    <n v="13221.41"/>
    <n v="24184.7"/>
    <n v="37406.11"/>
    <n v="88655.6"/>
    <s v="Forecast"/>
  </r>
  <r>
    <x v="17"/>
    <x v="1"/>
    <s v="202408"/>
    <n v="31"/>
    <n v="115936.13"/>
    <n v="-6.227218959846386E-2"/>
    <s v="CohortAvg"/>
    <n v="-1.660473309036458E-2"/>
    <s v="CohortAvg"/>
    <n v="0.1829489379063188"/>
    <s v="CohortAvg"/>
    <n v="0.1104761026857973"/>
    <s v="CohortAvg_NonZero"/>
    <n v="1.0952534623427229E-10"/>
    <s v="CohortAvg"/>
    <n v="0"/>
    <s v="Zero"/>
    <n v="0"/>
    <s v="CohortAvg"/>
    <n v="0"/>
    <s v="CohortAvg"/>
    <n v="0"/>
    <n v="-7219.6"/>
    <n v="-1925.09"/>
    <n v="1767.53"/>
    <n v="12808.17"/>
    <n v="0"/>
    <n v="0"/>
    <n v="0"/>
    <n v="95750.81"/>
    <n v="0.27085300000000001"/>
    <n v="1.0752999999999999"/>
    <n v="0.29123500000000002"/>
    <s v="CohortTrend+Seasonal(1.075)"/>
    <n v="27886.02"/>
    <n v="26265.09"/>
    <n v="1620.93"/>
    <x v="1"/>
    <n v="12808.17"/>
    <n v="0.78500000000000003"/>
    <n v="0.24"/>
    <n v="10054.41"/>
    <n v="10054.41"/>
    <n v="3073.96"/>
    <n v="16210.68"/>
    <n v="103127.96"/>
    <n v="0.15719"/>
    <n v="11675.34"/>
    <n v="11675.34"/>
    <n v="25936.55"/>
    <n v="37611.89"/>
    <n v="58138.91"/>
    <s v="Forecast"/>
  </r>
  <r>
    <x v="17"/>
    <x v="1"/>
    <s v="202409"/>
    <n v="30"/>
    <n v="271081.01"/>
    <n v="-4.1001120998486108E-2"/>
    <s v="CohortAvg"/>
    <n v="-1.5073103860547721E-2"/>
    <s v="CohortAvg"/>
    <n v="0.18231854232663169"/>
    <s v="CohortAvg"/>
    <n v="3.1830052698478779E-2"/>
    <s v="CohortAvg_NonZero"/>
    <n v="0"/>
    <s v="CohortAvg"/>
    <n v="0"/>
    <s v="Zero"/>
    <n v="0"/>
    <s v="CohortAvg"/>
    <n v="0"/>
    <s v="CohortAvg"/>
    <n v="0"/>
    <n v="-11114.63"/>
    <n v="-4086.03"/>
    <n v="4118.59"/>
    <n v="8628.52"/>
    <n v="0"/>
    <n v="0"/>
    <n v="0"/>
    <n v="251370.42"/>
    <n v="0.31493500000000002"/>
    <n v="1.0752999999999999"/>
    <n v="0.33863599999999999"/>
    <s v="CohortTrend+Seasonal(1.075)"/>
    <n v="85122.99"/>
    <n v="70836.69"/>
    <n v="14286.29"/>
    <x v="1"/>
    <n v="8628.52"/>
    <n v="0.78500000000000003"/>
    <n v="0.24"/>
    <n v="6773.39"/>
    <n v="6773.39"/>
    <n v="2070.85"/>
    <n v="64063.3"/>
    <n v="262452.49"/>
    <n v="0.24409500000000001"/>
    <n v="21059.68"/>
    <n v="21059.68"/>
    <n v="17472.759999999998"/>
    <n v="38532.44"/>
    <n v="212837.98"/>
    <s v="Forecast"/>
  </r>
  <r>
    <x v="17"/>
    <x v="1"/>
    <s v="202410"/>
    <n v="29"/>
    <n v="284396.07"/>
    <n v="-1.2636564814088111E-2"/>
    <s v="CohortAvg"/>
    <n v="-1.827616463044885E-2"/>
    <s v="CohortAvg"/>
    <n v="0.1875511385866202"/>
    <s v="CohortAvg"/>
    <n v="3.5382469647260488E-2"/>
    <s v="CohortAvg_NonZero"/>
    <n v="4.8052851064166983E-8"/>
    <s v="CohortAvg"/>
    <n v="0"/>
    <s v="Zero"/>
    <n v="0"/>
    <s v="CohortAvg"/>
    <n v="0"/>
    <s v="CohortAvg"/>
    <n v="0"/>
    <n v="-3593.79"/>
    <n v="-5197.67"/>
    <n v="4444.8999999999996"/>
    <n v="10062.64"/>
    <n v="0.01"/>
    <n v="0"/>
    <n v="0"/>
    <n v="269986.86"/>
    <n v="0.31362299999999999"/>
    <n v="1.0752999999999999"/>
    <n v="0.337225"/>
    <s v="CohortTrend+Seasonal(1.075)"/>
    <n v="91046.29"/>
    <n v="73833.929999999993"/>
    <n v="17212.36"/>
    <x v="1"/>
    <n v="10062.64"/>
    <n v="0.78500000000000003"/>
    <n v="0.24"/>
    <n v="7899.17"/>
    <n v="7899.17"/>
    <n v="2415.0300000000002"/>
    <n v="65934.759999999995"/>
    <n v="274333.43"/>
    <n v="0.240345"/>
    <n v="25111.53"/>
    <n v="25111.54"/>
    <n v="20376.84"/>
    <n v="45488.38"/>
    <n v="224498.48"/>
    <s v="Forecast"/>
  </r>
  <r>
    <x v="17"/>
    <x v="1"/>
    <s v="202411"/>
    <n v="28"/>
    <n v="242579.28"/>
    <n v="-4.4569124673070511E-2"/>
    <s v="CohortAvg"/>
    <n v="-1.480124124739798E-2"/>
    <s v="CohortAvg"/>
    <n v="0.17335560684059181"/>
    <s v="CohortAvg"/>
    <n v="3.2291843977934422E-2"/>
    <s v="CohortAvg_NonZero"/>
    <n v="0"/>
    <s v="CohortAvg"/>
    <n v="0"/>
    <s v="Zero"/>
    <n v="0"/>
    <s v="CohortAvg"/>
    <n v="0"/>
    <s v="CohortAvg"/>
    <n v="0"/>
    <n v="-10811.55"/>
    <n v="-3590.47"/>
    <n v="3504.37"/>
    <n v="7833.33"/>
    <n v="0"/>
    <n v="0"/>
    <n v="0"/>
    <n v="223848.3"/>
    <n v="0.24835499999999999"/>
    <n v="1.0752999999999999"/>
    <n v="0.267044"/>
    <s v="CohortTrend+Seasonal(1.075)"/>
    <n v="59777.440000000002"/>
    <n v="50411.71"/>
    <n v="9365.73"/>
    <x v="1"/>
    <n v="7833.33"/>
    <n v="0.78500000000000003"/>
    <n v="0.24"/>
    <n v="6149.17"/>
    <n v="6149.17"/>
    <n v="1880"/>
    <n v="44262.54"/>
    <n v="234745.95"/>
    <n v="0.188555"/>
    <n v="15514.9"/>
    <n v="15514.9"/>
    <n v="15862.5"/>
    <n v="31377.4"/>
    <n v="192470.91"/>
    <s v="Forecast"/>
  </r>
  <r>
    <x v="17"/>
    <x v="1"/>
    <s v="202412"/>
    <n v="27"/>
    <n v="14876"/>
    <n v="-8.5841721864412714E-3"/>
    <s v="CohortAvg"/>
    <n v="-1.2415796572216869E-2"/>
    <s v="CohortAvg"/>
    <n v="0.14530526321838719"/>
    <s v="CohortAvg"/>
    <n v="0.2"/>
    <s v="CohortAvg_NonZero"/>
    <n v="0"/>
    <s v="CohortAvg"/>
    <n v="0"/>
    <s v="Zero"/>
    <n v="0"/>
    <s v="CohortAvg"/>
    <n v="0"/>
    <s v="CohortAvg"/>
    <n v="0"/>
    <n v="-127.7"/>
    <n v="-184.7"/>
    <n v="180.13"/>
    <n v="2975.2"/>
    <n v="0"/>
    <n v="0"/>
    <n v="0"/>
    <n v="11768.53"/>
    <n v="0.23016700000000001"/>
    <n v="1.0752999999999999"/>
    <n v="0.24748800000000001"/>
    <s v="CohortTrend+Seasonal(1.075)"/>
    <n v="2912.57"/>
    <n v="2870.18"/>
    <n v="42.39"/>
    <x v="1"/>
    <n v="2975.2"/>
    <n v="0.78500000000000003"/>
    <n v="0.24"/>
    <n v="2335.5300000000002"/>
    <n v="2335.5300000000002"/>
    <n v="714.05"/>
    <n v="534.65"/>
    <n v="11900.8"/>
    <n v="4.4925E-2"/>
    <n v="2377.9299999999998"/>
    <n v="2377.9299999999998"/>
    <n v="6024.78"/>
    <n v="8402.7099999999991"/>
    <n v="3365.83"/>
    <s v="Forecast"/>
  </r>
  <r>
    <x v="17"/>
    <x v="1"/>
    <s v="202501"/>
    <n v="26"/>
    <n v="46256.93"/>
    <n v="-1.52920384504736E-2"/>
    <s v="CohortAvg"/>
    <n v="-1.7524625668541981E-2"/>
    <s v="CohortAvg"/>
    <n v="0.20436718499389631"/>
    <s v="CohortAvg"/>
    <n v="0"/>
    <s v="CohortAvg_NoData_ERROR"/>
    <n v="0"/>
    <s v="CohortAvg"/>
    <n v="0"/>
    <s v="Zero"/>
    <n v="0"/>
    <s v="CohortAvg"/>
    <n v="0"/>
    <s v="CohortAvg"/>
    <n v="0"/>
    <n v="-707.36"/>
    <n v="-810.64"/>
    <n v="787.78"/>
    <n v="0"/>
    <n v="0"/>
    <n v="0"/>
    <n v="0"/>
    <n v="45526.71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46256.93"/>
    <n v="0"/>
    <n v="0"/>
    <n v="0"/>
    <n v="0"/>
    <n v="0"/>
    <n v="45526.71"/>
    <s v="Forecast"/>
  </r>
  <r>
    <x v="17"/>
    <x v="1"/>
    <s v="202502"/>
    <n v="25"/>
    <n v="97247.63"/>
    <n v="-1.3856985985127541E-2"/>
    <s v="CohortAvg"/>
    <n v="-1.893906325379981E-2"/>
    <s v="CohortAvg"/>
    <n v="0.19408812803337719"/>
    <s v="CohortAvg"/>
    <n v="0"/>
    <s v="CohortAvg_NoData_ERROR"/>
    <n v="0"/>
    <s v="CohortAvg"/>
    <n v="0"/>
    <s v="Zero"/>
    <n v="0"/>
    <s v="CohortAvg"/>
    <n v="0"/>
    <s v="CohortAvg"/>
    <n v="0"/>
    <n v="-1347.56"/>
    <n v="-1841.78"/>
    <n v="1572.88"/>
    <n v="0"/>
    <n v="0"/>
    <n v="0"/>
    <n v="0"/>
    <n v="95631.18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97247.63"/>
    <n v="0"/>
    <n v="0"/>
    <n v="0"/>
    <n v="0"/>
    <n v="0"/>
    <n v="95631.18"/>
    <s v="Forecast"/>
  </r>
  <r>
    <x v="17"/>
    <x v="1"/>
    <s v="202503"/>
    <n v="24"/>
    <n v="74393.97"/>
    <n v="-9.8305181262611594E-3"/>
    <s v="CohortAvg"/>
    <n v="-1.377036278283068E-2"/>
    <s v="CohortAvg"/>
    <n v="0.2083643332265406"/>
    <s v="CohortAvg"/>
    <n v="0"/>
    <s v="CohortAvg_NoData_ERROR"/>
    <n v="0"/>
    <s v="CohortAvg"/>
    <n v="0"/>
    <s v="Zero"/>
    <n v="0"/>
    <s v="CohortAvg"/>
    <n v="0"/>
    <s v="CohortAvg"/>
    <n v="0"/>
    <n v="-731.33"/>
    <n v="-1024.43"/>
    <n v="1291.75"/>
    <n v="0"/>
    <n v="0"/>
    <n v="0"/>
    <n v="0"/>
    <n v="73929.960000000006"/>
    <n v="0.26552399999999998"/>
    <n v="1.0752999999999999"/>
    <n v="0.28550599999999998"/>
    <s v="CohortTrend+Seasonal(1.075)"/>
    <n v="21107.439999999999"/>
    <n v="16206.01"/>
    <n v="4901.43"/>
    <x v="1"/>
    <n v="0"/>
    <n v="0.78500000000000003"/>
    <n v="0.24"/>
    <n v="0"/>
    <n v="0"/>
    <n v="0"/>
    <n v="16206.01"/>
    <n v="74393.97"/>
    <n v="0.21784000000000001"/>
    <n v="4901.43"/>
    <n v="4901.43"/>
    <n v="0"/>
    <n v="4901.43"/>
    <n v="69028.53"/>
    <s v="Forecast"/>
  </r>
  <r>
    <x v="17"/>
    <x v="1"/>
    <s v="202504"/>
    <n v="23"/>
    <n v="44085.65"/>
    <n v="-2.0711810278206091E-2"/>
    <s v="CohortAvg"/>
    <n v="-1.6747405079433751E-2"/>
    <s v="CohortAvg"/>
    <n v="0.20222573069886129"/>
    <s v="CohortAvg"/>
    <n v="0"/>
    <s v="CohortAvg_NoData_ERROR"/>
    <n v="0"/>
    <s v="CohortAvg"/>
    <n v="0"/>
    <s v="Zero"/>
    <n v="0"/>
    <s v="CohortAvg"/>
    <n v="0"/>
    <s v="CohortAvg"/>
    <n v="0"/>
    <n v="-913.09"/>
    <n v="-738.32"/>
    <n v="742.94"/>
    <n v="0"/>
    <n v="0"/>
    <n v="0"/>
    <n v="0"/>
    <n v="43177.18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44085.65"/>
    <n v="0"/>
    <n v="0"/>
    <n v="0"/>
    <n v="0"/>
    <n v="0"/>
    <n v="43177.18"/>
    <s v="Forecast"/>
  </r>
  <r>
    <x v="17"/>
    <x v="1"/>
    <s v="202505"/>
    <n v="22"/>
    <n v="14160.44"/>
    <n v="-1.0229673290207939E-2"/>
    <s v="CohortAvg"/>
    <n v="-1.6704599012064301E-2"/>
    <s v="CohortAvg"/>
    <n v="0.2019520375596284"/>
    <s v="CohortAvg"/>
    <n v="0"/>
    <s v="CohortAvg_NoData_ERROR"/>
    <n v="0"/>
    <s v="CohortAvg"/>
    <n v="0"/>
    <s v="Zero"/>
    <n v="0"/>
    <s v="CohortAvg"/>
    <n v="0"/>
    <s v="CohortAvg"/>
    <n v="0"/>
    <n v="-144.86000000000001"/>
    <n v="-236.54"/>
    <n v="238.31"/>
    <n v="0"/>
    <n v="0"/>
    <n v="0"/>
    <n v="0"/>
    <n v="14017.35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14160.44"/>
    <n v="0"/>
    <n v="0"/>
    <n v="0"/>
    <n v="0"/>
    <n v="0"/>
    <n v="14017.35"/>
    <s v="Forecast"/>
  </r>
  <r>
    <x v="17"/>
    <x v="1"/>
    <s v="202506"/>
    <n v="21"/>
    <n v="24271.45"/>
    <n v="-1.4285819663187991E-2"/>
    <s v="CohortAvg"/>
    <n v="-1.6889169294456139E-2"/>
    <s v="CohortAvg"/>
    <n v="0.19622082456933071"/>
    <s v="CohortAvg"/>
    <n v="0"/>
    <s v="CohortAvg_NoData_ERROR"/>
    <n v="0"/>
    <s v="CohortAvg"/>
    <n v="0"/>
    <s v="Zero"/>
    <n v="0"/>
    <s v="CohortAvg"/>
    <n v="0"/>
    <s v="CohortAvg"/>
    <n v="0"/>
    <n v="-346.74"/>
    <n v="-409.92"/>
    <n v="396.88"/>
    <n v="0"/>
    <n v="0"/>
    <n v="0"/>
    <n v="0"/>
    <n v="23911.67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24271.45"/>
    <n v="0"/>
    <n v="0"/>
    <n v="0"/>
    <n v="0"/>
    <n v="0"/>
    <n v="23911.67"/>
    <s v="Forecast"/>
  </r>
  <r>
    <x v="17"/>
    <x v="1"/>
    <s v="202507"/>
    <n v="20"/>
    <n v="96364.87"/>
    <n v="-1.142125788029801E-2"/>
    <s v="CohortAvg"/>
    <n v="-1.8434019529607781E-2"/>
    <s v="CohortAvg"/>
    <n v="0.20420899954707639"/>
    <s v="CohortAvg"/>
    <n v="0"/>
    <s v="CohortAvg_NoData_ERROR"/>
    <n v="0"/>
    <s v="CohortAvg"/>
    <n v="0"/>
    <s v="Zero"/>
    <n v="0"/>
    <s v="CohortAvg"/>
    <n v="0"/>
    <s v="CohortAvg"/>
    <n v="0"/>
    <n v="-1100.6099999999999"/>
    <n v="-1776.39"/>
    <n v="1639.88"/>
    <n v="0"/>
    <n v="0"/>
    <n v="0"/>
    <n v="0"/>
    <n v="95127.76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96364.87"/>
    <n v="0"/>
    <n v="0"/>
    <n v="0"/>
    <n v="0"/>
    <n v="0"/>
    <n v="95127.76"/>
    <s v="Forecast"/>
  </r>
  <r>
    <x v="17"/>
    <x v="1"/>
    <s v="202508"/>
    <n v="19"/>
    <n v="39198.15"/>
    <n v="-1.4977429952695491E-2"/>
    <s v="CohortAvg"/>
    <n v="-1.505372170680867E-2"/>
    <s v="CohortAvg"/>
    <n v="0.18531363964618561"/>
    <s v="CohortAvg"/>
    <n v="0"/>
    <s v="CohortAvg_NoData_ERROR"/>
    <n v="0"/>
    <s v="CohortAvg"/>
    <n v="0"/>
    <s v="Zero"/>
    <n v="0"/>
    <s v="CohortAvg"/>
    <n v="0"/>
    <s v="CohortAvg"/>
    <n v="0"/>
    <n v="-587.09"/>
    <n v="-590.08000000000004"/>
    <n v="605.33000000000004"/>
    <n v="0"/>
    <n v="0"/>
    <n v="0"/>
    <n v="0"/>
    <n v="38626.31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39198.15"/>
    <n v="0"/>
    <n v="0"/>
    <n v="0"/>
    <n v="0"/>
    <n v="0"/>
    <n v="38626.31"/>
    <s v="Forecast"/>
  </r>
  <r>
    <x v="17"/>
    <x v="1"/>
    <s v="202509"/>
    <n v="18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752999999999999"/>
    <n v="0"/>
    <s v="Manual+Seasonal(1.075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7"/>
    <x v="2"/>
    <s v="202101"/>
    <n v="74"/>
    <n v="88930.4"/>
    <n v="-0.19308468157815181"/>
    <s v="CohortAvg"/>
    <n v="-1.42949671231436E-2"/>
    <s v="CohortAvg"/>
    <n v="0.15648482174063449"/>
    <s v="CohortAvg"/>
    <n v="1.7902598293532551E-2"/>
    <s v="CohortAvg_NonZero"/>
    <n v="0"/>
    <s v="CohortAvg"/>
    <n v="0"/>
    <s v="Zero"/>
    <n v="0"/>
    <s v="CohortAvg"/>
    <n v="0"/>
    <s v="CohortAvg"/>
    <n v="0"/>
    <n v="-17171.099999999999"/>
    <n v="-1271.26"/>
    <n v="1159.69"/>
    <n v="1592.09"/>
    <n v="0"/>
    <n v="0"/>
    <n v="0"/>
    <n v="70055.649999999994"/>
    <n v="0.26069100000000001"/>
    <n v="0.91979999999999995"/>
    <n v="0.23979200000000001"/>
    <s v="CohortAvg+Seasonal(0.920)"/>
    <n v="16798.77"/>
    <n v="27094.14"/>
    <n v="-10295.379999999999"/>
    <x v="1"/>
    <n v="1592.09"/>
    <n v="0.78500000000000003"/>
    <n v="0.24"/>
    <n v="1249.79"/>
    <n v="1249.79"/>
    <n v="382.1"/>
    <n v="25844.36"/>
    <n v="87338.32"/>
    <n v="0.29591099999999998"/>
    <n v="-9045.59"/>
    <n v="-9045.59"/>
    <n v="3223.97"/>
    <n v="-5821.62"/>
    <n v="75877.27"/>
    <s v="Forecast"/>
  </r>
  <r>
    <x v="17"/>
    <x v="2"/>
    <s v="202201"/>
    <n v="54"/>
    <n v="48939.75"/>
    <n v="-6.4393341203769647E-2"/>
    <s v="CohortAvg"/>
    <n v="-1.346707668562626E-2"/>
    <s v="CohortAvg"/>
    <n v="0.14985955234851661"/>
    <s v="CohortAvg"/>
    <n v="3.4403898558546163E-2"/>
    <s v="CohortAvg_NonZero"/>
    <n v="4.0171723557137248E-7"/>
    <s v="CohortAvg"/>
    <n v="0"/>
    <s v="Zero"/>
    <n v="-1.440091666275049E-6"/>
    <s v="CohortAvg"/>
    <n v="-6.5017557784351003E-9"/>
    <s v="CohortAvg"/>
    <n v="0"/>
    <n v="-3151.39"/>
    <n v="-659.08"/>
    <n v="611.16999999999996"/>
    <n v="1683.72"/>
    <n v="0.02"/>
    <n v="-7.0000000000000007E-2"/>
    <n v="0"/>
    <n v="44056.72"/>
    <n v="0.18637400000000001"/>
    <n v="0.91979999999999995"/>
    <n v="0.171433"/>
    <s v="CohortAvg+Seasonal(0.920)"/>
    <n v="7552.77"/>
    <n v="10653.8"/>
    <n v="-3101.03"/>
    <x v="1"/>
    <n v="1683.72"/>
    <n v="0.78500000000000003"/>
    <n v="0.24"/>
    <n v="1321.72"/>
    <n v="1321.72"/>
    <n v="404.09"/>
    <n v="9332.08"/>
    <n v="47256.04"/>
    <n v="0.19747899999999999"/>
    <n v="-1779.31"/>
    <n v="-1779.29"/>
    <n v="3409.53"/>
    <n v="1630.24"/>
    <n v="42426.48"/>
    <s v="Forecast"/>
  </r>
  <r>
    <x v="17"/>
    <x v="2"/>
    <s v="202301"/>
    <n v="45"/>
    <n v="5450970.0199999996"/>
    <n v="-3.5871424783738268E-2"/>
    <s v="CohortAvg"/>
    <n v="-1.532845681295622E-2"/>
    <s v="CohortAvg"/>
    <n v="0.17435213361338031"/>
    <s v="CohortAvg"/>
    <n v="1.8570496466704361E-2"/>
    <s v="CohortAvg_NonZero"/>
    <n v="1.007873505376279E-8"/>
    <s v="CohortAvg"/>
    <n v="0"/>
    <s v="Zero"/>
    <n v="-2.9272890075202372E-5"/>
    <s v="CohortAvg"/>
    <n v="-7.2678681346940215E-8"/>
    <s v="CohortAvg"/>
    <n v="0"/>
    <n v="-195534.06"/>
    <n v="-83554.960000000006"/>
    <n v="79199.02"/>
    <n v="101227.22"/>
    <n v="0.05"/>
    <n v="-159.57"/>
    <n v="-0.4"/>
    <n v="5149852.75"/>
    <n v="0.21994900000000001"/>
    <n v="0.91979999999999995"/>
    <n v="0.202316"/>
    <s v="CohortAvg+Seasonal(0.920)"/>
    <n v="1041899.09"/>
    <n v="1404665.78"/>
    <n v="-362766.69"/>
    <x v="1"/>
    <n v="101227.22"/>
    <n v="0.78500000000000003"/>
    <n v="0.24"/>
    <n v="79463.37"/>
    <n v="79463.37"/>
    <n v="24294.53"/>
    <n v="1325202.4099999999"/>
    <n v="5349742.8"/>
    <n v="0.24771299999999999"/>
    <n v="-283303.32"/>
    <n v="-283303.27"/>
    <n v="204985.12"/>
    <n v="-78318.149999999994"/>
    <n v="5228170.8899999997"/>
    <s v="Forecast"/>
  </r>
  <r>
    <x v="17"/>
    <x v="2"/>
    <s v="202404"/>
    <n v="35"/>
    <n v="1272451.06"/>
    <n v="-4.2803132959927527E-2"/>
    <s v="CohortAvg"/>
    <n v="-1.6115343959701819E-2"/>
    <s v="CohortAvg"/>
    <n v="0.1758929675863582"/>
    <s v="CohortAvg"/>
    <n v="2.1308297083571331E-2"/>
    <s v="CohortAvg_NonZero"/>
    <n v="7.2412238571087669E-8"/>
    <s v="CohortAvg"/>
    <n v="0"/>
    <s v="Zero"/>
    <n v="-2.407740490958685E-3"/>
    <s v="CohortAvg"/>
    <n v="-1.094511451491112E-5"/>
    <s v="CohortAvg"/>
    <n v="0"/>
    <n v="-54464.89"/>
    <n v="-20505.990000000002"/>
    <n v="18651.27"/>
    <n v="27113.77"/>
    <n v="0.09"/>
    <n v="-3063.73"/>
    <n v="-13.93"/>
    <n v="1189017.5900000001"/>
    <n v="0.204064"/>
    <n v="0.91979999999999995"/>
    <n v="0.18770500000000001"/>
    <s v="CohortTrend+Seasonal(0.920)"/>
    <n v="223184.28"/>
    <n v="295590.65999999997"/>
    <n v="-72406.39"/>
    <x v="1"/>
    <n v="27113.77"/>
    <n v="0.78500000000000003"/>
    <n v="0.24"/>
    <n v="21284.31"/>
    <n v="21284.31"/>
    <n v="6507.3"/>
    <n v="274306.36"/>
    <n v="1245337.3"/>
    <n v="0.22026699999999999"/>
    <n v="-51122.080000000002"/>
    <n v="-51121.99"/>
    <n v="54905.37"/>
    <n v="3783.39"/>
    <n v="1185234.21"/>
    <s v="Forecast"/>
  </r>
  <r>
    <x v="17"/>
    <x v="2"/>
    <s v="202405"/>
    <n v="34"/>
    <n v="1606054.7"/>
    <n v="-1.908062165593187E-2"/>
    <s v="CohortAvg"/>
    <n v="-1.5116512267948129E-2"/>
    <s v="CohortAvg"/>
    <n v="0.17322539468186479"/>
    <s v="CohortAvg"/>
    <n v="3.1689596055461851E-2"/>
    <s v="CohortAvg_NonZero"/>
    <n v="4.8312937416375318E-8"/>
    <s v="CohortAvg"/>
    <n v="0"/>
    <s v="Zero"/>
    <n v="-5.6534930159518881E-3"/>
    <s v="CohortAvg"/>
    <n v="-3.4021870396620262E-5"/>
    <s v="CohortAvg"/>
    <n v="0"/>
    <n v="-30644.52"/>
    <n v="-24277.95"/>
    <n v="23184.12"/>
    <n v="50895.22"/>
    <n v="0.08"/>
    <n v="-9079.82"/>
    <n v="-54.64"/>
    <n v="1523421.06"/>
    <n v="0.17325499999999999"/>
    <n v="0.91979999999999995"/>
    <n v="0.15936600000000001"/>
    <s v="CohortTrend+Seasonal(0.920)"/>
    <n v="242781.2"/>
    <n v="316743.90000000002"/>
    <n v="-73962.7"/>
    <x v="1"/>
    <n v="50895.22"/>
    <n v="0.78500000000000003"/>
    <n v="0.24"/>
    <n v="39952.75"/>
    <n v="39952.75"/>
    <n v="12214.85"/>
    <n v="276791.15000000002"/>
    <n v="1555159.48"/>
    <n v="0.177982"/>
    <n v="-34009.949999999997"/>
    <n v="-34009.870000000003"/>
    <n v="103062.83"/>
    <n v="69052.960000000006"/>
    <n v="1454368.09"/>
    <s v="Forecast"/>
  </r>
  <r>
    <x v="17"/>
    <x v="2"/>
    <s v="202406"/>
    <n v="33"/>
    <n v="1142573.92"/>
    <n v="-2.7607562945627891E-2"/>
    <s v="CohortAvg"/>
    <n v="-1.5146990538548949E-2"/>
    <s v="CohortAvg"/>
    <n v="0.17184357484271651"/>
    <s v="CohortAvg"/>
    <n v="6.280980101249993E-2"/>
    <s v="CohortAvg_NonZero"/>
    <n v="4.1918290297351153E-8"/>
    <s v="CohortAvg"/>
    <n v="0"/>
    <s v="Zero"/>
    <n v="-3.474063840400843E-3"/>
    <s v="CohortAvg"/>
    <n v="-5.4435810750973623E-5"/>
    <s v="CohortAvg"/>
    <n v="0"/>
    <n v="-31543.68"/>
    <n v="-17306.560000000001"/>
    <n v="16362"/>
    <n v="71764.84"/>
    <n v="0.05"/>
    <n v="-3969.37"/>
    <n v="-62.2"/>
    <n v="1038320.8"/>
    <n v="0.17730499999999999"/>
    <n v="0.91979999999999995"/>
    <n v="0.16309100000000001"/>
    <s v="CohortTrend+Seasonal(0.920)"/>
    <n v="169341.13"/>
    <n v="230961.91"/>
    <n v="-61620.78"/>
    <x v="1"/>
    <n v="71764.84"/>
    <n v="0.78500000000000003"/>
    <n v="0.24"/>
    <n v="56335.4"/>
    <n v="56335.4"/>
    <n v="17223.560000000001"/>
    <n v="174626.51"/>
    <n v="1070809.08"/>
    <n v="0.163079"/>
    <n v="-5285.38"/>
    <n v="-5285.33"/>
    <n v="145323.79999999999"/>
    <n v="140038.47"/>
    <n v="898282.32"/>
    <s v="Forecast"/>
  </r>
  <r>
    <x v="17"/>
    <x v="2"/>
    <s v="202407"/>
    <n v="32"/>
    <n v="2284002.38"/>
    <n v="-2.7277494642742251E-2"/>
    <s v="CohortAvg"/>
    <n v="-1.565449507178307E-2"/>
    <s v="CohortAvg"/>
    <n v="0.17583396061697451"/>
    <s v="CohortAvg"/>
    <n v="3.1774318879651729E-2"/>
    <s v="CohortAvg_NonZero"/>
    <n v="6.5711436300353676E-6"/>
    <s v="CohortAvg"/>
    <n v="0"/>
    <s v="Zero"/>
    <n v="-4.8874636254392471E-3"/>
    <s v="CohortAvg"/>
    <n v="-4.0909755600588992E-5"/>
    <s v="CohortAvg"/>
    <n v="0"/>
    <n v="-62301.86"/>
    <n v="-35754.9"/>
    <n v="33467.1"/>
    <n v="72572.62"/>
    <n v="15.01"/>
    <n v="-11162.98"/>
    <n v="-93.44"/>
    <n v="2146825.08"/>
    <n v="0.15373200000000001"/>
    <n v="0.91979999999999995"/>
    <n v="0.14140800000000001"/>
    <s v="CohortTrend+Seasonal(0.920)"/>
    <n v="303578.46999999997"/>
    <n v="399268.39"/>
    <n v="-95689.919999999998"/>
    <x v="1"/>
    <n v="72572.62"/>
    <n v="0.78500000000000003"/>
    <n v="0.24"/>
    <n v="56969.51"/>
    <n v="56969.51"/>
    <n v="17417.43"/>
    <n v="342298.89"/>
    <n v="2211429.7599999998"/>
    <n v="0.15478600000000001"/>
    <n v="-38720.410000000003"/>
    <n v="-38705.410000000003"/>
    <n v="146959.56"/>
    <n v="108254.15"/>
    <n v="2038570.94"/>
    <s v="Forecast"/>
  </r>
  <r>
    <x v="17"/>
    <x v="2"/>
    <s v="202408"/>
    <n v="31"/>
    <n v="1726519.85"/>
    <n v="-2.3941457746855001E-2"/>
    <s v="CohortAvg"/>
    <n v="-1.6487774318521969E-2"/>
    <s v="CohortAvg"/>
    <n v="0.18798137901167181"/>
    <s v="CohortAvg"/>
    <n v="2.170426759289526E-2"/>
    <s v="CohortAvg_NonZero"/>
    <n v="1.6921325097724922E-8"/>
    <s v="CohortAvg"/>
    <n v="0"/>
    <s v="Zero"/>
    <n v="-2.107355873231344E-3"/>
    <s v="CohortAvg"/>
    <n v="-2.289623987903353E-5"/>
    <s v="CohortAvg"/>
    <n v="0"/>
    <n v="-41335.4"/>
    <n v="-28466.47"/>
    <n v="27046.13"/>
    <n v="37472.85"/>
    <n v="0.03"/>
    <n v="-3638.39"/>
    <n v="-39.53"/>
    <n v="1646291.23"/>
    <n v="0.15715599999999999"/>
    <n v="0.91979999999999995"/>
    <n v="0.14455699999999999"/>
    <s v="CohortTrend+Seasonal(0.920)"/>
    <n v="237983.59"/>
    <n v="307138.25"/>
    <n v="-69154.66"/>
    <x v="1"/>
    <n v="37472.85"/>
    <n v="0.78500000000000003"/>
    <n v="0.24"/>
    <n v="29416.19"/>
    <n v="29416.19"/>
    <n v="8993.48"/>
    <n v="277722.06"/>
    <n v="1689047"/>
    <n v="0.16442499999999999"/>
    <n v="-39738.47"/>
    <n v="-39738.44"/>
    <n v="75882.52"/>
    <n v="36144.07"/>
    <n v="1610147.16"/>
    <s v="Forecast"/>
  </r>
  <r>
    <x v="17"/>
    <x v="2"/>
    <s v="202409"/>
    <n v="30"/>
    <n v="1434805.16"/>
    <n v="-3.2619993192537368E-2"/>
    <s v="CohortAvg"/>
    <n v="-1.6765106575836429E-2"/>
    <s v="CohortAvg"/>
    <n v="0.18512937000993171"/>
    <s v="CohortAvg"/>
    <n v="3.519216090408657E-2"/>
    <s v="CohortAvg_NonZero"/>
    <n v="7.3145029407638121E-6"/>
    <s v="CohortAvg"/>
    <n v="0"/>
    <s v="Zero"/>
    <n v="-1.1612389673614E-2"/>
    <s v="CohortAvg"/>
    <n v="-9.37126691188565E-5"/>
    <s v="CohortAvg"/>
    <n v="0"/>
    <n v="-46803.33"/>
    <n v="-24054.66"/>
    <n v="22135.38"/>
    <n v="50493.89"/>
    <n v="10.49"/>
    <n v="-16661.52"/>
    <n v="-134.46"/>
    <n v="1335578.1499999999"/>
    <n v="0.13780899999999999"/>
    <n v="0.91979999999999995"/>
    <n v="0.12676200000000001"/>
    <s v="CohortTrend+Seasonal(0.920)"/>
    <n v="169299.9"/>
    <n v="223823.65"/>
    <n v="-54523.75"/>
    <x v="1"/>
    <n v="50493.89"/>
    <n v="0.78500000000000003"/>
    <n v="0.24"/>
    <n v="39637.71"/>
    <n v="39637.71"/>
    <n v="12118.53"/>
    <n v="184185.94"/>
    <n v="1384311.26"/>
    <n v="0.133052"/>
    <n v="-14886.04"/>
    <n v="-14875.55"/>
    <n v="102250.14"/>
    <n v="87374.59"/>
    <n v="1248203.57"/>
    <s v="Forecast"/>
  </r>
  <r>
    <x v="17"/>
    <x v="2"/>
    <s v="202410"/>
    <n v="29"/>
    <n v="1285268.77"/>
    <n v="-4.0680991867298982E-2"/>
    <s v="CohortAvg"/>
    <n v="-1.6722875174110929E-2"/>
    <s v="CohortAvg"/>
    <n v="0.1819549799599868"/>
    <s v="CohortAvg"/>
    <n v="2.9500482783855329E-2"/>
    <s v="CohortAvg_NonZero"/>
    <n v="7.7754467054991863E-8"/>
    <s v="CohortAvg"/>
    <n v="0"/>
    <s v="Zero"/>
    <n v="-7.1919594831151498E-3"/>
    <s v="CohortAvg"/>
    <n v="-1.105799822922887E-4"/>
    <s v="CohortAvg"/>
    <n v="0"/>
    <n v="-52286.01"/>
    <n v="-21493.39"/>
    <n v="19488.419999999998"/>
    <n v="37916.050000000003"/>
    <n v="0.1"/>
    <n v="-9243.6"/>
    <n v="-142.12"/>
    <n v="1193061.6399999999"/>
    <n v="0.12475799999999999"/>
    <n v="0.91979999999999995"/>
    <n v="0.114757"/>
    <s v="CohortTrend+Seasonal(0.920)"/>
    <n v="136912.07"/>
    <n v="182089.55"/>
    <n v="-45177.47"/>
    <x v="1"/>
    <n v="37916.050000000003"/>
    <n v="0.78500000000000003"/>
    <n v="0.24"/>
    <n v="29764.1"/>
    <n v="29764.1"/>
    <n v="9099.85"/>
    <n v="152325.45000000001"/>
    <n v="1247352.72"/>
    <n v="0.12211900000000001"/>
    <n v="-15413.38"/>
    <n v="-15413.28"/>
    <n v="76780"/>
    <n v="61366.720000000001"/>
    <n v="1131694.92"/>
    <s v="Forecast"/>
  </r>
  <r>
    <x v="17"/>
    <x v="2"/>
    <s v="202411"/>
    <n v="28"/>
    <n v="1534521.79"/>
    <n v="-3.7054922078405689E-2"/>
    <s v="CohortAvg"/>
    <n v="-1.756614617974837E-2"/>
    <s v="CohortAvg"/>
    <n v="0.19004173729034429"/>
    <s v="CohortAvg"/>
    <n v="2.1718194375315011E-2"/>
    <s v="CohortAvg_NonZero"/>
    <n v="1.730393772723989E-6"/>
    <s v="CohortAvg"/>
    <n v="0"/>
    <s v="Zero"/>
    <n v="-1.0834592282221009E-2"/>
    <s v="CohortAvg"/>
    <n v="-9.4860650801181646E-5"/>
    <s v="CohortAvg"/>
    <n v="0"/>
    <n v="-56861.59"/>
    <n v="-26955.63"/>
    <n v="24301.93"/>
    <n v="33327.040000000001"/>
    <n v="2.66"/>
    <n v="-16625.919999999998"/>
    <n v="-145.57"/>
    <n v="1441676.81"/>
    <n v="0.127973"/>
    <n v="0.91979999999999995"/>
    <n v="0.117714"/>
    <s v="CohortTrend+Seasonal(0.920)"/>
    <n v="169705.52"/>
    <n v="221335.91"/>
    <n v="-51630.39"/>
    <x v="1"/>
    <n v="33327.040000000001"/>
    <n v="0.78500000000000003"/>
    <n v="0.24"/>
    <n v="26161.73"/>
    <n v="26161.73"/>
    <n v="7998.49"/>
    <n v="195174.18"/>
    <n v="1501194.75"/>
    <n v="0.13001299999999999"/>
    <n v="-25468.66"/>
    <n v="-25466"/>
    <n v="67487.259999999995"/>
    <n v="42021.26"/>
    <n v="1399655.55"/>
    <s v="Forecast"/>
  </r>
  <r>
    <x v="17"/>
    <x v="2"/>
    <s v="202412"/>
    <n v="27"/>
    <n v="1604713"/>
    <n v="-1.9994072051045489E-2"/>
    <s v="CohortAvg"/>
    <n v="-1.6656389230096678E-2"/>
    <s v="CohortAvg"/>
    <n v="0.18943519001856121"/>
    <s v="CohortAvg"/>
    <n v="2.821707011762473E-2"/>
    <s v="CohortAvg_NonZero"/>
    <n v="4.9118246015716712E-8"/>
    <s v="CohortAvg"/>
    <n v="0"/>
    <s v="Zero"/>
    <n v="-1.018293164233991E-2"/>
    <s v="CohortAvg"/>
    <n v="-6.9035709460268168E-5"/>
    <s v="CohortAvg"/>
    <n v="0"/>
    <n v="-32084.75"/>
    <n v="-26728.720000000001"/>
    <n v="25332.43"/>
    <n v="45280.3"/>
    <n v="0.08"/>
    <n v="-16340.68"/>
    <n v="-110.78"/>
    <n v="1525951.58"/>
    <n v="0.101564"/>
    <n v="0.91979999999999995"/>
    <n v="9.3422000000000005E-2"/>
    <s v="CohortTrend+Seasonal(0.920)"/>
    <n v="142557.20000000001"/>
    <n v="185433.41"/>
    <n v="-42876.21"/>
    <x v="1"/>
    <n v="45280.3"/>
    <n v="0.78500000000000003"/>
    <n v="0.24"/>
    <n v="35545.040000000001"/>
    <n v="35545.040000000001"/>
    <n v="10867.27"/>
    <n v="149888.38"/>
    <n v="1559432.71"/>
    <n v="9.6116999999999994E-2"/>
    <n v="-7331.18"/>
    <n v="-7331.1"/>
    <n v="91692.61"/>
    <n v="84361.51"/>
    <n v="1441590.07"/>
    <s v="Forecast"/>
  </r>
  <r>
    <x v="17"/>
    <x v="2"/>
    <s v="202501"/>
    <n v="26"/>
    <n v="2671044.36"/>
    <n v="-3.0453544664000711E-2"/>
    <s v="CohortAvg"/>
    <n v="-1.7544445426936381E-2"/>
    <s v="CohortAvg"/>
    <n v="0.19075161852506831"/>
    <s v="CohortAvg"/>
    <n v="1.5573925478862809E-2"/>
    <s v="CohortAvg_NonZero"/>
    <n v="2.064993920651476E-6"/>
    <s v="CohortAvg"/>
    <n v="0"/>
    <s v="Zero"/>
    <n v="-1.8905291927816589E-2"/>
    <s v="CohortAvg"/>
    <n v="-1.5425395454526439E-4"/>
    <s v="CohortAvg"/>
    <n v="0"/>
    <n v="-81342.77"/>
    <n v="-46861.99"/>
    <n v="42458.84"/>
    <n v="41598.65"/>
    <n v="5.52"/>
    <n v="-50496.87"/>
    <n v="-412.02"/>
    <n v="2543694.2799999998"/>
    <n v="0.109401"/>
    <n v="0.91979999999999995"/>
    <n v="0.100631"/>
    <s v="CohortTrend+Seasonal(0.920)"/>
    <n v="255973.59"/>
    <n v="329523.90000000002"/>
    <n v="-73550.31"/>
    <x v="1"/>
    <n v="41598.65"/>
    <n v="0.78500000000000003"/>
    <n v="0.24"/>
    <n v="32654.94"/>
    <n v="32654.94"/>
    <n v="9983.68"/>
    <n v="296868.96000000002"/>
    <n v="2629445.7200000002"/>
    <n v="0.112902"/>
    <n v="-40895.379999999997"/>
    <n v="-40889.86"/>
    <n v="84237.26"/>
    <n v="43347.4"/>
    <n v="2500346.8799999999"/>
    <s v="Forecast"/>
  </r>
  <r>
    <x v="17"/>
    <x v="2"/>
    <s v="202502"/>
    <n v="25"/>
    <n v="2712522.44"/>
    <n v="-3.4071055575278848E-2"/>
    <s v="CohortAvg"/>
    <n v="-1.764090647999016E-2"/>
    <s v="CohortAvg"/>
    <n v="0.197184116835665"/>
    <s v="CohortAvg"/>
    <n v="7.9645373695133598E-3"/>
    <s v="CohortAvg_NonZero"/>
    <n v="0"/>
    <s v="CohortAvg"/>
    <n v="0"/>
    <s v="Zero"/>
    <n v="-3.4746968114653908E-2"/>
    <s v="CohortAvg"/>
    <n v="-3.1766124681711531E-4"/>
    <s v="CohortAvg"/>
    <n v="0"/>
    <n v="-92418.5"/>
    <n v="-47851.35"/>
    <n v="44572.2"/>
    <n v="21603.99"/>
    <n v="0"/>
    <n v="-94251.93"/>
    <n v="-861.66"/>
    <n v="2595220.79"/>
    <n v="0.11525000000000001"/>
    <n v="0.91979999999999995"/>
    <n v="0.10601099999999999"/>
    <s v="CohortTrend+Seasonal(0.920)"/>
    <n v="275121.86"/>
    <n v="349723.31"/>
    <n v="-74601.45"/>
    <x v="1"/>
    <n v="21603.99"/>
    <n v="0.78500000000000003"/>
    <n v="0.24"/>
    <n v="16959.13"/>
    <n v="16959.13"/>
    <n v="5184.96"/>
    <n v="332764.18"/>
    <n v="2690918.46"/>
    <n v="0.12366199999999999"/>
    <n v="-57642.32"/>
    <n v="-57642.32"/>
    <n v="43748.07"/>
    <n v="-13894.25"/>
    <n v="2609115.04"/>
    <s v="Forecast"/>
  </r>
  <r>
    <x v="17"/>
    <x v="2"/>
    <s v="202503"/>
    <n v="24"/>
    <n v="3999173.09"/>
    <n v="-2.2744968425133859E-2"/>
    <s v="CohortAvg"/>
    <n v="-1.6985077264565451E-2"/>
    <s v="CohortAvg"/>
    <n v="0.201204521153937"/>
    <s v="CohortAvg"/>
    <n v="7.1848262480383477E-3"/>
    <s v="CohortAvg_NonZero"/>
    <n v="2.88702904394675E-9"/>
    <s v="CohortAvg"/>
    <n v="0"/>
    <s v="Zero"/>
    <n v="0"/>
    <s v="CohortAvg"/>
    <n v="0"/>
    <s v="CohortAvg"/>
    <n v="0"/>
    <n v="-90961.07"/>
    <n v="-67926.259999999995"/>
    <n v="67054.31"/>
    <n v="28733.360000000001"/>
    <n v="0.01"/>
    <n v="0"/>
    <n v="0"/>
    <n v="3878606.69"/>
    <n v="0.11172"/>
    <n v="0.91979999999999995"/>
    <n v="0.10276399999999999"/>
    <s v="CohortTrend+Seasonal(0.920)"/>
    <n v="398580.18"/>
    <n v="498046.08"/>
    <n v="-99465.9"/>
    <x v="1"/>
    <n v="28733.360000000001"/>
    <n v="0.78500000000000003"/>
    <n v="0.24"/>
    <n v="22555.69"/>
    <n v="22555.69"/>
    <n v="6896.01"/>
    <n v="475490.39"/>
    <n v="3970439.73"/>
    <n v="0.119758"/>
    <n v="-76910.210000000006"/>
    <n v="-76910.2"/>
    <n v="58185.06"/>
    <n v="-18725.14"/>
    <n v="3897331.83"/>
    <s v="Forecast"/>
  </r>
  <r>
    <x v="17"/>
    <x v="2"/>
    <s v="202504"/>
    <n v="23"/>
    <n v="4994991.32"/>
    <n v="-2.4623451506680182E-2"/>
    <s v="CohortAvg"/>
    <n v="-1.6908360587816348E-2"/>
    <s v="CohortAvg"/>
    <n v="0.1964215006966582"/>
    <s v="CohortAvg"/>
    <n v="3.260907177009143E-3"/>
    <s v="CohortAvg_NonZero"/>
    <n v="0"/>
    <s v="CohortAvg"/>
    <n v="0"/>
    <s v="Zero"/>
    <n v="0"/>
    <s v="CohortAvg"/>
    <n v="0"/>
    <s v="CohortAvg"/>
    <n v="0"/>
    <n v="-122993.93"/>
    <n v="-84457.11"/>
    <n v="81760.31"/>
    <n v="16288.2"/>
    <n v="0"/>
    <n v="0"/>
    <n v="0"/>
    <n v="4853012.38"/>
    <n v="0.110083"/>
    <n v="0.91979999999999995"/>
    <n v="0.101258"/>
    <s v="CohortTrend+Seasonal(0.920)"/>
    <n v="491405.98"/>
    <n v="609900.07999999996"/>
    <n v="-118494.11"/>
    <x v="1"/>
    <n v="16288.2"/>
    <n v="0.78500000000000003"/>
    <n v="0.24"/>
    <n v="12786.24"/>
    <n v="12786.24"/>
    <n v="3909.17"/>
    <n v="597113.84"/>
    <n v="4978703.12"/>
    <n v="0.119934"/>
    <n v="-105707.87"/>
    <n v="-105707.87"/>
    <n v="32983.61"/>
    <n v="-72724.25"/>
    <n v="4925736.6399999997"/>
    <s v="Forecast"/>
  </r>
  <r>
    <x v="17"/>
    <x v="2"/>
    <s v="202505"/>
    <n v="22"/>
    <n v="4812424.18"/>
    <n v="-2.7430434378903999E-2"/>
    <s v="CohortAvg"/>
    <n v="-1.6572375136762421E-2"/>
    <s v="CohortAvg"/>
    <n v="0.19387414002048259"/>
    <s v="CohortAvg"/>
    <n v="0"/>
    <s v="CohortAvg_NoData_ERROR"/>
    <n v="0"/>
    <s v="CohortAvg"/>
    <n v="0"/>
    <s v="Zero"/>
    <n v="0"/>
    <s v="CohortAvg"/>
    <n v="0"/>
    <s v="CohortAvg"/>
    <n v="0"/>
    <n v="-132006.89000000001"/>
    <n v="-79753.3"/>
    <n v="77750.38"/>
    <n v="0"/>
    <n v="0"/>
    <n v="0"/>
    <n v="0"/>
    <n v="4678414.38"/>
    <n v="0.106199"/>
    <n v="0.91979999999999995"/>
    <n v="9.7684999999999994E-2"/>
    <s v="CohortTrend+Seasonal(0.920)"/>
    <n v="457010.84"/>
    <n v="564375.96"/>
    <n v="-107365.11"/>
    <x v="1"/>
    <n v="0"/>
    <n v="0.78500000000000003"/>
    <n v="0.24"/>
    <n v="0"/>
    <n v="0"/>
    <n v="0"/>
    <n v="564375.96"/>
    <n v="4812424.18"/>
    <n v="0.117275"/>
    <n v="-107365.11"/>
    <n v="-107365.11"/>
    <n v="0"/>
    <n v="-107365.11"/>
    <n v="4785779.5"/>
    <s v="Forecast"/>
  </r>
  <r>
    <x v="17"/>
    <x v="2"/>
    <s v="202506"/>
    <n v="21"/>
    <n v="5338412.8099999996"/>
    <n v="-2.0057264857998129E-2"/>
    <s v="CohortAvg"/>
    <n v="-1.6244069965423831E-2"/>
    <s v="CohortAvg"/>
    <n v="0.19747101547876539"/>
    <s v="CohortAvg"/>
    <n v="0"/>
    <s v="CohortAvg_NoData_ERROR"/>
    <n v="0"/>
    <s v="CohortAvg"/>
    <n v="0"/>
    <s v="Zero"/>
    <n v="0"/>
    <s v="CohortAvg"/>
    <n v="0"/>
    <s v="CohortAvg"/>
    <n v="0"/>
    <n v="-107073.96"/>
    <n v="-86717.55"/>
    <n v="87848.48"/>
    <n v="0"/>
    <n v="0"/>
    <n v="0"/>
    <n v="0"/>
    <n v="5232469.78"/>
    <n v="0.103561"/>
    <n v="0.91979999999999995"/>
    <n v="9.5258999999999996E-2"/>
    <s v="CohortTrend+Seasonal(0.920)"/>
    <n v="498439.35"/>
    <n v="606603.39"/>
    <n v="-108164.04"/>
    <x v="1"/>
    <n v="0"/>
    <n v="0.78500000000000003"/>
    <n v="0.24"/>
    <n v="0"/>
    <n v="0"/>
    <n v="0"/>
    <n v="606603.39"/>
    <n v="5338412.8099999996"/>
    <n v="0.11362999999999999"/>
    <n v="-108164.04"/>
    <n v="-108164.04"/>
    <n v="0"/>
    <n v="-108164.04"/>
    <n v="5340633.82"/>
    <s v="Forecast"/>
  </r>
  <r>
    <x v="17"/>
    <x v="2"/>
    <s v="202507"/>
    <n v="20"/>
    <n v="6866843.0499999998"/>
    <n v="-1.6277098710288349E-2"/>
    <s v="CohortAvg"/>
    <n v="-1.7107132631215619E-2"/>
    <s v="CohortAvg"/>
    <n v="0.18849106054812209"/>
    <s v="CohortAvg"/>
    <n v="0"/>
    <s v="CohortAvg_NoData_ERROR"/>
    <n v="0"/>
    <s v="CohortAvg"/>
    <n v="0"/>
    <s v="Zero"/>
    <n v="0"/>
    <s v="CohortAvg"/>
    <n v="0"/>
    <s v="CohortAvg"/>
    <n v="0"/>
    <n v="-111772.28"/>
    <n v="-117471.99"/>
    <n v="107861.54"/>
    <n v="0"/>
    <n v="0"/>
    <n v="0"/>
    <n v="0"/>
    <n v="6745460.3200000003"/>
    <n v="9.7233E-2"/>
    <n v="0.91979999999999995"/>
    <n v="8.9438000000000004E-2"/>
    <s v="CohortTrend+Seasonal(0.920)"/>
    <n v="603301.23"/>
    <n v="770722.23"/>
    <n v="-167420.99"/>
    <x v="1"/>
    <n v="0"/>
    <n v="0.78500000000000003"/>
    <n v="0.24"/>
    <n v="0"/>
    <n v="0"/>
    <n v="0"/>
    <n v="770722.23"/>
    <n v="6866843.0499999998"/>
    <n v="0.112238"/>
    <n v="-167420.99"/>
    <n v="-167420.99"/>
    <n v="0"/>
    <n v="-167420.99"/>
    <n v="6912881.3099999996"/>
    <s v="Forecast"/>
  </r>
  <r>
    <x v="17"/>
    <x v="2"/>
    <s v="202508"/>
    <n v="19"/>
    <n v="6191188.75"/>
    <n v="-1.976122029561948E-2"/>
    <s v="CohortAvg"/>
    <n v="-1.2088332730908931E-2"/>
    <s v="CohortAvg"/>
    <n v="0.19051672762956059"/>
    <s v="CohortAvg"/>
    <n v="0"/>
    <s v="CohortAvg_NoData_ERROR"/>
    <n v="3.5250840655545538E-5"/>
    <s v="CohortAvg"/>
    <n v="0"/>
    <s v="Zero"/>
    <n v="0"/>
    <s v="CohortAvg"/>
    <n v="0"/>
    <s v="CohortAvg"/>
    <n v="0"/>
    <n v="-122345.44"/>
    <n v="-74841.149999999994"/>
    <n v="98293.75"/>
    <n v="0"/>
    <n v="218.24"/>
    <n v="0"/>
    <n v="0"/>
    <n v="6092077.6699999999"/>
    <n v="9.6042000000000002E-2"/>
    <n v="0.91979999999999995"/>
    <n v="8.8343000000000005E-2"/>
    <s v="DonorCohort:202101+Seasonal(0.920)"/>
    <n v="538190.63"/>
    <n v="600499.97"/>
    <n v="-62309.33"/>
    <x v="1"/>
    <n v="0"/>
    <n v="0.78500000000000003"/>
    <n v="0.24"/>
    <n v="0"/>
    <n v="0"/>
    <n v="0"/>
    <n v="600499.97"/>
    <n v="6191188.75"/>
    <n v="9.6992999999999996E-2"/>
    <n v="-62309.33"/>
    <n v="-62091.09"/>
    <n v="0"/>
    <n v="-62091.09"/>
    <n v="6154168.7599999998"/>
    <s v="Forecast"/>
  </r>
  <r>
    <x v="17"/>
    <x v="2"/>
    <s v="202509"/>
    <n v="18"/>
    <n v="377386.01"/>
    <n v="-0.26375523506146792"/>
    <s v="CohortAvg"/>
    <n v="-3.236151669155327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99537.54"/>
    <n v="-12212.78"/>
    <n v="15724.42"/>
    <n v="0"/>
    <n v="0"/>
    <n v="0"/>
    <n v="0"/>
    <n v="281360.11"/>
    <n v="8.2997000000000001E-2"/>
    <n v="0.91979999999999995"/>
    <n v="7.6342999999999994E-2"/>
    <s v="DonorCohort:202101+Seasonal(0.920)"/>
    <n v="21479.86"/>
    <n v="34160.81"/>
    <n v="-12680.96"/>
    <x v="1"/>
    <n v="0"/>
    <n v="0.78500000000000003"/>
    <n v="0.24"/>
    <n v="0"/>
    <n v="0"/>
    <n v="0"/>
    <n v="34160.81"/>
    <n v="377386.01"/>
    <n v="9.0520000000000003E-2"/>
    <n v="-12680.96"/>
    <n v="-12680.96"/>
    <n v="0"/>
    <n v="-12680.96"/>
    <n v="294041.06"/>
    <s v="Forecast"/>
  </r>
  <r>
    <x v="17"/>
    <x v="3"/>
    <s v="201912"/>
    <n v="87"/>
    <n v="45618.16"/>
    <n v="-6.8444700659602399E-3"/>
    <s v="CohortAvg"/>
    <n v="-6.4296052799769573E-4"/>
    <s v="CohortAvg"/>
    <n v="0"/>
    <s v="CohortAvg"/>
    <n v="3.0037055161416221E-2"/>
    <s v="CohortAvg_NonZero"/>
    <n v="5.4685548136578662E-8"/>
    <s v="CohortAvg"/>
    <n v="0"/>
    <s v="Zero"/>
    <n v="0"/>
    <s v="CohortAvg"/>
    <n v="0"/>
    <s v="CohortAvg"/>
    <n v="0"/>
    <n v="-312.23"/>
    <n v="-29.33"/>
    <n v="0"/>
    <n v="1370.24"/>
    <n v="0"/>
    <n v="0"/>
    <n v="0"/>
    <n v="43906.36"/>
    <n v="0.98814999999999997"/>
    <n v="0.99629999999999996"/>
    <n v="0.98446699999999998"/>
    <s v="CohortAvg+Seasonal(0.996)"/>
    <n v="43224.38"/>
    <n v="48080.33"/>
    <n v="-4855.95"/>
    <x v="1"/>
    <n v="1370.24"/>
    <n v="0.78500000000000003"/>
    <n v="0.24"/>
    <n v="1075.6300000000001"/>
    <n v="1075.6300000000001"/>
    <n v="328.86"/>
    <n v="47004.69"/>
    <n v="44247.93"/>
    <n v="1.062303"/>
    <n v="-3780.31"/>
    <n v="-3780.31"/>
    <n v="2774.73"/>
    <n v="-1005.58"/>
    <n v="44911.94"/>
    <s v="Forecast"/>
  </r>
  <r>
    <x v="17"/>
    <x v="3"/>
    <s v="202001"/>
    <n v="86"/>
    <n v="0.05"/>
    <n v="-0.5"/>
    <s v="CohortAvg"/>
    <n v="-1.471955891932185E-6"/>
    <s v="CohortAvg"/>
    <n v="0"/>
    <s v="CohortAvg"/>
    <n v="1.7999624873697759E-2"/>
    <s v="CohortAvg_NonZero"/>
    <n v="0"/>
    <s v="CohortAvg"/>
    <n v="0"/>
    <s v="Zero"/>
    <n v="0"/>
    <s v="CohortAvg"/>
    <n v="0"/>
    <s v="CohortAvg"/>
    <n v="0"/>
    <n v="-0.03"/>
    <n v="0"/>
    <n v="0"/>
    <n v="0"/>
    <n v="0"/>
    <n v="0"/>
    <n v="0"/>
    <n v="0.02"/>
    <n v="0.81912099999999999"/>
    <n v="0.99629999999999996"/>
    <n v="0.81606800000000002"/>
    <s v="CohortAvg+Seasonal(0.996)"/>
    <n v="0.02"/>
    <n v="0.05"/>
    <n v="-0.02"/>
    <x v="1"/>
    <n v="0"/>
    <n v="0.78500000000000003"/>
    <n v="0.24"/>
    <n v="0"/>
    <n v="0"/>
    <n v="0"/>
    <n v="0.04"/>
    <n v="0.05"/>
    <n v="0.87560899999999997"/>
    <n v="-0.02"/>
    <n v="-0.02"/>
    <n v="0"/>
    <n v="-0.02"/>
    <n v="0.05"/>
    <s v="Forecast"/>
  </r>
  <r>
    <x v="17"/>
    <x v="3"/>
    <s v="202101"/>
    <n v="74"/>
    <n v="324334.90000000002"/>
    <n v="-0.1051932910228873"/>
    <s v="CohortAvg"/>
    <n v="-8.1180384079756942E-3"/>
    <s v="CohortAvg"/>
    <n v="0.1089271296499429"/>
    <s v="CohortAvg"/>
    <n v="6.1955349463871457E-3"/>
    <s v="CohortAvg_NonZero"/>
    <n v="0"/>
    <s v="CohortAvg"/>
    <n v="0"/>
    <s v="Zero"/>
    <n v="-1.3066858104938019E-5"/>
    <s v="CohortAvg"/>
    <n v="-1.3869009515011521E-7"/>
    <s v="CohortAvg"/>
    <n v="0"/>
    <n v="-34117.86"/>
    <n v="-2632.96"/>
    <n v="2944.07"/>
    <n v="2009.43"/>
    <n v="0"/>
    <n v="-4.24"/>
    <n v="-0.04"/>
    <n v="288518.71999999997"/>
    <n v="0.27615499999999998"/>
    <n v="0.99629999999999996"/>
    <n v="0.27512599999999998"/>
    <s v="CohortAvg+Seasonal(0.996)"/>
    <n v="79378.92"/>
    <n v="95541.57"/>
    <n v="-16162.65"/>
    <x v="1"/>
    <n v="2009.43"/>
    <n v="0.78500000000000003"/>
    <n v="0.24"/>
    <n v="1577.4"/>
    <n v="1577.4"/>
    <n v="482.26"/>
    <n v="93964.17"/>
    <n v="322325.46999999997"/>
    <n v="0.29152"/>
    <n v="-14585.25"/>
    <n v="-14585.25"/>
    <n v="4069.09"/>
    <n v="-10516.16"/>
    <n v="299034.88"/>
    <s v="Forecast"/>
  </r>
  <r>
    <x v="17"/>
    <x v="3"/>
    <s v="202201"/>
    <n v="54"/>
    <n v="78724.3"/>
    <n v="-8.8822153140195426E-2"/>
    <s v="CohortAvg"/>
    <n v="-1.037188914968693E-2"/>
    <s v="CohortAvg"/>
    <n v="0.1126306516633498"/>
    <s v="CohortAvg"/>
    <n v="3.3628729642899487E-2"/>
    <s v="CohortAvg_NonZero"/>
    <n v="9.0699327660211354E-4"/>
    <s v="CohortAvg"/>
    <n v="0"/>
    <s v="Zero"/>
    <n v="-1.3675156026174289E-5"/>
    <s v="CohortAvg"/>
    <n v="-1.1640683434381241E-7"/>
    <s v="CohortAvg"/>
    <n v="0"/>
    <n v="-6992.46"/>
    <n v="-816.52"/>
    <n v="738.9"/>
    <n v="2647.4"/>
    <n v="71.400000000000006"/>
    <n v="-1.08"/>
    <n v="-0.01"/>
    <n v="68935.41"/>
    <n v="0.30424000000000001"/>
    <n v="0.99629999999999996"/>
    <n v="0.30310700000000002"/>
    <s v="CohortAvg+Seasonal(0.996)"/>
    <n v="20894.79"/>
    <n v="25546.11"/>
    <n v="-4651.32"/>
    <x v="1"/>
    <n v="2647.4"/>
    <n v="0.78500000000000003"/>
    <n v="0.24"/>
    <n v="2078.21"/>
    <n v="2078.21"/>
    <n v="635.38"/>
    <n v="23467.91"/>
    <n v="76076.899999999994"/>
    <n v="0.30847599999999997"/>
    <n v="-2573.11"/>
    <n v="-2501.71"/>
    <n v="5360.98"/>
    <n v="2859.27"/>
    <n v="66076.14"/>
    <s v="Forecast"/>
  </r>
  <r>
    <x v="17"/>
    <x v="3"/>
    <s v="202301"/>
    <n v="45"/>
    <n v="1227679.28"/>
    <n v="-6.9814219899831803E-2"/>
    <s v="CohortAvg"/>
    <n v="-1.6140508006836991E-2"/>
    <s v="CohortAvg"/>
    <n v="0.1907813481686802"/>
    <s v="CohortAvg"/>
    <n v="2.527331227567858E-2"/>
    <s v="CohortAvg_NonZero"/>
    <n v="3.269407531524821E-7"/>
    <s v="CohortAvg"/>
    <n v="0"/>
    <s v="Zero"/>
    <n v="-2.3795319522300368E-3"/>
    <s v="CohortAvg"/>
    <n v="-1.3991828862587269E-5"/>
    <s v="CohortAvg"/>
    <n v="0"/>
    <n v="-85709.47"/>
    <n v="-19815.37"/>
    <n v="19518.189999999999"/>
    <n v="31027.52"/>
    <n v="0.4"/>
    <n v="-2921.3"/>
    <n v="-17.18"/>
    <n v="1110644.71"/>
    <n v="0.28209699999999999"/>
    <n v="0.99629999999999996"/>
    <n v="0.28104600000000002"/>
    <s v="CohortAvg+Seasonal(0.996)"/>
    <n v="312142.36"/>
    <n v="370305.43"/>
    <n v="-58163.07"/>
    <x v="1"/>
    <n v="31027.52"/>
    <n v="0.78500000000000003"/>
    <n v="0.24"/>
    <n v="24356.6"/>
    <n v="24356.6"/>
    <n v="7446.61"/>
    <n v="345948.82"/>
    <n v="1196651.76"/>
    <n v="0.28909699999999999"/>
    <n v="-33806.47"/>
    <n v="-33806.07"/>
    <n v="62830.73"/>
    <n v="29024.67"/>
    <n v="1081620.04"/>
    <s v="Forecast"/>
  </r>
  <r>
    <x v="17"/>
    <x v="3"/>
    <s v="202404"/>
    <n v="35"/>
    <n v="336582.44"/>
    <n v="-5.0048096006017763E-2"/>
    <s v="CohortAvg"/>
    <n v="-1.754328750309022E-2"/>
    <s v="CohortAvg"/>
    <n v="0.19120362349239631"/>
    <s v="CohortAvg"/>
    <n v="6.34651740780518E-2"/>
    <s v="CohortAvg_NonZero"/>
    <n v="9.0270383472478543E-7"/>
    <s v="CohortAvg"/>
    <n v="0"/>
    <s v="Zero"/>
    <n v="-1.057222968675829E-2"/>
    <s v="CohortAvg"/>
    <n v="-1.193411246776636E-4"/>
    <s v="CohortAvg"/>
    <n v="0"/>
    <n v="-16845.310000000001"/>
    <n v="-5904.76"/>
    <n v="5362.98"/>
    <n v="21361.26"/>
    <n v="0.3"/>
    <n v="-3558.43"/>
    <n v="-40.17"/>
    <n v="297833.78000000003"/>
    <n v="0.21512400000000001"/>
    <n v="0.99629999999999996"/>
    <n v="0.21432200000000001"/>
    <s v="CohortTrend+Seasonal(0.996)"/>
    <n v="63832.35"/>
    <n v="75427.7"/>
    <n v="-11595.34"/>
    <x v="1"/>
    <n v="21361.26"/>
    <n v="0.78500000000000003"/>
    <n v="0.24"/>
    <n v="16768.59"/>
    <n v="16768.59"/>
    <n v="5126.7"/>
    <n v="58659.1"/>
    <n v="315221.17"/>
    <n v="0.186089"/>
    <n v="5173.25"/>
    <n v="5173.55"/>
    <n v="43256.56"/>
    <n v="48430.11"/>
    <n v="249403.67"/>
    <s v="Forecast"/>
  </r>
  <r>
    <x v="17"/>
    <x v="3"/>
    <s v="202405"/>
    <n v="34"/>
    <n v="313712.46999999997"/>
    <n v="-5.2137486597344497E-2"/>
    <s v="CohortAvg"/>
    <n v="-1.7932339169717971E-2"/>
    <s v="CohortAvg"/>
    <n v="0.1997914888045913"/>
    <s v="CohortAvg"/>
    <n v="4.5776985810249547E-2"/>
    <s v="CohortAvg_NonZero"/>
    <n v="1.2795332929666991E-7"/>
    <s v="CohortAvg"/>
    <n v="0"/>
    <s v="Zero"/>
    <n v="-1.2037155924133951E-2"/>
    <s v="CohortAvg"/>
    <n v="-1.0747092063484319E-4"/>
    <s v="CohortAvg"/>
    <n v="0"/>
    <n v="-16356.18"/>
    <n v="-5625.6"/>
    <n v="5223.09"/>
    <n v="14360.81"/>
    <n v="0.04"/>
    <n v="-3776.21"/>
    <n v="-33.71"/>
    <n v="282592.93"/>
    <n v="0.17228099999999999"/>
    <n v="0.99629999999999996"/>
    <n v="0.17163900000000001"/>
    <s v="CohortTrend+Seasonal(0.996)"/>
    <n v="48504.1"/>
    <n v="56474.82"/>
    <n v="-7970.73"/>
    <x v="1"/>
    <n v="14360.81"/>
    <n v="0.78500000000000003"/>
    <n v="0.24"/>
    <n v="11273.24"/>
    <n v="11273.24"/>
    <n v="3446.59"/>
    <n v="45201.58"/>
    <n v="299351.65999999997"/>
    <n v="0.15099799999999999"/>
    <n v="3302.51"/>
    <n v="3302.55"/>
    <n v="29080.639999999999"/>
    <n v="32383.200000000001"/>
    <n v="250209.74"/>
    <s v="Forecast"/>
  </r>
  <r>
    <x v="17"/>
    <x v="3"/>
    <s v="202406"/>
    <n v="33"/>
    <n v="413464.62"/>
    <n v="-4.8004259394503902E-2"/>
    <s v="CohortAvg"/>
    <n v="-1.810612209118366E-2"/>
    <s v="CohortAvg"/>
    <n v="0.20238067840738569"/>
    <s v="CohortAvg"/>
    <n v="3.9520455749390698E-2"/>
    <s v="CohortAvg_NonZero"/>
    <n v="9.2372018031243367E-8"/>
    <s v="CohortAvg"/>
    <n v="0"/>
    <s v="Zero"/>
    <n v="-1.376536219392374E-2"/>
    <s v="CohortAvg"/>
    <n v="-1.043730955147516E-4"/>
    <s v="CohortAvg"/>
    <n v="0"/>
    <n v="-19848.060000000001"/>
    <n v="-7486.24"/>
    <n v="6973.1"/>
    <n v="16340.31"/>
    <n v="0.04"/>
    <n v="-5691.49"/>
    <n v="-43.15"/>
    <n v="376763.07"/>
    <n v="0.135154"/>
    <n v="0.99629999999999996"/>
    <n v="0.13464999999999999"/>
    <s v="CohortTrend+Seasonal(0.996)"/>
    <n v="50731.24"/>
    <n v="58433.79"/>
    <n v="-7702.55"/>
    <x v="1"/>
    <n v="16340.31"/>
    <n v="0.78500000000000003"/>
    <n v="0.24"/>
    <n v="12827.14"/>
    <n v="12827.14"/>
    <n v="3921.67"/>
    <n v="45606.65"/>
    <n v="397124.31"/>
    <n v="0.114842"/>
    <n v="5124.59"/>
    <n v="5124.63"/>
    <n v="33089.129999999997"/>
    <n v="38213.760000000002"/>
    <n v="338549.31"/>
    <s v="Forecast"/>
  </r>
  <r>
    <x v="17"/>
    <x v="3"/>
    <s v="202407"/>
    <n v="32"/>
    <n v="317886.96999999997"/>
    <n v="-6.7725618571819399E-2"/>
    <s v="CohortAvg"/>
    <n v="-1.895037551589944E-2"/>
    <s v="CohortAvg"/>
    <n v="0.20663793717060361"/>
    <s v="CohortAvg"/>
    <n v="2.7094355170771651E-2"/>
    <s v="CohortAvg_NonZero"/>
    <n v="4.4890512021231812E-6"/>
    <s v="CohortAvg"/>
    <n v="0"/>
    <s v="Zero"/>
    <n v="-1.690323607660587E-2"/>
    <s v="CohortAvg"/>
    <n v="-2.0084539186075761E-4"/>
    <s v="CohortAvg"/>
    <n v="0"/>
    <n v="-21529.09"/>
    <n v="-6024.08"/>
    <n v="5473.96"/>
    <n v="8612.94"/>
    <n v="1.43"/>
    <n v="-5373.32"/>
    <n v="-63.85"/>
    <n v="287193.39"/>
    <n v="0.10931"/>
    <n v="0.99629999999999996"/>
    <n v="0.108903"/>
    <s v="CohortTrend+Seasonal(0.996)"/>
    <n v="31276.21"/>
    <n v="36424.639999999999"/>
    <n v="-5148.43"/>
    <x v="1"/>
    <n v="8612.94"/>
    <n v="0.78500000000000003"/>
    <n v="0.24"/>
    <n v="6761.16"/>
    <n v="6761.16"/>
    <n v="2067.11"/>
    <n v="29663.48"/>
    <n v="309274.03000000003"/>
    <n v="9.5912999999999998E-2"/>
    <n v="1612.73"/>
    <n v="1614.15"/>
    <n v="17441.21"/>
    <n v="19055.36"/>
    <n v="268138.03000000003"/>
    <s v="Forecast"/>
  </r>
  <r>
    <x v="17"/>
    <x v="3"/>
    <s v="202408"/>
    <n v="31"/>
    <n v="463957.33"/>
    <n v="-4.9810424149152363E-2"/>
    <s v="CohortAvg"/>
    <n v="-1.9274226933302888E-2"/>
    <s v="CohortAvg"/>
    <n v="0.21380152552495979"/>
    <s v="CohortAvg"/>
    <n v="3.2190480404053791E-2"/>
    <s v="CohortAvg_NonZero"/>
    <n v="1.67748164430751E-7"/>
    <s v="CohortAvg"/>
    <n v="0"/>
    <s v="Zero"/>
    <n v="-1.1409636193101969E-2"/>
    <s v="CohortAvg"/>
    <n v="-9.8026642050960181E-5"/>
    <s v="CohortAvg"/>
    <n v="0"/>
    <n v="-23109.91"/>
    <n v="-8942.42"/>
    <n v="8266.23"/>
    <n v="14935.01"/>
    <n v="0.08"/>
    <n v="-5293.58"/>
    <n v="-45.48"/>
    <n v="425236.14"/>
    <n v="9.2851000000000003E-2"/>
    <n v="0.99629999999999996"/>
    <n v="9.2505000000000004E-2"/>
    <s v="CohortTrend+Seasonal(0.996)"/>
    <n v="39336.46"/>
    <n v="45297.45"/>
    <n v="-5960.98"/>
    <x v="1"/>
    <n v="14935.01"/>
    <n v="0.78500000000000003"/>
    <n v="0.24"/>
    <n v="11723.98"/>
    <n v="11723.98"/>
    <n v="3584.4"/>
    <n v="33573.46"/>
    <n v="449022.32"/>
    <n v="7.4770000000000003E-2"/>
    <n v="5763"/>
    <n v="5763.08"/>
    <n v="30243.39"/>
    <n v="36006.47"/>
    <n v="389229.67"/>
    <s v="Forecast"/>
  </r>
  <r>
    <x v="17"/>
    <x v="3"/>
    <s v="202409"/>
    <n v="30"/>
    <n v="282267.09999999998"/>
    <n v="-7.393317851924805E-2"/>
    <s v="CohortAvg"/>
    <n v="-2.018079886334978E-2"/>
    <s v="CohortAvg"/>
    <n v="0.21043695207903221"/>
    <s v="CohortAvg"/>
    <n v="3.5767444802821527E-2"/>
    <s v="CohortAvg_NonZero"/>
    <n v="1.149121715781684E-7"/>
    <s v="CohortAvg"/>
    <n v="0"/>
    <s v="Zero"/>
    <n v="-1.4083176055837679E-2"/>
    <s v="CohortAvg"/>
    <n v="-1.0978433306861189E-4"/>
    <s v="CohortAvg"/>
    <n v="0"/>
    <n v="-20868.900000000001"/>
    <n v="-5696.38"/>
    <n v="4949.95"/>
    <n v="10095.969999999999"/>
    <n v="0.03"/>
    <n v="-3975.22"/>
    <n v="-30.99"/>
    <n v="250555.77"/>
    <n v="7.6089000000000004E-2"/>
    <n v="0.99629999999999996"/>
    <n v="7.5804999999999997E-2"/>
    <s v="CohortTrend+Seasonal(0.996)"/>
    <n v="18993.439999999999"/>
    <n v="22675.34"/>
    <n v="-3681.9"/>
    <x v="1"/>
    <n v="10095.969999999999"/>
    <n v="0.78500000000000003"/>
    <n v="0.24"/>
    <n v="7925.34"/>
    <n v="7925.34"/>
    <n v="2423.0300000000002"/>
    <n v="14750"/>
    <n v="272171.13"/>
    <n v="5.4193999999999999E-2"/>
    <n v="4243.43"/>
    <n v="4243.47"/>
    <n v="20444.349999999999"/>
    <n v="24687.81"/>
    <n v="225867.96"/>
    <s v="Forecast"/>
  </r>
  <r>
    <x v="17"/>
    <x v="3"/>
    <s v="202410"/>
    <n v="29"/>
    <n v="392031.67"/>
    <n v="-4.8321829753273371E-2"/>
    <s v="CohortAvg"/>
    <n v="-1.99997336973495E-2"/>
    <s v="CohortAvg"/>
    <n v="0.21311027573234601"/>
    <s v="CohortAvg"/>
    <n v="3.7743833050417917E-2"/>
    <s v="CohortAvg_NonZero"/>
    <n v="8.9440713383440612E-7"/>
    <s v="CohortAvg"/>
    <n v="0"/>
    <s v="Zero"/>
    <n v="-1.9412561510490839E-2"/>
    <s v="CohortAvg"/>
    <n v="-1.572049890386535E-4"/>
    <s v="CohortAvg"/>
    <n v="0"/>
    <n v="-18943.689999999999"/>
    <n v="-7840.53"/>
    <n v="6962.16"/>
    <n v="14796.78"/>
    <n v="0.35"/>
    <n v="-7610.34"/>
    <n v="-61.63"/>
    <n v="357412.49"/>
    <n v="7.0428000000000004E-2"/>
    <n v="0.99629999999999996"/>
    <n v="7.0165000000000005E-2"/>
    <s v="CohortTrend+Seasonal(0.996)"/>
    <n v="25077.93"/>
    <n v="29169.599999999999"/>
    <n v="-4091.66"/>
    <x v="1"/>
    <n v="14796.78"/>
    <n v="0.78500000000000003"/>
    <n v="0.24"/>
    <n v="11615.47"/>
    <n v="11615.47"/>
    <n v="3551.23"/>
    <n v="17554.13"/>
    <n v="377234.89"/>
    <n v="4.6533999999999999E-2"/>
    <n v="7523.81"/>
    <n v="7524.16"/>
    <n v="29963.48"/>
    <n v="37487.629999999997"/>
    <n v="319924.86"/>
    <s v="Forecast"/>
  </r>
  <r>
    <x v="17"/>
    <x v="3"/>
    <s v="202411"/>
    <n v="28"/>
    <n v="439348"/>
    <n v="-5.2224240541337417E-2"/>
    <s v="CohortAvg"/>
    <n v="-2.0125516817281631E-2"/>
    <s v="CohortAvg"/>
    <n v="0.22302437508552711"/>
    <s v="CohortAvg"/>
    <n v="2.8760164336473201E-2"/>
    <s v="CohortAvg_NonZero"/>
    <n v="3.7515953133961898E-8"/>
    <s v="CohortAvg"/>
    <n v="0"/>
    <s v="Zero"/>
    <n v="-2.427101675252457E-2"/>
    <s v="CohortAvg"/>
    <n v="-2.242059033208091E-4"/>
    <s v="CohortAvg"/>
    <n v="0"/>
    <n v="-22944.62"/>
    <n v="-8842.11"/>
    <n v="8165.44"/>
    <n v="12635.72"/>
    <n v="0.02"/>
    <n v="-10663.42"/>
    <n v="-98.5"/>
    <n v="403090.99"/>
    <n v="6.5599000000000005E-2"/>
    <n v="0.99629999999999996"/>
    <n v="6.5354999999999996E-2"/>
    <s v="CohortTrend+Seasonal(0.996)"/>
    <n v="26343.89"/>
    <n v="30380.77"/>
    <n v="-4036.89"/>
    <x v="1"/>
    <n v="12635.72"/>
    <n v="0.78500000000000003"/>
    <n v="0.24"/>
    <n v="9919.0400000000009"/>
    <n v="9919.0400000000009"/>
    <n v="3032.57"/>
    <n v="20461.73"/>
    <n v="426712.28"/>
    <n v="4.7952000000000002E-2"/>
    <n v="5882.15"/>
    <n v="5882.17"/>
    <n v="25587.33"/>
    <n v="31469.5"/>
    <n v="371621.48"/>
    <s v="Forecast"/>
  </r>
  <r>
    <x v="17"/>
    <x v="3"/>
    <s v="202412"/>
    <n v="27"/>
    <n v="467245.38"/>
    <n v="-5.0390151991175233E-2"/>
    <s v="CohortAvg"/>
    <n v="-2.0614439434644621E-2"/>
    <s v="CohortAvg"/>
    <n v="0.22201326108252581"/>
    <s v="CohortAvg"/>
    <n v="3.2998168881482208E-2"/>
    <s v="CohortAvg_NonZero"/>
    <n v="8.868699929182227E-7"/>
    <s v="CohortAvg"/>
    <n v="0"/>
    <s v="Zero"/>
    <n v="-4.449276414583176E-2"/>
    <s v="CohortAvg"/>
    <n v="-4.6163161565258349E-4"/>
    <s v="CohortAvg"/>
    <n v="0"/>
    <n v="-23544.57"/>
    <n v="-9632"/>
    <n v="8644.56"/>
    <n v="15418.24"/>
    <n v="0.41"/>
    <n v="-20789.04"/>
    <n v="-215.7"/>
    <n v="427294.71"/>
    <n v="6.762E-2"/>
    <n v="0.99629999999999996"/>
    <n v="6.7367999999999997E-2"/>
    <s v="CohortTrend+Seasonal(0.996)"/>
    <n v="28785.96"/>
    <n v="33101.42"/>
    <n v="-4315.46"/>
    <x v="1"/>
    <n v="15418.24"/>
    <n v="0.78500000000000003"/>
    <n v="0.24"/>
    <n v="12103.32"/>
    <n v="12103.32"/>
    <n v="3700.38"/>
    <n v="20998.1"/>
    <n v="451827.13"/>
    <n v="4.6474000000000001E-2"/>
    <n v="7787.86"/>
    <n v="7788.27"/>
    <n v="31221.94"/>
    <n v="39010.21"/>
    <n v="388284.5"/>
    <s v="Forecast"/>
  </r>
  <r>
    <x v="17"/>
    <x v="3"/>
    <s v="202501"/>
    <n v="26"/>
    <n v="802126.99"/>
    <n v="-5.2586537689017887E-2"/>
    <s v="CohortAvg"/>
    <n v="-2.0833509070998631E-2"/>
    <s v="CohortAvg"/>
    <n v="0.22497432659452909"/>
    <s v="CohortAvg"/>
    <n v="1.415633053435659E-2"/>
    <s v="CohortAvg_NonZero"/>
    <n v="1.521497659727636E-5"/>
    <s v="CohortAvg"/>
    <n v="0"/>
    <s v="Zero"/>
    <n v="-4.329061751152017E-2"/>
    <s v="CohortAvg"/>
    <n v="-4.6049048764214349E-4"/>
    <s v="CohortAvg"/>
    <n v="0"/>
    <n v="-42181.08"/>
    <n v="-16711.12"/>
    <n v="15038.16"/>
    <n v="11355.17"/>
    <n v="12.2"/>
    <n v="-34724.57"/>
    <n v="-369.37"/>
    <n v="746905.57"/>
    <n v="7.0488999999999996E-2"/>
    <n v="0.99629999999999996"/>
    <n v="7.0225999999999997E-2"/>
    <s v="CohortTrend+Seasonal(0.996)"/>
    <n v="52452.160000000003"/>
    <n v="58796.61"/>
    <n v="-6344.45"/>
    <x v="1"/>
    <n v="11355.17"/>
    <n v="0.78500000000000003"/>
    <n v="0.24"/>
    <n v="8913.81"/>
    <n v="8913.81"/>
    <n v="2725.24"/>
    <n v="49882.79"/>
    <n v="790771.81"/>
    <n v="6.3080999999999998E-2"/>
    <n v="2569.36"/>
    <n v="2581.5700000000002"/>
    <n v="22994.23"/>
    <n v="25575.79"/>
    <n v="721329.78"/>
    <s v="Forecast"/>
  </r>
  <r>
    <x v="17"/>
    <x v="3"/>
    <s v="202502"/>
    <n v="25"/>
    <n v="858157.6"/>
    <n v="-5.3371413900917181E-2"/>
    <s v="CohortAvg"/>
    <n v="-1.9142743639743161E-2"/>
    <s v="CohortAvg"/>
    <n v="0.22672557286439329"/>
    <s v="CohortAvg"/>
    <n v="1.950704403526311E-2"/>
    <s v="CohortAvg_NonZero"/>
    <n v="3.8964503671400628E-4"/>
    <s v="CohortAvg"/>
    <n v="0"/>
    <s v="Zero"/>
    <n v="-9.2077261212509642E-2"/>
    <s v="CohortAvg"/>
    <n v="-1.197297707091777E-3"/>
    <s v="CohortAvg"/>
    <n v="0"/>
    <n v="-45801.08"/>
    <n v="-16427.490000000002"/>
    <n v="16213.86"/>
    <n v="16740.12"/>
    <n v="334.38"/>
    <n v="-79016.800000000003"/>
    <n v="-1027.47"/>
    <n v="795068.39"/>
    <n v="6.8783999999999998E-2"/>
    <n v="0.99629999999999996"/>
    <n v="6.8527000000000005E-2"/>
    <s v="CohortTrend+Seasonal(0.996)"/>
    <n v="54483.97"/>
    <n v="61190.74"/>
    <n v="-6706.77"/>
    <x v="1"/>
    <n v="16740.12"/>
    <n v="0.78500000000000003"/>
    <n v="0.24"/>
    <n v="13140.99"/>
    <n v="13140.99"/>
    <n v="4017.63"/>
    <n v="48049.75"/>
    <n v="841417.48"/>
    <n v="5.7105999999999997E-2"/>
    <n v="6434.23"/>
    <n v="6768.6"/>
    <n v="33898.74"/>
    <n v="40667.339999999997"/>
    <n v="754401.04"/>
    <s v="Forecast"/>
  </r>
  <r>
    <x v="17"/>
    <x v="3"/>
    <s v="202503"/>
    <n v="24"/>
    <n v="1141811.9099999999"/>
    <n v="-4.552431059932819E-2"/>
    <s v="CohortAvg"/>
    <n v="-2.1958644783453839E-2"/>
    <s v="CohortAvg"/>
    <n v="0.25478448736210169"/>
    <s v="CohortAvg"/>
    <n v="4.6176837495393924E-3"/>
    <s v="CohortAvg_NonZero"/>
    <n v="1.2865076724051569E-8"/>
    <s v="CohortAvg"/>
    <n v="0"/>
    <s v="Zero"/>
    <n v="0"/>
    <s v="CohortAvg"/>
    <n v="0"/>
    <s v="CohortAvg"/>
    <n v="0"/>
    <n v="-51980.2"/>
    <n v="-25072.639999999999"/>
    <n v="24243"/>
    <n v="5272.53"/>
    <n v="0.01"/>
    <n v="0"/>
    <n v="0"/>
    <n v="1083729.52"/>
    <n v="7.5847999999999999E-2"/>
    <n v="0.99629999999999996"/>
    <n v="7.5565999999999994E-2"/>
    <s v="CohortTrend+Seasonal(0.996)"/>
    <n v="81892.62"/>
    <n v="88705.38"/>
    <n v="-6812.76"/>
    <x v="1"/>
    <n v="5272.53"/>
    <n v="0.78500000000000003"/>
    <n v="0.24"/>
    <n v="4138.93"/>
    <n v="4138.93"/>
    <n v="1265.4100000000001"/>
    <n v="84566.45"/>
    <n v="1136539.3799999999"/>
    <n v="7.4407000000000001E-2"/>
    <n v="-2673.83"/>
    <n v="-2673.82"/>
    <n v="10676.87"/>
    <n v="8003.05"/>
    <n v="1075726.47"/>
    <s v="Forecast"/>
  </r>
  <r>
    <x v="17"/>
    <x v="3"/>
    <s v="202504"/>
    <n v="23"/>
    <n v="880119.5"/>
    <n v="-5.5768472632774867E-2"/>
    <s v="CohortAvg"/>
    <n v="-2.202095615544607E-2"/>
    <s v="CohortAvg"/>
    <n v="0.25069496517802609"/>
    <s v="CohortAvg"/>
    <n v="2.1791689037598898E-3"/>
    <s v="CohortAvg_NonZero"/>
    <n v="1.015046260266017E-8"/>
    <s v="CohortAvg"/>
    <n v="0"/>
    <s v="Zero"/>
    <n v="0"/>
    <s v="CohortAvg"/>
    <n v="0"/>
    <s v="CohortAvg"/>
    <n v="0"/>
    <n v="-49082.92"/>
    <n v="-19381.07"/>
    <n v="18386.79"/>
    <n v="1917.93"/>
    <n v="0.01"/>
    <n v="0"/>
    <n v="0"/>
    <n v="828124.36"/>
    <n v="7.4642E-2"/>
    <n v="0.99629999999999996"/>
    <n v="7.4364E-2"/>
    <s v="CohortTrend+Seasonal(0.996)"/>
    <n v="61582.32"/>
    <n v="66997.41"/>
    <n v="-5415.09"/>
    <x v="1"/>
    <n v="1917.93"/>
    <n v="0.78500000000000003"/>
    <n v="0.24"/>
    <n v="1505.57"/>
    <n v="1505.57"/>
    <n v="460.3"/>
    <n v="65491.839999999997"/>
    <n v="878201.57"/>
    <n v="7.4575000000000002E-2"/>
    <n v="-3909.51"/>
    <n v="-3909.51"/>
    <n v="3883.81"/>
    <n v="-25.7"/>
    <n v="828150.06"/>
    <s v="Forecast"/>
  </r>
  <r>
    <x v="17"/>
    <x v="3"/>
    <s v="202505"/>
    <n v="22"/>
    <n v="1142703.75"/>
    <n v="-4.9362723291471018E-2"/>
    <s v="CohortAvg"/>
    <n v="-2.150218803476182E-2"/>
    <s v="CohortAvg"/>
    <n v="0.24333325494465399"/>
    <s v="CohortAvg"/>
    <n v="0"/>
    <s v="CohortAvg_NoData_ERROR"/>
    <n v="0"/>
    <s v="CohortAvg"/>
    <n v="0"/>
    <s v="Zero"/>
    <n v="0"/>
    <s v="CohortAvg"/>
    <n v="0"/>
    <s v="CohortAvg"/>
    <n v="0"/>
    <n v="-56406.97"/>
    <n v="-24570.63"/>
    <n v="23171.49"/>
    <n v="0"/>
    <n v="0"/>
    <n v="0"/>
    <n v="0"/>
    <n v="1084897.6399999999"/>
    <n v="7.7717999999999995E-2"/>
    <n v="0.99629999999999996"/>
    <n v="7.7427999999999997E-2"/>
    <s v="CohortTrend+Seasonal(0.996)"/>
    <n v="84001.9"/>
    <n v="89682.13"/>
    <n v="-5680.23"/>
    <x v="1"/>
    <n v="0"/>
    <n v="0.78500000000000003"/>
    <n v="0.24"/>
    <n v="0"/>
    <n v="0"/>
    <n v="0"/>
    <n v="89682.13"/>
    <n v="1142703.75"/>
    <n v="7.8481999999999996E-2"/>
    <n v="-5680.23"/>
    <n v="-5680.23"/>
    <n v="0"/>
    <n v="-5680.23"/>
    <n v="1090577.8600000001"/>
    <s v="Forecast"/>
  </r>
  <r>
    <x v="17"/>
    <x v="3"/>
    <s v="202506"/>
    <n v="21"/>
    <n v="1248579.72"/>
    <n v="-5.3614515745348118E-2"/>
    <s v="CohortAvg"/>
    <n v="-2.258829184430737E-2"/>
    <s v="CohortAvg"/>
    <n v="0.2556868186332874"/>
    <s v="CohortAvg"/>
    <n v="0"/>
    <s v="CohortAvg_NoData_ERROR"/>
    <n v="0"/>
    <s v="CohortAvg"/>
    <n v="0"/>
    <s v="Zero"/>
    <n v="0"/>
    <s v="CohortAvg"/>
    <n v="0"/>
    <s v="CohortAvg"/>
    <n v="0"/>
    <n v="-66942"/>
    <n v="-28203.279999999999"/>
    <n v="26603.78"/>
    <n v="0"/>
    <n v="0"/>
    <n v="0"/>
    <n v="0"/>
    <n v="1180038.22"/>
    <n v="7.5983999999999996E-2"/>
    <n v="0.99629999999999996"/>
    <n v="7.5701000000000004E-2"/>
    <s v="CohortTrend+Seasonal(0.996)"/>
    <n v="89330.36"/>
    <n v="95202.45"/>
    <n v="-5872.09"/>
    <x v="1"/>
    <n v="0"/>
    <n v="0.78500000000000003"/>
    <n v="0.24"/>
    <n v="0"/>
    <n v="0"/>
    <n v="0"/>
    <n v="95202.45"/>
    <n v="1248579.72"/>
    <n v="7.6248999999999997E-2"/>
    <n v="-5872.09"/>
    <n v="-5872.09"/>
    <n v="0"/>
    <n v="-5872.09"/>
    <n v="1185910.31"/>
    <s v="Forecast"/>
  </r>
  <r>
    <x v="17"/>
    <x v="3"/>
    <s v="202507"/>
    <n v="20"/>
    <n v="1781030.93"/>
    <n v="-3.9606348721236057E-2"/>
    <s v="CohortAvg"/>
    <n v="-2.3783991167962811E-2"/>
    <s v="CohortAvg"/>
    <n v="0.25734846744640461"/>
    <s v="CohortAvg"/>
    <n v="0"/>
    <s v="CohortAvg_NoData_ERROR"/>
    <n v="0"/>
    <s v="CohortAvg"/>
    <n v="0"/>
    <s v="Zero"/>
    <n v="0"/>
    <s v="CohortAvg"/>
    <n v="0"/>
    <s v="CohortAvg"/>
    <n v="0"/>
    <n v="-70540.13"/>
    <n v="-42360.02"/>
    <n v="38195.46"/>
    <n v="0"/>
    <n v="0"/>
    <n v="0"/>
    <n v="0"/>
    <n v="1706326.24"/>
    <n v="7.1485999999999994E-2"/>
    <n v="0.99629999999999996"/>
    <n v="7.1219000000000005E-2"/>
    <s v="CohortTrend+Seasonal(0.996)"/>
    <n v="121523.68"/>
    <n v="136466.23000000001"/>
    <n v="-14942.55"/>
    <x v="1"/>
    <n v="0"/>
    <n v="0.78500000000000003"/>
    <n v="0.24"/>
    <n v="0"/>
    <n v="0"/>
    <n v="0"/>
    <n v="136466.23000000001"/>
    <n v="1781030.93"/>
    <n v="7.6621999999999996E-2"/>
    <n v="-14942.55"/>
    <n v="-14942.55"/>
    <n v="0"/>
    <n v="-14942.55"/>
    <n v="1721268.79"/>
    <s v="Forecast"/>
  </r>
  <r>
    <x v="17"/>
    <x v="3"/>
    <s v="202508"/>
    <n v="19"/>
    <n v="2055283.73"/>
    <n v="-3.968157831245854E-2"/>
    <s v="CohortAvg"/>
    <n v="-1.8198110969163829E-2"/>
    <s v="CohortAvg"/>
    <n v="0.24816823787328501"/>
    <s v="CohortAvg"/>
    <n v="0"/>
    <s v="CohortAvg_NoData_ERROR"/>
    <n v="0"/>
    <s v="CohortAvg"/>
    <n v="0"/>
    <s v="Zero"/>
    <n v="0"/>
    <s v="CohortAvg"/>
    <n v="0"/>
    <s v="CohortAvg"/>
    <n v="0"/>
    <n v="-81556.899999999994"/>
    <n v="-37402.28"/>
    <n v="42504.68"/>
    <n v="0"/>
    <n v="0"/>
    <n v="0"/>
    <n v="0"/>
    <n v="1978829.22"/>
    <n v="7.1835999999999997E-2"/>
    <n v="0.99629999999999996"/>
    <n v="7.1568000000000007E-2"/>
    <s v="DonorCohort:202101+Seasonal(0.996)"/>
    <n v="141621.45000000001"/>
    <n v="135203.64000000001"/>
    <n v="6417.81"/>
    <x v="1"/>
    <n v="0"/>
    <n v="0.78500000000000003"/>
    <n v="0.24"/>
    <n v="0"/>
    <n v="0"/>
    <n v="0"/>
    <n v="135203.64000000001"/>
    <n v="2055283.73"/>
    <n v="6.5782999999999994E-2"/>
    <n v="6417.81"/>
    <n v="6417.81"/>
    <n v="0"/>
    <n v="6417.81"/>
    <n v="1972411.42"/>
    <s v="Forecast"/>
  </r>
  <r>
    <x v="17"/>
    <x v="3"/>
    <s v="202509"/>
    <n v="18"/>
    <n v="152171.24"/>
    <n v="-0.25468435952568452"/>
    <s v="CohortAvg"/>
    <n v="-3.726030432879338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38755.64"/>
    <n v="-5669.95"/>
    <n v="6340.47"/>
    <n v="0"/>
    <n v="0"/>
    <n v="0"/>
    <n v="0"/>
    <n v="114086.13"/>
    <n v="6.1674E-2"/>
    <n v="0.99629999999999996"/>
    <n v="6.1445E-2"/>
    <s v="DonorCohort:202101+Seasonal(0.996)"/>
    <n v="7009.97"/>
    <n v="9534.18"/>
    <n v="-2524.1999999999998"/>
    <x v="1"/>
    <n v="0"/>
    <n v="0.78500000000000003"/>
    <n v="0.24"/>
    <n v="0"/>
    <n v="0"/>
    <n v="0"/>
    <n v="9534.18"/>
    <n v="152171.24"/>
    <n v="6.2654000000000001E-2"/>
    <n v="-2524.1999999999998"/>
    <n v="-2524.1999999999998"/>
    <n v="0"/>
    <n v="-2524.1999999999998"/>
    <n v="116610.33"/>
    <s v="Forecast"/>
  </r>
  <r>
    <x v="17"/>
    <x v="4"/>
    <s v="202101"/>
    <n v="72"/>
    <n v="232389.34"/>
    <n v="-0.13742058481813979"/>
    <s v="CohortAvg"/>
    <n v="-1.1523404226180251E-2"/>
    <s v="CohortAvg"/>
    <n v="0.13179982852899011"/>
    <s v="CohortAvg"/>
    <n v="4.6016774230762468E-2"/>
    <s v="CohortAvg_NonZero"/>
    <n v="0"/>
    <s v="CohortAvg"/>
    <n v="0"/>
    <s v="Zero"/>
    <n v="0"/>
    <s v="CohortAvg"/>
    <n v="0"/>
    <s v="CohortAvg"/>
    <n v="0"/>
    <n v="-31935.08"/>
    <n v="-2677.92"/>
    <n v="2552.41"/>
    <n v="10693.81"/>
    <n v="0"/>
    <n v="0"/>
    <n v="0"/>
    <n v="189634.95"/>
    <n v="0.17008599999999999"/>
    <n v="0.89980000000000004"/>
    <n v="0.15303600000000001"/>
    <s v="CohortAvg+Seasonal(0.900)"/>
    <n v="29020.959999999999"/>
    <n v="46917.52"/>
    <n v="-17896.560000000001"/>
    <x v="1"/>
    <n v="10693.81"/>
    <n v="0.78500000000000003"/>
    <n v="0.24"/>
    <n v="8394.64"/>
    <n v="8394.64"/>
    <n v="2566.5100000000002"/>
    <n v="38522.879999999997"/>
    <n v="221695.53"/>
    <n v="0.173765"/>
    <n v="-9501.92"/>
    <n v="-9501.92"/>
    <n v="21654.959999999999"/>
    <n v="12153.04"/>
    <n v="177481.9"/>
    <s v="Forecast"/>
  </r>
  <r>
    <x v="17"/>
    <x v="4"/>
    <s v="202201"/>
    <n v="54"/>
    <n v="17319.400000000001"/>
    <n v="-9.8873491920794698E-2"/>
    <s v="CohortAvg"/>
    <n v="-9.5721635757999701E-3"/>
    <s v="CohortAvg"/>
    <n v="9.9604145005781616E-2"/>
    <s v="CohortAvg"/>
    <n v="3.6326559472216573E-2"/>
    <s v="CohortAvg_NonZero"/>
    <n v="3.2231280041434098E-10"/>
    <s v="CohortAvg"/>
    <n v="0"/>
    <s v="Zero"/>
    <n v="0"/>
    <s v="CohortAvg"/>
    <n v="0"/>
    <s v="CohortAvg"/>
    <n v="0"/>
    <n v="-1712.43"/>
    <n v="-165.78"/>
    <n v="143.76"/>
    <n v="629.15"/>
    <n v="0"/>
    <n v="0"/>
    <n v="0"/>
    <n v="14955.79"/>
    <n v="3.9113000000000002E-2"/>
    <n v="0.89980000000000004"/>
    <n v="3.5193000000000002E-2"/>
    <s v="CohortAvg+Seasonal(0.900)"/>
    <n v="526.33000000000004"/>
    <n v="802.9"/>
    <n v="-276.57"/>
    <x v="1"/>
    <n v="629.15"/>
    <n v="0.78500000000000003"/>
    <n v="0.24"/>
    <n v="493.89"/>
    <n v="493.89"/>
    <n v="151"/>
    <n v="309.01"/>
    <n v="16690.25"/>
    <n v="1.8515E-2"/>
    <n v="217.32"/>
    <n v="217.32"/>
    <n v="1274.04"/>
    <n v="1491.36"/>
    <n v="13464.43"/>
    <s v="Forecast"/>
  </r>
  <r>
    <x v="17"/>
    <x v="4"/>
    <s v="202405"/>
    <n v="34"/>
    <n v="3610.9"/>
    <n v="-1.6750737500778538E-2"/>
    <s v="CohortAvg"/>
    <n v="-1.0460423291994401E-2"/>
    <s v="CohortAvg"/>
    <n v="0.1215720354974556"/>
    <s v="CohortAvg"/>
    <n v="0"/>
    <s v="CohortAvg_NoData_ERROR"/>
    <n v="0"/>
    <s v="CohortAvg"/>
    <n v="0"/>
    <s v="Zero"/>
    <n v="0"/>
    <s v="CohortAvg"/>
    <n v="0"/>
    <s v="CohortAvg"/>
    <n v="0"/>
    <n v="-60.49"/>
    <n v="-37.770000000000003"/>
    <n v="36.58"/>
    <n v="0"/>
    <n v="0"/>
    <n v="0"/>
    <n v="0"/>
    <n v="3549.22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3610.9"/>
    <n v="0"/>
    <n v="0"/>
    <n v="0"/>
    <n v="0"/>
    <n v="0"/>
    <n v="3549.22"/>
    <s v="Forecast"/>
  </r>
  <r>
    <x v="17"/>
    <x v="4"/>
    <s v="202407"/>
    <n v="32"/>
    <n v="1221.57"/>
    <n v="-5.3614322029941763E-2"/>
    <s v="CohortAvg"/>
    <n v="-1.049713925681652E-2"/>
    <s v="CohortAvg"/>
    <n v="0.1204583284704553"/>
    <s v="CohortAvg"/>
    <n v="0"/>
    <s v="CohortAvg_NoData_ERROR"/>
    <n v="0"/>
    <s v="CohortAvg"/>
    <n v="0"/>
    <s v="Zero"/>
    <n v="0"/>
    <s v="CohortAvg"/>
    <n v="0"/>
    <s v="CohortAvg"/>
    <n v="0"/>
    <n v="-65.489999999999995"/>
    <n v="-12.82"/>
    <n v="12.26"/>
    <n v="0"/>
    <n v="0"/>
    <n v="0"/>
    <n v="0"/>
    <n v="1155.52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1221.57"/>
    <n v="0"/>
    <n v="0"/>
    <n v="0"/>
    <n v="0"/>
    <n v="0"/>
    <n v="1155.52"/>
    <s v="Forecast"/>
  </r>
  <r>
    <x v="17"/>
    <x v="4"/>
    <s v="202409"/>
    <n v="30"/>
    <n v="4806.68"/>
    <n v="-4.3475272498467943E-2"/>
    <s v="CohortAvg"/>
    <n v="-1.046679172029346E-2"/>
    <s v="CohortAvg"/>
    <n v="0.1208179732246638"/>
    <s v="CohortAvg"/>
    <n v="0"/>
    <s v="CohortAvg_NoData_ERROR"/>
    <n v="0"/>
    <s v="CohortAvg"/>
    <n v="0"/>
    <s v="Zero"/>
    <n v="0"/>
    <s v="CohortAvg"/>
    <n v="0"/>
    <s v="CohortAvg"/>
    <n v="0"/>
    <n v="-208.97"/>
    <n v="-50.31"/>
    <n v="48.39"/>
    <n v="0"/>
    <n v="0"/>
    <n v="0"/>
    <n v="0"/>
    <n v="4595.8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4806.68"/>
    <n v="0"/>
    <n v="0"/>
    <n v="0"/>
    <n v="0"/>
    <n v="0"/>
    <n v="4595.8"/>
    <s v="Forecast"/>
  </r>
  <r>
    <x v="17"/>
    <x v="4"/>
    <s v="202504"/>
    <n v="23"/>
    <n v="3733.01"/>
    <n v="-1.298269898198259E-2"/>
    <s v="CohortAvg"/>
    <n v="-1.043026610164674E-2"/>
    <s v="CohortAvg"/>
    <n v="0.12559723780411669"/>
    <s v="CohortAvg"/>
    <n v="0"/>
    <s v="CohortAvg_NoData_ERROR"/>
    <n v="0"/>
    <s v="CohortAvg"/>
    <n v="0"/>
    <s v="Zero"/>
    <n v="0"/>
    <s v="CohortAvg"/>
    <n v="0"/>
    <s v="CohortAvg"/>
    <n v="0"/>
    <n v="-48.46"/>
    <n v="-38.94"/>
    <n v="39.07"/>
    <n v="0"/>
    <n v="0"/>
    <n v="0"/>
    <n v="0"/>
    <n v="3684.68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3733.01"/>
    <n v="0"/>
    <n v="0"/>
    <n v="0"/>
    <n v="0"/>
    <n v="0"/>
    <n v="3684.68"/>
    <s v="Forecast"/>
  </r>
  <r>
    <x v="17"/>
    <x v="4"/>
    <s v="202507"/>
    <n v="20"/>
    <n v="8428.51"/>
    <n v="-1.1640431551031959E-2"/>
    <s v="CohortAvg"/>
    <n v="-1.150646111146842E-2"/>
    <s v="CohortAvg"/>
    <n v="0.13691778923393669"/>
    <s v="CohortAvg"/>
    <n v="0"/>
    <s v="CohortAvg_NoData_ERROR"/>
    <n v="0"/>
    <s v="CohortAvg"/>
    <n v="0"/>
    <s v="Zero"/>
    <n v="0"/>
    <s v="CohortAvg"/>
    <n v="0"/>
    <s v="CohortAvg"/>
    <n v="0"/>
    <n v="-98.11"/>
    <n v="-96.98"/>
    <n v="96.17"/>
    <n v="0"/>
    <n v="0"/>
    <n v="0"/>
    <n v="0"/>
    <n v="8329.59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8428.51"/>
    <n v="0"/>
    <n v="0"/>
    <n v="0"/>
    <n v="0"/>
    <n v="0"/>
    <n v="8329.59"/>
    <s v="Forecast"/>
  </r>
  <r>
    <x v="17"/>
    <x v="4"/>
    <s v="202508"/>
    <n v="19"/>
    <n v="29998.77"/>
    <n v="-7.5796237046044492E-3"/>
    <s v="CohortAvg"/>
    <n v="-3.9011261008336001E-3"/>
    <s v="CohortAvg"/>
    <n v="0.13600087743870881"/>
    <s v="CohortAvg"/>
    <n v="0"/>
    <s v="CohortAvg_NoData_ERROR"/>
    <n v="0"/>
    <s v="CohortAvg"/>
    <n v="0"/>
    <s v="Zero"/>
    <n v="0"/>
    <s v="CohortAvg"/>
    <n v="0"/>
    <s v="CohortAvg"/>
    <n v="0"/>
    <n v="-227.38"/>
    <n v="-117.03"/>
    <n v="339.99"/>
    <n v="0"/>
    <n v="0"/>
    <n v="0"/>
    <n v="0"/>
    <n v="29994.35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29998.77"/>
    <n v="0"/>
    <n v="0"/>
    <n v="0"/>
    <n v="0"/>
    <n v="0"/>
    <n v="29994.35"/>
    <s v="Forecast"/>
  </r>
  <r>
    <x v="17"/>
    <x v="4"/>
    <s v="202509"/>
    <n v="18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89980000000000004"/>
    <n v="0"/>
    <s v="Manual+Seasonal(0.900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8"/>
    <x v="0"/>
    <s v="201912"/>
    <n v="88"/>
    <n v="299536.89"/>
    <n v="-4.8706052324591479E-4"/>
    <s v="CohortAvg"/>
    <n v="1.479268991396799E-3"/>
    <s v="CohortAvg"/>
    <n v="0"/>
    <s v="CohortAvg"/>
    <n v="2.894341889599443E-2"/>
    <s v="CohortAvg_NonZero"/>
    <n v="4.8641735031924781E-6"/>
    <s v="CohortAvg"/>
    <n v="0"/>
    <s v="Zero"/>
    <n v="0"/>
    <s v="CohortAvg"/>
    <n v="0"/>
    <s v="CohortAvg"/>
    <n v="0"/>
    <n v="-145.88999999999999"/>
    <n v="443.1"/>
    <n v="0"/>
    <n v="0"/>
    <n v="1.46"/>
    <n v="0"/>
    <n v="0"/>
    <n v="298946.45"/>
    <n v="0.99670800000000004"/>
    <n v="0.98370000000000002"/>
    <n v="0.98049699999999995"/>
    <s v="CohortAvg+Seasonal(0.984)"/>
    <n v="293116.03999999998"/>
    <n v="285104.18"/>
    <n v="8011.86"/>
    <x v="0"/>
    <n v="0"/>
    <n v="0.78500000000000003"/>
    <n v="0.24"/>
    <n v="0"/>
    <n v="0"/>
    <n v="0"/>
    <n v="285104.18"/>
    <n v="299536.89"/>
    <n v="0.95181700000000002"/>
    <n v="8011.86"/>
    <n v="8013.31"/>
    <n v="0"/>
    <n v="8013.31"/>
    <n v="290933.13"/>
    <s v="Forecast"/>
  </r>
  <r>
    <x v="18"/>
    <x v="0"/>
    <s v="202001"/>
    <n v="87"/>
    <n v="44985.68"/>
    <n v="3.8560471795838477E-2"/>
    <s v="CohortAvg"/>
    <n v="1.654739439721263E-3"/>
    <s v="CohortAvg"/>
    <n v="0"/>
    <s v="CohortAvg"/>
    <n v="1.307831463457986E-2"/>
    <s v="CohortAvg_NonZero"/>
    <n v="0"/>
    <s v="CohortAvg"/>
    <n v="0"/>
    <s v="Zero"/>
    <n v="0"/>
    <s v="CohortAvg"/>
    <n v="0"/>
    <s v="CohortAvg"/>
    <n v="0"/>
    <n v="1734.67"/>
    <n v="74.44"/>
    <n v="0"/>
    <n v="0"/>
    <n v="0"/>
    <n v="0"/>
    <n v="0"/>
    <n v="43176.57"/>
    <n v="0.99839699999999998"/>
    <n v="0.98370000000000002"/>
    <n v="0.982159"/>
    <s v="CohortAvg+Seasonal(0.984)"/>
    <n v="42406.239999999998"/>
    <n v="42890.239999999998"/>
    <n v="-484"/>
    <x v="0"/>
    <n v="0"/>
    <n v="0.78500000000000003"/>
    <n v="0.24"/>
    <n v="0"/>
    <n v="0"/>
    <n v="0"/>
    <n v="42890.239999999998"/>
    <n v="44985.68"/>
    <n v="0.95342000000000005"/>
    <n v="-484"/>
    <n v="-484"/>
    <n v="0"/>
    <n v="-484"/>
    <n v="43660.56"/>
    <s v="Forecast"/>
  </r>
  <r>
    <x v="18"/>
    <x v="0"/>
    <s v="202101"/>
    <n v="75"/>
    <n v="670692.93999999994"/>
    <n v="-5.2366474696724334E-3"/>
    <s v="CohortAvg"/>
    <n v="-2.05456074413623E-3"/>
    <s v="CohortAvg"/>
    <n v="0"/>
    <s v="CohortAvg"/>
    <n v="1.539424387809982E-2"/>
    <s v="CohortAvg_NonZero"/>
    <n v="4.0202309564985883E-6"/>
    <s v="CohortAvg"/>
    <n v="0"/>
    <s v="Zero"/>
    <n v="0"/>
    <s v="CohortAvg"/>
    <n v="0"/>
    <s v="CohortAvg"/>
    <n v="0"/>
    <n v="-3512.18"/>
    <n v="-1377.98"/>
    <n v="0"/>
    <n v="0"/>
    <n v="2.7"/>
    <n v="0"/>
    <n v="0"/>
    <n v="665800.07999999996"/>
    <n v="0.94483799999999996"/>
    <n v="0.98370000000000002"/>
    <n v="0.92947000000000002"/>
    <s v="CohortAvg+Seasonal(0.984)"/>
    <n v="618841.25"/>
    <n v="605122.51"/>
    <n v="13718.74"/>
    <x v="0"/>
    <n v="0"/>
    <n v="0.78500000000000003"/>
    <n v="0.24"/>
    <n v="0"/>
    <n v="0"/>
    <n v="0"/>
    <n v="605122.51"/>
    <n v="670692.93999999994"/>
    <n v="0.90223500000000001"/>
    <n v="13718.74"/>
    <n v="13721.44"/>
    <n v="0"/>
    <n v="13721.44"/>
    <n v="652078.65"/>
    <s v="Forecast"/>
  </r>
  <r>
    <x v="18"/>
    <x v="0"/>
    <s v="202201"/>
    <n v="55"/>
    <n v="93623.37"/>
    <n v="-0.1152060982709687"/>
    <s v="CohortAvg"/>
    <n v="-5.9250315554394044E-3"/>
    <s v="CohortAvg"/>
    <n v="2.5116377952882629E-2"/>
    <s v="CohortAvg"/>
    <n v="4.2694451074862839E-2"/>
    <s v="CohortAvg_NonZero"/>
    <n v="4.5435457023812794E-3"/>
    <s v="CohortAvg"/>
    <n v="0"/>
    <s v="Zero"/>
    <n v="-6.0740280550405327E-6"/>
    <s v="CohortAvg"/>
    <n v="-1.3381075768405211E-7"/>
    <s v="CohortAvg"/>
    <n v="0"/>
    <n v="-10785.98"/>
    <n v="-554.72"/>
    <n v="195.96"/>
    <n v="0"/>
    <n v="425.38"/>
    <n v="-0.56999999999999995"/>
    <n v="-0.01"/>
    <n v="82053.240000000005"/>
    <n v="0.58490200000000003"/>
    <n v="0.98370000000000002"/>
    <n v="0.57538800000000001"/>
    <s v="CohortAvg+Seasonal(0.984)"/>
    <n v="47212.49"/>
    <n v="52296.480000000003"/>
    <n v="-5083.99"/>
    <x v="0"/>
    <n v="0"/>
    <n v="0.78500000000000003"/>
    <n v="0.24"/>
    <n v="0"/>
    <n v="0"/>
    <n v="0"/>
    <n v="52296.480000000003"/>
    <n v="93623.37"/>
    <n v="0.55858399999999997"/>
    <n v="-5083.99"/>
    <n v="-4658.6099999999997"/>
    <n v="0"/>
    <n v="-4658.6099999999997"/>
    <n v="86711.85"/>
    <s v="Forecast"/>
  </r>
  <r>
    <x v="18"/>
    <x v="0"/>
    <s v="202301"/>
    <n v="46"/>
    <n v="1267925.4099999999"/>
    <n v="-6.9369303557649586E-2"/>
    <s v="CohortAvg"/>
    <n v="-1.68387427706321E-2"/>
    <s v="CohortAvg"/>
    <n v="0.2059589706312471"/>
    <s v="CohortAvg"/>
    <n v="6.6362076956830648E-2"/>
    <s v="CohortAvg_NonZero"/>
    <n v="1.109050649029744E-4"/>
    <s v="CohortAvg"/>
    <n v="0"/>
    <s v="Zero"/>
    <n v="-5.1706737121590312E-3"/>
    <s v="CohortAvg"/>
    <n v="-7.0956996430548874E-5"/>
    <s v="CohortAvg"/>
    <n v="0"/>
    <n v="-87955.1"/>
    <n v="-21350.27"/>
    <n v="21761.72"/>
    <n v="0"/>
    <n v="140.62"/>
    <n v="-6556.03"/>
    <n v="-89.97"/>
    <n v="1180241.1299999999"/>
    <n v="0.60457000000000005"/>
    <n v="0.98370000000000002"/>
    <n v="0.59473699999999996"/>
    <s v="CohortAvg+Seasonal(0.984)"/>
    <n v="701932.98"/>
    <n v="737520.42"/>
    <n v="-35587.440000000002"/>
    <x v="0"/>
    <n v="0"/>
    <n v="0.78500000000000003"/>
    <n v="0.24"/>
    <n v="0"/>
    <n v="0"/>
    <n v="0"/>
    <n v="737520.42"/>
    <n v="1267925.4099999999"/>
    <n v="0.58167500000000005"/>
    <n v="-35587.440000000002"/>
    <n v="-35446.82"/>
    <n v="0"/>
    <n v="-35446.82"/>
    <n v="1215687.95"/>
    <s v="Forecast"/>
  </r>
  <r>
    <x v="18"/>
    <x v="0"/>
    <s v="202404"/>
    <n v="36"/>
    <n v="173987.68"/>
    <n v="-7.2366848428378205E-2"/>
    <s v="CohortAvg"/>
    <n v="-2.407400046965746E-2"/>
    <s v="CohortAvg"/>
    <n v="0.25296841681681731"/>
    <s v="CohortAvg"/>
    <n v="0.1096309834056908"/>
    <s v="CohortAvg_NonZero"/>
    <n v="9.4784993752497262E-5"/>
    <s v="CohortAvg"/>
    <n v="0"/>
    <s v="Zero"/>
    <n v="-7.6236348137202299E-3"/>
    <s v="CohortAvg"/>
    <n v="-1.6021411996105039E-4"/>
    <s v="CohortAvg"/>
    <n v="0"/>
    <n v="-12590.94"/>
    <n v="-4188.58"/>
    <n v="3667.78"/>
    <n v="0"/>
    <n v="16.489999999999998"/>
    <n v="-1326.42"/>
    <n v="-27.88"/>
    <n v="160859.45000000001"/>
    <n v="0.47064099999999998"/>
    <n v="0.98370000000000002"/>
    <n v="0.46298600000000001"/>
    <s v="CohortTrend+Seasonal(0.984)"/>
    <n v="74475.649999999994"/>
    <n v="76541.429999999993"/>
    <n v="-2065.7800000000002"/>
    <x v="0"/>
    <n v="0"/>
    <n v="0.78500000000000003"/>
    <n v="0.24"/>
    <n v="0"/>
    <n v="0"/>
    <n v="0"/>
    <n v="76541.429999999993"/>
    <n v="173987.68"/>
    <n v="0.43992399999999998"/>
    <n v="-2065.7800000000002"/>
    <n v="-2049.29"/>
    <n v="0"/>
    <n v="-2049.29"/>
    <n v="162908.73000000001"/>
    <s v="Forecast"/>
  </r>
  <r>
    <x v="18"/>
    <x v="0"/>
    <s v="202405"/>
    <n v="35"/>
    <n v="269907.17"/>
    <n v="-6.0918067194095961E-2"/>
    <s v="CohortAvg"/>
    <n v="-2.4305307660070521E-2"/>
    <s v="CohortAvg"/>
    <n v="0.2616030182746627"/>
    <s v="CohortAvg"/>
    <n v="0.10589040424074821"/>
    <s v="CohortAvg_NonZero"/>
    <n v="1.503560603477651E-4"/>
    <s v="CohortAvg"/>
    <n v="0"/>
    <s v="Zero"/>
    <n v="-1.145984784717978E-2"/>
    <s v="CohortAvg"/>
    <n v="-2.0178526837217901E-4"/>
    <s v="CohortAvg"/>
    <n v="0"/>
    <n v="-16442.22"/>
    <n v="-6560.18"/>
    <n v="5884.04"/>
    <n v="0"/>
    <n v="40.58"/>
    <n v="-3093.1"/>
    <n v="-54.46"/>
    <n v="252748.23"/>
    <n v="0.40606300000000001"/>
    <n v="0.98370000000000002"/>
    <n v="0.39945900000000001"/>
    <s v="CohortTrend+Seasonal(0.984)"/>
    <n v="100962.51"/>
    <n v="102746.94"/>
    <n v="-1784.43"/>
    <x v="0"/>
    <n v="0"/>
    <n v="0.78500000000000003"/>
    <n v="0.24"/>
    <n v="0"/>
    <n v="0"/>
    <n v="0"/>
    <n v="102746.94"/>
    <n v="269907.17"/>
    <n v="0.38067499999999999"/>
    <n v="-1784.43"/>
    <n v="-1743.85"/>
    <n v="0"/>
    <n v="-1743.85"/>
    <n v="254492.08"/>
    <s v="Forecast"/>
  </r>
  <r>
    <x v="18"/>
    <x v="0"/>
    <s v="202406"/>
    <n v="34"/>
    <n v="513913.48"/>
    <n v="-5.5988836959032118E-2"/>
    <s v="CohortAvg"/>
    <n v="-2.5466089061791909E-2"/>
    <s v="CohortAvg"/>
    <n v="0.28034849068695789"/>
    <s v="CohortAvg"/>
    <n v="6.6235778632855097E-2"/>
    <s v="CohortAvg_NonZero"/>
    <n v="1.4388019235488611E-5"/>
    <s v="CohortAvg"/>
    <n v="0"/>
    <s v="Zero"/>
    <n v="-9.5354917518978965E-3"/>
    <s v="CohortAvg"/>
    <n v="-2.0739529298994329E-4"/>
    <s v="CohortAvg"/>
    <n v="0"/>
    <n v="-28773.42"/>
    <n v="-13087.37"/>
    <n v="12006.24"/>
    <n v="0"/>
    <n v="7.39"/>
    <n v="-4900.42"/>
    <n v="-106.58"/>
    <n v="484051.54"/>
    <n v="0.36524099999999998"/>
    <n v="0.98370000000000002"/>
    <n v="0.35930099999999998"/>
    <s v="CohortTrend+Seasonal(0.984)"/>
    <n v="173920.03"/>
    <n v="175646.07999999999"/>
    <n v="-1726.05"/>
    <x v="0"/>
    <n v="0"/>
    <n v="0.78500000000000003"/>
    <n v="0.24"/>
    <n v="0"/>
    <n v="0"/>
    <n v="0"/>
    <n v="175646.07999999999"/>
    <n v="513913.48"/>
    <n v="0.341781"/>
    <n v="-1726.05"/>
    <n v="-1718.66"/>
    <n v="0"/>
    <n v="-1718.66"/>
    <n v="485770.2"/>
    <s v="Forecast"/>
  </r>
  <r>
    <x v="18"/>
    <x v="0"/>
    <s v="202407"/>
    <n v="33"/>
    <n v="538663.44999999995"/>
    <n v="-5.2838987670789428E-2"/>
    <s v="CohortAvg"/>
    <n v="-2.6783596122914911E-2"/>
    <s v="CohortAvg"/>
    <n v="0.28893662964630129"/>
    <s v="CohortAvg"/>
    <n v="7.3943599076054134E-2"/>
    <s v="CohortAvg_NonZero"/>
    <n v="1.858879191375545E-5"/>
    <s v="CohortAvg"/>
    <n v="0"/>
    <s v="Zero"/>
    <n v="-1.2118524951386029E-2"/>
    <s v="CohortAvg"/>
    <n v="-6.4574429917913927E-5"/>
    <s v="CohortAvg"/>
    <n v="0"/>
    <n v="-28462.43"/>
    <n v="-14427.34"/>
    <n v="12969.97"/>
    <n v="0"/>
    <n v="10.01"/>
    <n v="-6527.81"/>
    <n v="-34.78"/>
    <n v="508733.63"/>
    <n v="0.30591699999999999"/>
    <n v="0.98370000000000002"/>
    <n v="0.30094100000000001"/>
    <s v="CohortTrend+Seasonal(0.984)"/>
    <n v="153098.79"/>
    <n v="154709.29999999999"/>
    <n v="-1610.51"/>
    <x v="0"/>
    <n v="0"/>
    <n v="0.78500000000000003"/>
    <n v="0.24"/>
    <n v="0"/>
    <n v="0"/>
    <n v="0"/>
    <n v="154709.29999999999"/>
    <n v="538663.44999999995"/>
    <n v="0.28721000000000002"/>
    <n v="-1610.51"/>
    <n v="-1600.5"/>
    <n v="0"/>
    <n v="-1600.5"/>
    <n v="510334.13"/>
    <s v="Forecast"/>
  </r>
  <r>
    <x v="18"/>
    <x v="0"/>
    <s v="202408"/>
    <n v="32"/>
    <n v="397211.92"/>
    <n v="-6.4849928814880983E-2"/>
    <s v="CohortAvg"/>
    <n v="-2.613734670646372E-2"/>
    <s v="CohortAvg"/>
    <n v="0.27909886153875091"/>
    <s v="CohortAvg"/>
    <n v="9.7405800731979963E-2"/>
    <s v="CohortAvg_NonZero"/>
    <n v="1.2235920964986179E-4"/>
    <s v="CohortAvg"/>
    <n v="0"/>
    <s v="Zero"/>
    <n v="-1.3553144070121471E-2"/>
    <s v="CohortAvg"/>
    <n v="-3.1022898977683261E-4"/>
    <s v="CohortAvg"/>
    <n v="0"/>
    <n v="-25759.16"/>
    <n v="-10382.07"/>
    <n v="9238.4500000000007"/>
    <n v="0"/>
    <n v="48.6"/>
    <n v="-5383.47"/>
    <n v="-123.23"/>
    <n v="370260.54"/>
    <n v="0.28152500000000003"/>
    <n v="0.98370000000000002"/>
    <n v="0.276947"/>
    <s v="CohortTrend+Seasonal(0.984)"/>
    <n v="102542.36"/>
    <n v="105095.05"/>
    <n v="-2552.69"/>
    <x v="0"/>
    <n v="0"/>
    <n v="0.78500000000000003"/>
    <n v="0.24"/>
    <n v="0"/>
    <n v="0"/>
    <n v="0"/>
    <n v="105095.05"/>
    <n v="397211.92"/>
    <n v="0.26458199999999998"/>
    <n v="-2552.69"/>
    <n v="-2504.09"/>
    <n v="0"/>
    <n v="-2504.09"/>
    <n v="372764.63"/>
    <s v="Forecast"/>
  </r>
  <r>
    <x v="18"/>
    <x v="0"/>
    <s v="202409"/>
    <n v="31"/>
    <n v="332373.3"/>
    <n v="-7.0458217765867234E-2"/>
    <s v="CohortAvg"/>
    <n v="-2.9371522197701221E-2"/>
    <s v="CohortAvg"/>
    <n v="0.2964005595102806"/>
    <s v="CohortAvg"/>
    <n v="0.1015777400432358"/>
    <s v="CohortAvg_NonZero"/>
    <n v="3.3186906944243671E-4"/>
    <s v="CohortAvg"/>
    <n v="0"/>
    <s v="Zero"/>
    <n v="-1.5589611722964671E-2"/>
    <s v="CohortAvg"/>
    <n v="9.8479171131277761E-4"/>
    <s v="CohortAvg"/>
    <n v="0"/>
    <n v="-23418.43"/>
    <n v="-9762.31"/>
    <n v="8209.64"/>
    <n v="0"/>
    <n v="110.3"/>
    <n v="-5181.57"/>
    <n v="327.32"/>
    <n v="307291.89"/>
    <n v="0.26364100000000001"/>
    <n v="0.98370000000000002"/>
    <n v="0.259353"/>
    <s v="CohortTrend+Seasonal(0.984)"/>
    <n v="79697.03"/>
    <n v="82316.399999999994"/>
    <n v="-2619.38"/>
    <x v="0"/>
    <n v="0"/>
    <n v="0.78500000000000003"/>
    <n v="0.24"/>
    <n v="0"/>
    <n v="0"/>
    <n v="0"/>
    <n v="82316.399999999994"/>
    <n v="332373.3"/>
    <n v="0.24766299999999999"/>
    <n v="-2619.38"/>
    <n v="-2509.0700000000002"/>
    <n v="0"/>
    <n v="-2509.0700000000002"/>
    <n v="309800.96000000002"/>
    <s v="Forecast"/>
  </r>
  <r>
    <x v="18"/>
    <x v="0"/>
    <s v="202410"/>
    <n v="30"/>
    <n v="521224.84"/>
    <n v="-6.4986482993854941E-2"/>
    <s v="CohortAvg"/>
    <n v="-2.9860639140272139E-2"/>
    <s v="CohortAvg"/>
    <n v="0.29589645022448341"/>
    <s v="CohortAvg"/>
    <n v="9.1254515380156179E-2"/>
    <s v="CohortAvg_NonZero"/>
    <n v="8.4064127086507876E-5"/>
    <s v="CohortAvg"/>
    <n v="0"/>
    <s v="Zero"/>
    <n v="-1.9200089420383211E-2"/>
    <s v="CohortAvg"/>
    <n v="-2.8120902297892772E-4"/>
    <s v="CohortAvg"/>
    <n v="0"/>
    <n v="-33872.57"/>
    <n v="-15564.11"/>
    <n v="12852.38"/>
    <n v="0"/>
    <n v="43.82"/>
    <n v="-10007.56"/>
    <n v="-146.57"/>
    <n v="484596.73"/>
    <n v="0.24835299999999999"/>
    <n v="0.98370000000000002"/>
    <n v="0.244313"/>
    <s v="CohortTrend+Seasonal(0.984)"/>
    <n v="118393.37"/>
    <n v="121728.73"/>
    <n v="-3335.35"/>
    <x v="0"/>
    <n v="0"/>
    <n v="0.78500000000000003"/>
    <n v="0.24"/>
    <n v="0"/>
    <n v="0"/>
    <n v="0"/>
    <n v="121728.73"/>
    <n v="521224.84"/>
    <n v="0.233544"/>
    <n v="-3335.35"/>
    <n v="-3291.54"/>
    <n v="0"/>
    <n v="-3291.54"/>
    <n v="487888.27"/>
    <s v="Forecast"/>
  </r>
  <r>
    <x v="18"/>
    <x v="0"/>
    <s v="202411"/>
    <n v="29"/>
    <n v="554923.02"/>
    <n v="-6.9594889633468188E-2"/>
    <s v="CohortAvg"/>
    <n v="-3.08583484087093E-2"/>
    <s v="CohortAvg"/>
    <n v="0.31656964587571151"/>
    <s v="CohortAvg"/>
    <n v="8.1142082659888884E-2"/>
    <s v="CohortAvg_NonZero"/>
    <n v="1.0739047271959881E-5"/>
    <s v="CohortAvg"/>
    <n v="0"/>
    <s v="Zero"/>
    <n v="-1.8349131313606201E-2"/>
    <s v="CohortAvg"/>
    <n v="-3.6719658624183218E-4"/>
    <s v="CohortAvg"/>
    <n v="0"/>
    <n v="-38619.81"/>
    <n v="-17124.009999999998"/>
    <n v="14639.32"/>
    <n v="0"/>
    <n v="5.96"/>
    <n v="-10182.36"/>
    <n v="-203.77"/>
    <n v="513812.57"/>
    <n v="0.24371799999999999"/>
    <n v="0.98370000000000002"/>
    <n v="0.23975399999999999"/>
    <s v="CohortTrend+Seasonal(0.984)"/>
    <n v="123188.42"/>
    <n v="126945.73"/>
    <n v="-3757.3"/>
    <x v="0"/>
    <n v="0"/>
    <n v="0.78500000000000003"/>
    <n v="0.24"/>
    <n v="0"/>
    <n v="0"/>
    <n v="0"/>
    <n v="126945.73"/>
    <n v="554923.02"/>
    <n v="0.22876299999999999"/>
    <n v="-3757.3"/>
    <n v="-3751.34"/>
    <n v="0"/>
    <n v="-3751.34"/>
    <n v="517563.91"/>
    <s v="Forecast"/>
  </r>
  <r>
    <x v="18"/>
    <x v="0"/>
    <s v="202412"/>
    <n v="28"/>
    <n v="656770.54"/>
    <n v="-6.5990421361575569E-2"/>
    <s v="CohortAvg"/>
    <n v="-3.2054719396066578E-2"/>
    <s v="CohortAvg"/>
    <n v="0.32615031004802342"/>
    <s v="CohortAvg"/>
    <n v="7.7667799601344456E-2"/>
    <s v="CohortAvg_NonZero"/>
    <n v="3.5208604973154369E-5"/>
    <s v="CohortAvg"/>
    <n v="0"/>
    <s v="Zero"/>
    <n v="-3.3080588471554671E-2"/>
    <s v="CohortAvg"/>
    <n v="-4.4060132063556849E-4"/>
    <s v="CohortAvg"/>
    <n v="0"/>
    <n v="-43340.56"/>
    <n v="-21052.6"/>
    <n v="17850.490000000002"/>
    <n v="0"/>
    <n v="23.12"/>
    <n v="-21726.36"/>
    <n v="-289.37"/>
    <n v="610204.75"/>
    <n v="0.25390400000000002"/>
    <n v="0.98370000000000002"/>
    <n v="0.249774"/>
    <s v="CohortTrend+Seasonal(0.984)"/>
    <n v="152413.45000000001"/>
    <n v="155669.69"/>
    <n v="-3256.24"/>
    <x v="0"/>
    <n v="0"/>
    <n v="0.78500000000000003"/>
    <n v="0.24"/>
    <n v="0"/>
    <n v="0"/>
    <n v="0"/>
    <n v="155669.69"/>
    <n v="656770.54"/>
    <n v="0.23702300000000001"/>
    <n v="-3256.24"/>
    <n v="-3233.11"/>
    <n v="0"/>
    <n v="-3233.11"/>
    <n v="613437.86"/>
    <s v="Forecast"/>
  </r>
  <r>
    <x v="18"/>
    <x v="0"/>
    <s v="202501"/>
    <n v="27"/>
    <n v="843756.63"/>
    <n v="-6.3572229275310269E-2"/>
    <s v="CohortAvg"/>
    <n v="-3.1447065088296582E-2"/>
    <s v="CohortAvg"/>
    <n v="0.33544543841335722"/>
    <s v="CohortAvg"/>
    <n v="6.8071231875895977E-2"/>
    <s v="CohortAvg_NonZero"/>
    <n v="8.2829735818899114E-5"/>
    <s v="CohortAvg"/>
    <n v="0"/>
    <s v="Zero"/>
    <n v="-4.6063254076214782E-2"/>
    <s v="CohortAvg"/>
    <n v="-9.0698925364281766E-4"/>
    <s v="CohortAvg"/>
    <n v="0"/>
    <n v="-53639.49"/>
    <n v="-26533.67"/>
    <n v="23586.19"/>
    <n v="0"/>
    <n v="69.89"/>
    <n v="-38866.18"/>
    <n v="-765.28"/>
    <n v="787099.78"/>
    <n v="0.25786799999999999"/>
    <n v="0.98370000000000002"/>
    <n v="0.25367400000000001"/>
    <s v="CohortTrend+Seasonal(0.984)"/>
    <n v="199666.87"/>
    <n v="202318.26"/>
    <n v="-2651.39"/>
    <x v="0"/>
    <n v="0"/>
    <n v="0.78500000000000003"/>
    <n v="0.24"/>
    <n v="0"/>
    <n v="0"/>
    <n v="0"/>
    <n v="202318.26"/>
    <n v="843756.63"/>
    <n v="0.239783"/>
    <n v="-2651.39"/>
    <n v="-2581.5"/>
    <n v="0"/>
    <n v="-2581.5"/>
    <n v="789681.28"/>
    <s v="Forecast"/>
  </r>
  <r>
    <x v="18"/>
    <x v="0"/>
    <s v="202502"/>
    <n v="26"/>
    <n v="1383672.48"/>
    <n v="-6.4731603298559273E-2"/>
    <s v="CohortAvg"/>
    <n v="-3.1802427745543059E-2"/>
    <s v="CohortAvg"/>
    <n v="0.35202036044879442"/>
    <s v="CohortAvg"/>
    <n v="4.004158678690925E-2"/>
    <s v="CohortAvg_NonZero"/>
    <n v="1.182579593547393E-4"/>
    <s v="CohortAvg"/>
    <n v="0"/>
    <s v="Zero"/>
    <n v="-0.1005535325428835"/>
    <s v="CohortAvg"/>
    <n v="-2.1741945743961408E-3"/>
    <s v="CohortAvg"/>
    <n v="0"/>
    <n v="-89567.34"/>
    <n v="-44004.14"/>
    <n v="40590.07"/>
    <n v="0"/>
    <n v="163.63"/>
    <n v="-139133.16"/>
    <n v="-3008.37"/>
    <n v="1290527.44"/>
    <n v="0.25008900000000001"/>
    <n v="0.98370000000000002"/>
    <n v="0.24602199999999999"/>
    <s v="CohortTrend+Seasonal(0.984)"/>
    <n v="317497.71000000002"/>
    <n v="321467.49"/>
    <n v="-3969.79"/>
    <x v="0"/>
    <n v="0"/>
    <n v="0.78500000000000003"/>
    <n v="0.24"/>
    <n v="0"/>
    <n v="0"/>
    <n v="0"/>
    <n v="321467.49"/>
    <n v="1383672.48"/>
    <n v="0.23232900000000001"/>
    <n v="-3969.79"/>
    <n v="-3806.15"/>
    <n v="0"/>
    <n v="-3806.15"/>
    <n v="1294333.5900000001"/>
    <s v="Forecast"/>
  </r>
  <r>
    <x v="18"/>
    <x v="0"/>
    <s v="202503"/>
    <n v="25"/>
    <n v="2386931.81"/>
    <n v="-5.4847247346017043E-2"/>
    <s v="CohortAvg"/>
    <n v="-3.4952457499100802E-2"/>
    <s v="CohortAvg"/>
    <n v="0.4251600329784781"/>
    <s v="CohortAvg"/>
    <n v="2.337347755521255E-2"/>
    <s v="CohortAvg_NonZero"/>
    <n v="7.078876269925089E-6"/>
    <s v="CohortAvg"/>
    <n v="0"/>
    <s v="Zero"/>
    <n v="0"/>
    <s v="CohortAvg"/>
    <n v="0"/>
    <s v="CohortAvg"/>
    <n v="0"/>
    <n v="-130916.64"/>
    <n v="-83429.13"/>
    <n v="84569"/>
    <n v="0"/>
    <n v="16.899999999999999"/>
    <n v="0"/>
    <n v="0"/>
    <n v="2257138.14"/>
    <n v="0.24794099999999999"/>
    <n v="0.98370000000000002"/>
    <n v="0.24390800000000001"/>
    <s v="CohortTrend+Seasonal(0.984)"/>
    <n v="550534.88"/>
    <n v="548323.31999999995"/>
    <n v="2211.56"/>
    <x v="0"/>
    <n v="0"/>
    <n v="0.78500000000000003"/>
    <n v="0.24"/>
    <n v="0"/>
    <n v="0"/>
    <n v="0"/>
    <n v="548323.31999999995"/>
    <n v="2386931.81"/>
    <n v="0.22971900000000001"/>
    <n v="2211.56"/>
    <n v="2228.46"/>
    <n v="0"/>
    <n v="2228.46"/>
    <n v="2254909.69"/>
    <s v="Forecast"/>
  </r>
  <r>
    <x v="18"/>
    <x v="0"/>
    <s v="202504"/>
    <n v="24"/>
    <n v="3204070.4"/>
    <n v="-5.3660834835722537E-2"/>
    <s v="CohortAvg"/>
    <n v="-3.7422357100991302E-2"/>
    <s v="CohortAvg"/>
    <n v="0.43758326163171313"/>
    <s v="CohortAvg"/>
    <n v="1.013329171740706E-2"/>
    <s v="CohortAvg_NonZero"/>
    <n v="1.636600746682697E-6"/>
    <s v="CohortAvg"/>
    <n v="0"/>
    <s v="Zero"/>
    <n v="0"/>
    <s v="CohortAvg"/>
    <n v="0"/>
    <s v="CohortAvg"/>
    <n v="0"/>
    <n v="-171933.09"/>
    <n v="-119903.87"/>
    <n v="116837.3"/>
    <n v="0"/>
    <n v="5.24"/>
    <n v="0"/>
    <n v="0"/>
    <n v="3029065.49"/>
    <n v="0.24754999999999999"/>
    <n v="0.98370000000000002"/>
    <n v="0.24352299999999999"/>
    <s v="CohortTrend+Seasonal(0.984)"/>
    <n v="737648.44"/>
    <n v="732340.45"/>
    <n v="5307.99"/>
    <x v="0"/>
    <n v="0"/>
    <n v="0.78500000000000003"/>
    <n v="0.24"/>
    <n v="0"/>
    <n v="0"/>
    <n v="0"/>
    <n v="732340.45"/>
    <n v="3204070.4"/>
    <n v="0.22856599999999999"/>
    <n v="5307.99"/>
    <n v="5313.24"/>
    <n v="0"/>
    <n v="5313.24"/>
    <n v="3023752.25"/>
    <s v="Forecast"/>
  </r>
  <r>
    <x v="18"/>
    <x v="0"/>
    <s v="202505"/>
    <n v="23"/>
    <n v="4738513.62"/>
    <n v="-4.6684270041695453E-2"/>
    <s v="CohortAvg"/>
    <n v="-3.6701543261577589E-2"/>
    <s v="CohortAvg"/>
    <n v="0.44248228522945282"/>
    <s v="CohortAvg"/>
    <n v="0"/>
    <s v="CohortAvg_NoData_ERROR"/>
    <n v="9.2757528076947726E-7"/>
    <s v="CohortAvg"/>
    <n v="0"/>
    <s v="Zero"/>
    <n v="0"/>
    <s v="CohortAvg"/>
    <n v="0"/>
    <s v="CohortAvg"/>
    <n v="0"/>
    <n v="-221214.05"/>
    <n v="-173910.76"/>
    <n v="174725.69"/>
    <n v="0"/>
    <n v="4.4000000000000004"/>
    <n v="0"/>
    <n v="0"/>
    <n v="4518110.0999999996"/>
    <n v="0.24690100000000001"/>
    <n v="0.98370000000000002"/>
    <n v="0.24288499999999999"/>
    <s v="CohortTrend+Seasonal(0.984)"/>
    <n v="1097382.72"/>
    <n v="1075954.68"/>
    <n v="21428.04"/>
    <x v="0"/>
    <n v="0"/>
    <n v="0.78500000000000003"/>
    <n v="0.24"/>
    <n v="0"/>
    <n v="0"/>
    <n v="0"/>
    <n v="1075954.68"/>
    <n v="4738513.62"/>
    <n v="0.22706599999999999"/>
    <n v="21428.04"/>
    <n v="21432.43"/>
    <n v="0"/>
    <n v="21432.43"/>
    <n v="4496677.67"/>
    <s v="Forecast"/>
  </r>
  <r>
    <x v="18"/>
    <x v="0"/>
    <s v="202506"/>
    <n v="22"/>
    <n v="5468117.0300000003"/>
    <n v="-4.5178178023880661E-2"/>
    <s v="CohortAvg"/>
    <n v="-3.8194930205344431E-2"/>
    <s v="CohortAvg"/>
    <n v="0.45919156121389709"/>
    <s v="CohortAvg"/>
    <n v="0"/>
    <s v="CohortAvg_NoData_ERROR"/>
    <n v="0"/>
    <s v="CohortAvg"/>
    <n v="0"/>
    <s v="Zero"/>
    <n v="0"/>
    <s v="CohortAvg"/>
    <n v="0"/>
    <s v="CohortAvg"/>
    <n v="0"/>
    <n v="-247039.56"/>
    <n v="-208854.35"/>
    <n v="209242.77"/>
    <n v="0"/>
    <n v="0"/>
    <n v="0"/>
    <n v="0"/>
    <n v="5221465.88"/>
    <n v="0.24704799999999999"/>
    <n v="0.98370000000000002"/>
    <n v="0.24303"/>
    <s v="CohortTrend+Seasonal(0.984)"/>
    <n v="1268973.79"/>
    <n v="1236077.07"/>
    <n v="32896.720000000001"/>
    <x v="0"/>
    <n v="0"/>
    <n v="0.78500000000000003"/>
    <n v="0.24"/>
    <n v="0"/>
    <n v="0"/>
    <n v="0"/>
    <n v="1236077.07"/>
    <n v="5468117.0300000003"/>
    <n v="0.226052"/>
    <n v="32896.720000000001"/>
    <n v="32896.720000000001"/>
    <n v="0"/>
    <n v="32896.720000000001"/>
    <n v="5188569.16"/>
    <s v="Forecast"/>
  </r>
  <r>
    <x v="18"/>
    <x v="0"/>
    <s v="202507"/>
    <n v="21"/>
    <n v="6934921.0899999999"/>
    <n v="-4.3434535309135429E-2"/>
    <s v="CohortAvg"/>
    <n v="-4.0928901788676468E-2"/>
    <s v="CohortAvg"/>
    <n v="0.45840073766552342"/>
    <s v="CohortAvg"/>
    <n v="0"/>
    <s v="CohortAvg_NoData_ERROR"/>
    <n v="1.328985402259148E-5"/>
    <s v="CohortAvg"/>
    <n v="0"/>
    <s v="Zero"/>
    <n v="0"/>
    <s v="CohortAvg"/>
    <n v="0"/>
    <s v="CohortAvg"/>
    <n v="0"/>
    <n v="-301215.07"/>
    <n v="-283838.7"/>
    <n v="264914.40999999997"/>
    <n v="0"/>
    <n v="92.16"/>
    <n v="0"/>
    <n v="0"/>
    <n v="6614689.5599999996"/>
    <n v="0.23671500000000001"/>
    <n v="0.98370000000000002"/>
    <n v="0.23286499999999999"/>
    <s v="CohortTrend+Seasonal(0.984)"/>
    <n v="1540331.6"/>
    <n v="1499220.5"/>
    <n v="41111.1"/>
    <x v="0"/>
    <n v="0"/>
    <n v="0.78500000000000003"/>
    <n v="0.24"/>
    <n v="0"/>
    <n v="0"/>
    <n v="0"/>
    <n v="1499220.5"/>
    <n v="6934921.0899999999"/>
    <n v="0.21618399999999999"/>
    <n v="41111.1"/>
    <n v="41203.269999999997"/>
    <n v="0"/>
    <n v="41203.269999999997"/>
    <n v="6573486.29"/>
    <s v="Forecast"/>
  </r>
  <r>
    <x v="18"/>
    <x v="0"/>
    <s v="202508"/>
    <n v="20"/>
    <n v="5921945"/>
    <n v="-4.8910967511925862E-2"/>
    <s v="CohortAvg"/>
    <n v="-3.2663253284592769E-2"/>
    <s v="CohortAvg"/>
    <n v="0.45969552611852149"/>
    <s v="CohortAvg"/>
    <n v="0"/>
    <s v="CohortAvg_NoData_ERROR"/>
    <n v="1.1397587000622331E-5"/>
    <s v="CohortAvg"/>
    <n v="0"/>
    <s v="Zero"/>
    <n v="0"/>
    <s v="CohortAvg"/>
    <n v="0"/>
    <s v="CohortAvg"/>
    <n v="0"/>
    <n v="-289648.06"/>
    <n v="-193429.99"/>
    <n v="226857.64"/>
    <n v="0"/>
    <n v="67.5"/>
    <n v="0"/>
    <n v="0"/>
    <n v="5665657.0899999999"/>
    <n v="0.226382"/>
    <n v="0.98370000000000002"/>
    <n v="0.22270000000000001"/>
    <s v="CohortTrend+Seasonal(0.984)"/>
    <n v="1261744.1100000001"/>
    <n v="1078728.9099999999"/>
    <n v="183015.19"/>
    <x v="0"/>
    <n v="0"/>
    <n v="0.78500000000000003"/>
    <n v="0.24"/>
    <n v="0"/>
    <n v="0"/>
    <n v="0"/>
    <n v="1078728.9099999999"/>
    <n v="5921945"/>
    <n v="0.18215799999999999"/>
    <n v="183015.19"/>
    <n v="183082.69"/>
    <n v="0"/>
    <n v="183082.69"/>
    <n v="5482574.4000000004"/>
    <s v="Forecast"/>
  </r>
  <r>
    <x v="18"/>
    <x v="0"/>
    <s v="202509"/>
    <n v="19"/>
    <n v="10940.57"/>
    <n v="-0.40861231491157668"/>
    <s v="CohortAvg"/>
    <n v="-8.492932911867195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470.45"/>
    <n v="-929.18"/>
    <n v="455.86"/>
    <n v="0"/>
    <n v="0"/>
    <n v="0"/>
    <n v="0"/>
    <n v="5996.8"/>
    <n v="0.190751"/>
    <n v="0.98370000000000002"/>
    <n v="0.18764800000000001"/>
    <s v="DonorCohort:202101+Seasonal(0.984)"/>
    <n v="1125.29"/>
    <n v="1846.79"/>
    <n v="-721.5"/>
    <x v="0"/>
    <n v="0"/>
    <n v="0.78500000000000003"/>
    <n v="0.24"/>
    <n v="0"/>
    <n v="0"/>
    <n v="0"/>
    <n v="1846.79"/>
    <n v="10940.57"/>
    <n v="0.16880200000000001"/>
    <n v="-721.5"/>
    <n v="-721.5"/>
    <n v="0"/>
    <n v="-721.5"/>
    <n v="6718.3"/>
    <s v="Forecast"/>
  </r>
  <r>
    <x v="18"/>
    <x v="1"/>
    <s v="202301"/>
    <n v="41"/>
    <n v="832193.24"/>
    <n v="-8.4599330191861642E-3"/>
    <s v="CohortAvg"/>
    <n v="-4.5608630870807671E-3"/>
    <s v="CohortAvg"/>
    <n v="8.9044849982897134E-2"/>
    <s v="CohortAvg"/>
    <n v="2.3826538627379081E-2"/>
    <s v="CohortAvg_NonZero"/>
    <n v="0"/>
    <s v="CohortAvg"/>
    <n v="0"/>
    <s v="Zero"/>
    <n v="0"/>
    <s v="CohortAvg"/>
    <n v="0"/>
    <s v="CohortAvg"/>
    <n v="0"/>
    <n v="-7040.3"/>
    <n v="-3795.52"/>
    <n v="6175.21"/>
    <n v="0"/>
    <n v="0"/>
    <n v="0"/>
    <n v="0"/>
    <n v="827532.64"/>
    <n v="0.39229199999999997"/>
    <n v="1.2005999999999999"/>
    <n v="0.471003"/>
    <s v="CohortAvg+Seasonal(1.201)"/>
    <n v="389770.4"/>
    <n v="346756.82"/>
    <n v="43013.58"/>
    <x v="0"/>
    <n v="0"/>
    <n v="0.78500000000000003"/>
    <n v="0.24"/>
    <n v="0"/>
    <n v="0"/>
    <n v="0"/>
    <n v="346756.82"/>
    <n v="832193.24"/>
    <n v="0.41667799999999999"/>
    <n v="43013.58"/>
    <n v="43013.58"/>
    <n v="0"/>
    <n v="43013.58"/>
    <n v="784519.06"/>
    <s v="Forecast"/>
  </r>
  <r>
    <x v="18"/>
    <x v="1"/>
    <s v="202404"/>
    <n v="36"/>
    <n v="74435.05"/>
    <n v="-6.3444033704444278E-2"/>
    <s v="CohortAvg"/>
    <n v="-1.522726494124544E-2"/>
    <s v="CohortAvg"/>
    <n v="0.15654519297397049"/>
    <s v="CohortAvg"/>
    <n v="5.0294593579455378E-2"/>
    <s v="CohortAvg_NonZero"/>
    <n v="0"/>
    <s v="CohortAvg"/>
    <n v="0"/>
    <s v="Zero"/>
    <n v="0"/>
    <s v="CohortAvg"/>
    <n v="0"/>
    <s v="CohortAvg"/>
    <n v="0"/>
    <n v="-4722.46"/>
    <n v="-1133.44"/>
    <n v="971.04"/>
    <n v="0"/>
    <n v="0"/>
    <n v="0"/>
    <n v="0"/>
    <n v="69550.179999999993"/>
    <n v="0.239978"/>
    <n v="1.2005999999999999"/>
    <n v="0.288128"/>
    <s v="CohortTrend+Seasonal(1.201)"/>
    <n v="20039.37"/>
    <n v="18812.990000000002"/>
    <n v="1226.3800000000001"/>
    <x v="0"/>
    <n v="0"/>
    <n v="0.78500000000000003"/>
    <n v="0.24"/>
    <n v="0"/>
    <n v="0"/>
    <n v="0"/>
    <n v="18812.990000000002"/>
    <n v="74435.05"/>
    <n v="0.25274400000000002"/>
    <n v="1226.3800000000001"/>
    <n v="1226.3800000000001"/>
    <n v="0"/>
    <n v="1226.3800000000001"/>
    <n v="68323.8"/>
    <s v="Forecast"/>
  </r>
  <r>
    <x v="18"/>
    <x v="1"/>
    <s v="202405"/>
    <n v="35"/>
    <n v="226143.35"/>
    <n v="-1.172678234506287E-2"/>
    <s v="CohortAvg"/>
    <n v="-1.272640164601401E-2"/>
    <s v="CohortAvg"/>
    <n v="0.14724253011605079"/>
    <s v="CohortAvg"/>
    <n v="6.9853833537343438E-2"/>
    <s v="CohortAvg_NonZero"/>
    <n v="2.463681516180091E-8"/>
    <s v="CohortAvg"/>
    <n v="0"/>
    <s v="Zero"/>
    <n v="0"/>
    <s v="CohortAvg"/>
    <n v="0"/>
    <s v="CohortAvg"/>
    <n v="0"/>
    <n v="-2651.93"/>
    <n v="-2877.99"/>
    <n v="2774.83"/>
    <n v="0"/>
    <n v="0.01"/>
    <n v="0"/>
    <n v="0"/>
    <n v="223388.25"/>
    <n v="0.43847799999999998"/>
    <n v="1.2005999999999999"/>
    <n v="0.52645600000000004"/>
    <s v="CohortTrend+Seasonal(1.201)"/>
    <n v="117604.13"/>
    <n v="102964.27"/>
    <n v="14639.86"/>
    <x v="0"/>
    <n v="0"/>
    <n v="0.78500000000000003"/>
    <n v="0.24"/>
    <n v="0"/>
    <n v="0"/>
    <n v="0"/>
    <n v="102964.27"/>
    <n v="226143.35"/>
    <n v="0.45530500000000002"/>
    <n v="14639.86"/>
    <n v="14639.86"/>
    <n v="0"/>
    <n v="14639.86"/>
    <n v="208748.38"/>
    <s v="Forecast"/>
  </r>
  <r>
    <x v="18"/>
    <x v="1"/>
    <s v="202406"/>
    <n v="34"/>
    <n v="132733.92000000001"/>
    <n v="-1.5479858114289841E-2"/>
    <s v="CohortAvg"/>
    <n v="-1.487993618379117E-2"/>
    <s v="CohortAvg"/>
    <n v="0.17821980776403021"/>
    <s v="CohortAvg"/>
    <n v="5.620844502272148E-2"/>
    <s v="CohortAvg_NonZero"/>
    <n v="0"/>
    <s v="CohortAvg"/>
    <n v="0"/>
    <s v="Zero"/>
    <n v="0"/>
    <s v="CohortAvg"/>
    <n v="0"/>
    <s v="CohortAvg"/>
    <n v="0"/>
    <n v="-2054.6999999999998"/>
    <n v="-1975.07"/>
    <n v="1971.32"/>
    <n v="0"/>
    <n v="0"/>
    <n v="0"/>
    <n v="0"/>
    <n v="130675.47"/>
    <n v="0.30226599999999998"/>
    <n v="1.2005999999999999"/>
    <n v="0.36291299999999999"/>
    <s v="CohortTrend+Seasonal(1.201)"/>
    <n v="47423.86"/>
    <n v="41750.620000000003"/>
    <n v="5673.24"/>
    <x v="0"/>
    <n v="0"/>
    <n v="0.78500000000000003"/>
    <n v="0.24"/>
    <n v="0"/>
    <n v="0"/>
    <n v="0"/>
    <n v="41750.620000000003"/>
    <n v="132733.92000000001"/>
    <n v="0.31454399999999999"/>
    <n v="5673.24"/>
    <n v="5673.24"/>
    <n v="0"/>
    <n v="5673.24"/>
    <n v="125002.23"/>
    <s v="Forecast"/>
  </r>
  <r>
    <x v="18"/>
    <x v="1"/>
    <s v="202407"/>
    <n v="33"/>
    <n v="126061.71"/>
    <n v="-4.2435979207474959E-2"/>
    <s v="CohortAvg"/>
    <n v="-1.532852012165062E-2"/>
    <s v="CohortAvg"/>
    <n v="0.1690334854870762"/>
    <s v="CohortAvg"/>
    <n v="8.2761551975630079E-2"/>
    <s v="CohortAvg_NonZero"/>
    <n v="0"/>
    <s v="CohortAvg"/>
    <n v="0"/>
    <s v="Zero"/>
    <n v="0"/>
    <s v="CohortAvg"/>
    <n v="0"/>
    <s v="CohortAvg"/>
    <n v="0"/>
    <n v="-5349.55"/>
    <n v="-1932.34"/>
    <n v="1775.72"/>
    <n v="0"/>
    <n v="0"/>
    <n v="0"/>
    <n v="0"/>
    <n v="120555.54"/>
    <n v="0.26951900000000001"/>
    <n v="1.2005999999999999"/>
    <n v="0.32359700000000002"/>
    <s v="CohortTrend+Seasonal(1.201)"/>
    <n v="39011.370000000003"/>
    <n v="35524.879999999997"/>
    <n v="3486.49"/>
    <x v="0"/>
    <n v="0"/>
    <n v="0.78500000000000003"/>
    <n v="0.24"/>
    <n v="0"/>
    <n v="0"/>
    <n v="0"/>
    <n v="35524.879999999997"/>
    <n v="126061.71"/>
    <n v="0.28180500000000003"/>
    <n v="3486.49"/>
    <n v="3486.49"/>
    <n v="0"/>
    <n v="3486.49"/>
    <n v="117069.05"/>
    <s v="Forecast"/>
  </r>
  <r>
    <x v="18"/>
    <x v="1"/>
    <s v="202408"/>
    <n v="32"/>
    <n v="95750.81"/>
    <n v="-6.2313162821636771E-2"/>
    <s v="CohortAvg"/>
    <n v="-1.6606030602476361E-2"/>
    <s v="CohortAvg"/>
    <n v="0.18294807655195761"/>
    <s v="CohortAvg"/>
    <n v="0.1104761026857973"/>
    <s v="CohortAvg_NonZero"/>
    <n v="7.8750606959498983E-11"/>
    <s v="CohortAvg"/>
    <n v="0"/>
    <s v="Zero"/>
    <n v="0"/>
    <s v="CohortAvg"/>
    <n v="0"/>
    <s v="CohortAvg"/>
    <n v="0"/>
    <n v="-5966.54"/>
    <n v="-1590.04"/>
    <n v="1459.79"/>
    <n v="0"/>
    <n v="0"/>
    <n v="0"/>
    <n v="0"/>
    <n v="89654.01"/>
    <n v="0.27891100000000002"/>
    <n v="1.2005999999999999"/>
    <n v="0.33487299999999998"/>
    <s v="CohortTrend+Seasonal(1.201)"/>
    <n v="30022.69"/>
    <n v="27886.02"/>
    <n v="2136.67"/>
    <x v="0"/>
    <n v="0"/>
    <n v="0.78500000000000003"/>
    <n v="0.24"/>
    <n v="0"/>
    <n v="0"/>
    <n v="0"/>
    <n v="27886.02"/>
    <n v="95750.81"/>
    <n v="0.29123500000000002"/>
    <n v="2136.67"/>
    <n v="2136.67"/>
    <n v="0"/>
    <n v="2136.67"/>
    <n v="87517.35"/>
    <s v="Forecast"/>
  </r>
  <r>
    <x v="18"/>
    <x v="1"/>
    <s v="202409"/>
    <n v="31"/>
    <n v="251370.42"/>
    <n v="-4.1023200756277571E-2"/>
    <s v="CohortAvg"/>
    <n v="-1.5072658285913081E-2"/>
    <s v="CohortAvg"/>
    <n v="0.18231420534420101"/>
    <s v="CohortAvg"/>
    <n v="3.183220808541231E-2"/>
    <s v="CohortAvg_NonZero"/>
    <n v="0"/>
    <s v="CohortAvg"/>
    <n v="0"/>
    <s v="Zero"/>
    <n v="0"/>
    <s v="CohortAvg"/>
    <n v="0"/>
    <s v="CohortAvg"/>
    <n v="0"/>
    <n v="-10312.02"/>
    <n v="-3788.82"/>
    <n v="3819.03"/>
    <n v="0"/>
    <n v="0"/>
    <n v="0"/>
    <n v="0"/>
    <n v="241088.62"/>
    <n v="0.32675100000000001"/>
    <n v="1.2005999999999999"/>
    <n v="0.39231100000000002"/>
    <s v="CohortTrend+Seasonal(1.201)"/>
    <n v="94581.79"/>
    <n v="85122.99"/>
    <n v="9458.7999999999993"/>
    <x v="0"/>
    <n v="0"/>
    <n v="0.78500000000000003"/>
    <n v="0.24"/>
    <n v="0"/>
    <n v="0"/>
    <n v="0"/>
    <n v="85122.99"/>
    <n v="251370.42"/>
    <n v="0.33863599999999999"/>
    <n v="9458.7999999999993"/>
    <n v="9458.7999999999993"/>
    <n v="0"/>
    <n v="9458.7999999999993"/>
    <n v="231629.82"/>
    <s v="Forecast"/>
  </r>
  <r>
    <x v="18"/>
    <x v="1"/>
    <s v="202410"/>
    <n v="30"/>
    <n v="269986.86"/>
    <n v="-1.262230219948806E-2"/>
    <s v="CohortAvg"/>
    <n v="-1.8278559901667539E-2"/>
    <s v="CohortAvg"/>
    <n v="0.18754551929712901"/>
    <s v="CohortAvg"/>
    <n v="3.538178953970144E-2"/>
    <s v="CohortAvg_NonZero"/>
    <n v="3.4550826064893292E-8"/>
    <s v="CohortAvg"/>
    <n v="0"/>
    <s v="Zero"/>
    <n v="0"/>
    <s v="CohortAvg"/>
    <n v="0"/>
    <s v="CohortAvg"/>
    <n v="0"/>
    <n v="-3407.86"/>
    <n v="-4934.97"/>
    <n v="4219.57"/>
    <n v="0"/>
    <n v="0.01"/>
    <n v="0"/>
    <n v="0"/>
    <n v="265863.59000000003"/>
    <n v="0.32609300000000002"/>
    <n v="1.2005999999999999"/>
    <n v="0.39152199999999998"/>
    <s v="CohortTrend+Seasonal(1.201)"/>
    <n v="104091.42"/>
    <n v="91046.29"/>
    <n v="13045.13"/>
    <x v="0"/>
    <n v="0"/>
    <n v="0.78500000000000003"/>
    <n v="0.24"/>
    <n v="0"/>
    <n v="0"/>
    <n v="0"/>
    <n v="91046.29"/>
    <n v="269986.86"/>
    <n v="0.337225"/>
    <n v="13045.13"/>
    <n v="13045.14"/>
    <n v="0"/>
    <n v="13045.14"/>
    <n v="252818.45"/>
    <s v="Forecast"/>
  </r>
  <r>
    <x v="18"/>
    <x v="1"/>
    <s v="202411"/>
    <n v="29"/>
    <n v="223848.3"/>
    <n v="-4.4592996444731157E-2"/>
    <s v="CohortAvg"/>
    <n v="-1.480114304956648E-2"/>
    <s v="CohortAvg"/>
    <n v="0.17335159818766721"/>
    <s v="CohortAvg"/>
    <n v="3.2276068738339783E-2"/>
    <s v="CohortAvg_NonZero"/>
    <n v="0"/>
    <s v="CohortAvg"/>
    <n v="0"/>
    <s v="Zero"/>
    <n v="0"/>
    <s v="CohortAvg"/>
    <n v="0"/>
    <s v="CohortAvg"/>
    <n v="0"/>
    <n v="-9982.07"/>
    <n v="-3313.21"/>
    <n v="3233.71"/>
    <n v="0"/>
    <n v="0"/>
    <n v="0"/>
    <n v="0"/>
    <n v="213786.73"/>
    <n v="0.25564500000000001"/>
    <n v="1.2005999999999999"/>
    <n v="0.30693799999999999"/>
    <s v="CohortTrend+Seasonal(1.201)"/>
    <n v="65619.37"/>
    <n v="59777.440000000002"/>
    <n v="5841.93"/>
    <x v="0"/>
    <n v="0"/>
    <n v="0.78500000000000003"/>
    <n v="0.24"/>
    <n v="0"/>
    <n v="0"/>
    <n v="0"/>
    <n v="59777.440000000002"/>
    <n v="223848.3"/>
    <n v="0.267044"/>
    <n v="5841.93"/>
    <n v="5841.93"/>
    <n v="0"/>
    <n v="5841.93"/>
    <n v="207944.8"/>
    <s v="Forecast"/>
  </r>
  <r>
    <x v="18"/>
    <x v="1"/>
    <s v="202412"/>
    <n v="28"/>
    <n v="11768.53"/>
    <n v="-8.584008481692806E-3"/>
    <s v="CohortAvg"/>
    <n v="-1.2415380132904399E-2"/>
    <s v="CohortAvg"/>
    <n v="0.14526784404254089"/>
    <s v="CohortAvg"/>
    <n v="0.2"/>
    <s v="CohortAvg_NonZero"/>
    <n v="0"/>
    <s v="CohortAvg"/>
    <n v="0"/>
    <s v="Zero"/>
    <n v="0"/>
    <s v="CohortAvg"/>
    <n v="0"/>
    <s v="CohortAvg"/>
    <n v="0"/>
    <n v="-101.02"/>
    <n v="-146.11000000000001"/>
    <n v="142.47"/>
    <n v="0"/>
    <n v="0"/>
    <n v="0"/>
    <n v="0"/>
    <n v="11663.87"/>
    <n v="0.23652500000000001"/>
    <n v="1.2005999999999999"/>
    <n v="0.28398200000000001"/>
    <s v="CohortTrend+Seasonal(1.201)"/>
    <n v="3312.33"/>
    <n v="2912.57"/>
    <n v="399.76"/>
    <x v="0"/>
    <n v="0"/>
    <n v="0.78500000000000003"/>
    <n v="0.24"/>
    <n v="0"/>
    <n v="0"/>
    <n v="0"/>
    <n v="2912.57"/>
    <n v="11768.53"/>
    <n v="0.24748800000000001"/>
    <n v="399.76"/>
    <n v="399.76"/>
    <n v="0"/>
    <n v="399.76"/>
    <n v="11264.11"/>
    <s v="Forecast"/>
  </r>
  <r>
    <x v="18"/>
    <x v="1"/>
    <s v="202501"/>
    <n v="27"/>
    <n v="45526.71"/>
    <n v="-1.529269895153324E-2"/>
    <s v="CohortAvg"/>
    <n v="-1.752479978339825E-2"/>
    <s v="CohortAvg"/>
    <n v="0.2043666755601686"/>
    <s v="CohortAvg"/>
    <n v="0"/>
    <s v="CohortAvg_NoData_ERROR"/>
    <n v="0"/>
    <s v="CohortAvg"/>
    <n v="0"/>
    <s v="Zero"/>
    <n v="0"/>
    <s v="CohortAvg"/>
    <n v="0"/>
    <s v="CohortAvg"/>
    <n v="0"/>
    <n v="-696.23"/>
    <n v="-797.85"/>
    <n v="775.35"/>
    <n v="0"/>
    <n v="0"/>
    <n v="0"/>
    <n v="0"/>
    <n v="44807.98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45526.71"/>
    <n v="0"/>
    <n v="0"/>
    <n v="0"/>
    <n v="0"/>
    <n v="0"/>
    <n v="44807.98"/>
    <s v="Forecast"/>
  </r>
  <r>
    <x v="18"/>
    <x v="1"/>
    <s v="202502"/>
    <n v="26"/>
    <n v="95631.18"/>
    <n v="-1.3858676010473209E-2"/>
    <s v="CohortAvg"/>
    <n v="-1.8941581037776999E-2"/>
    <s v="CohortAvg"/>
    <n v="0.19408544502058669"/>
    <s v="CohortAvg"/>
    <n v="0"/>
    <s v="CohortAvg_NoData_ERROR"/>
    <n v="0"/>
    <s v="CohortAvg"/>
    <n v="0"/>
    <s v="Zero"/>
    <n v="0"/>
    <s v="CohortAvg"/>
    <n v="0"/>
    <s v="CohortAvg"/>
    <n v="0"/>
    <n v="-1325.32"/>
    <n v="-1811.41"/>
    <n v="1546.72"/>
    <n v="0"/>
    <n v="0"/>
    <n v="0"/>
    <n v="0"/>
    <n v="94041.17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95631.18"/>
    <n v="0"/>
    <n v="0"/>
    <n v="0"/>
    <n v="0"/>
    <n v="0"/>
    <n v="94041.17"/>
    <s v="Forecast"/>
  </r>
  <r>
    <x v="18"/>
    <x v="1"/>
    <s v="202503"/>
    <n v="25"/>
    <n v="73929.960000000006"/>
    <n v="-9.8304981378856352E-3"/>
    <s v="CohortAvg"/>
    <n v="-1.376653660850846E-2"/>
    <s v="CohortAvg"/>
    <n v="0.208366529166821"/>
    <s v="CohortAvg"/>
    <n v="0"/>
    <s v="CohortAvg_NoData_ERROR"/>
    <n v="0"/>
    <s v="CohortAvg"/>
    <n v="0"/>
    <s v="Zero"/>
    <n v="0"/>
    <s v="CohortAvg"/>
    <n v="0"/>
    <s v="CohortAvg"/>
    <n v="0"/>
    <n v="-726.77"/>
    <n v="-1017.76"/>
    <n v="1283.71"/>
    <n v="0"/>
    <n v="0"/>
    <n v="0"/>
    <n v="0"/>
    <n v="73469.14"/>
    <n v="0.27835500000000002"/>
    <n v="1.2005999999999999"/>
    <n v="0.33420499999999997"/>
    <s v="CohortTrend+Seasonal(1.201)"/>
    <n v="24553.75"/>
    <n v="21107.439999999999"/>
    <n v="3446.31"/>
    <x v="0"/>
    <n v="0"/>
    <n v="0.78500000000000003"/>
    <n v="0.24"/>
    <n v="0"/>
    <n v="0"/>
    <n v="0"/>
    <n v="21107.439999999999"/>
    <n v="73929.960000000006"/>
    <n v="0.28550599999999998"/>
    <n v="3446.31"/>
    <n v="3446.31"/>
    <n v="0"/>
    <n v="3446.31"/>
    <n v="70022.84"/>
    <s v="Forecast"/>
  </r>
  <r>
    <x v="18"/>
    <x v="1"/>
    <s v="202504"/>
    <n v="24"/>
    <n v="43177.18"/>
    <n v="-2.0712245524689241E-2"/>
    <s v="CohortAvg"/>
    <n v="-1.6747390589472541E-2"/>
    <s v="CohortAvg"/>
    <n v="0.2022242318167653"/>
    <s v="CohortAvg"/>
    <n v="0"/>
    <s v="CohortAvg_NoData_ERROR"/>
    <n v="0"/>
    <s v="CohortAvg"/>
    <n v="0"/>
    <s v="Zero"/>
    <n v="0"/>
    <s v="CohortAvg"/>
    <n v="0"/>
    <s v="CohortAvg"/>
    <n v="0"/>
    <n v="-894.3"/>
    <n v="-723.11"/>
    <n v="727.62"/>
    <n v="0"/>
    <n v="0"/>
    <n v="0"/>
    <n v="0"/>
    <n v="42287.4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43177.18"/>
    <n v="0"/>
    <n v="0"/>
    <n v="0"/>
    <n v="0"/>
    <n v="0"/>
    <n v="42287.4"/>
    <s v="Forecast"/>
  </r>
  <r>
    <x v="18"/>
    <x v="1"/>
    <s v="202505"/>
    <n v="23"/>
    <n v="14017.35"/>
    <n v="-1.023607569789938E-2"/>
    <s v="CohortAvg"/>
    <n v="-1.6715053857508849E-2"/>
    <s v="CohortAvg"/>
    <n v="0.202078432532556"/>
    <s v="CohortAvg"/>
    <n v="0"/>
    <s v="CohortAvg_NoData_ERROR"/>
    <n v="0"/>
    <s v="CohortAvg"/>
    <n v="0"/>
    <s v="Zero"/>
    <n v="0"/>
    <s v="CohortAvg"/>
    <n v="0"/>
    <s v="CohortAvg"/>
    <n v="0"/>
    <n v="-143.47999999999999"/>
    <n v="-234.3"/>
    <n v="236.05"/>
    <n v="0"/>
    <n v="0"/>
    <n v="0"/>
    <n v="0"/>
    <n v="13875.62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14017.35"/>
    <n v="0"/>
    <n v="0"/>
    <n v="0"/>
    <n v="0"/>
    <n v="0"/>
    <n v="13875.62"/>
    <s v="Forecast"/>
  </r>
  <r>
    <x v="18"/>
    <x v="1"/>
    <s v="202506"/>
    <n v="22"/>
    <n v="23911.67"/>
    <n v="-1.429738262174597E-2"/>
    <s v="CohortAvg"/>
    <n v="-1.6902839407143731E-2"/>
    <s v="CohortAvg"/>
    <n v="0.1963796459261867"/>
    <s v="CohortAvg"/>
    <n v="0"/>
    <s v="CohortAvg_NoData_ERROR"/>
    <n v="0"/>
    <s v="CohortAvg"/>
    <n v="0"/>
    <s v="Zero"/>
    <n v="0"/>
    <s v="CohortAvg"/>
    <n v="0"/>
    <s v="CohortAvg"/>
    <n v="0"/>
    <n v="-341.87"/>
    <n v="-404.18"/>
    <n v="391.31"/>
    <n v="0"/>
    <n v="0"/>
    <n v="0"/>
    <n v="0"/>
    <n v="23556.93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23911.67"/>
    <n v="0"/>
    <n v="0"/>
    <n v="0"/>
    <n v="0"/>
    <n v="0"/>
    <n v="23556.93"/>
    <s v="Forecast"/>
  </r>
  <r>
    <x v="18"/>
    <x v="1"/>
    <s v="202507"/>
    <n v="21"/>
    <n v="95127.76"/>
    <n v="-1.143407448220129E-2"/>
    <s v="CohortAvg"/>
    <n v="-1.8454705647745071E-2"/>
    <s v="CohortAvg"/>
    <n v="0.20443815692008141"/>
    <s v="CohortAvg"/>
    <n v="0"/>
    <s v="CohortAvg_NoData_ERROR"/>
    <n v="0"/>
    <s v="CohortAvg"/>
    <n v="0"/>
    <s v="Zero"/>
    <n v="0"/>
    <s v="CohortAvg"/>
    <n v="0"/>
    <s v="CohortAvg"/>
    <n v="0"/>
    <n v="-1087.7"/>
    <n v="-1755.55"/>
    <n v="1620.65"/>
    <n v="0"/>
    <n v="0"/>
    <n v="0"/>
    <n v="0"/>
    <n v="93905.15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95127.76"/>
    <n v="0"/>
    <n v="0"/>
    <n v="0"/>
    <n v="0"/>
    <n v="0"/>
    <n v="93905.15"/>
    <s v="Forecast"/>
  </r>
  <r>
    <x v="18"/>
    <x v="1"/>
    <s v="202508"/>
    <n v="20"/>
    <n v="38626.31"/>
    <n v="-1.500091697139125E-2"/>
    <s v="CohortAvg"/>
    <n v="-1.50773283632434E-2"/>
    <s v="CohortAvg"/>
    <n v="0.18560424123355379"/>
    <s v="CohortAvg"/>
    <n v="0"/>
    <s v="CohortAvg_NoData_ERROR"/>
    <n v="0"/>
    <s v="CohortAvg"/>
    <n v="0"/>
    <s v="Zero"/>
    <n v="0"/>
    <s v="CohortAvg"/>
    <n v="0"/>
    <s v="CohortAvg"/>
    <n v="0"/>
    <n v="-579.42999999999995"/>
    <n v="-582.38"/>
    <n v="597.42999999999995"/>
    <n v="0"/>
    <n v="0"/>
    <n v="0"/>
    <n v="0"/>
    <n v="38061.94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38626.31"/>
    <n v="0"/>
    <n v="0"/>
    <n v="0"/>
    <n v="0"/>
    <n v="0"/>
    <n v="38061.94"/>
    <s v="Forecast"/>
  </r>
  <r>
    <x v="18"/>
    <x v="1"/>
    <s v="202509"/>
    <n v="19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2005999999999999"/>
    <n v="0"/>
    <s v="Manual+Seasonal(1.201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8"/>
    <x v="2"/>
    <s v="202101"/>
    <n v="75"/>
    <n v="70055.649999999994"/>
    <n v="-0.19314293358150031"/>
    <s v="CohortAvg"/>
    <n v="-1.429846749455585E-2"/>
    <s v="CohortAvg"/>
    <n v="0.1565317557406099"/>
    <s v="CohortAvg"/>
    <n v="1.7897875043166051E-2"/>
    <s v="CohortAvg_NonZero"/>
    <n v="0"/>
    <s v="CohortAvg"/>
    <n v="0"/>
    <s v="Zero"/>
    <n v="0"/>
    <s v="CohortAvg"/>
    <n v="0"/>
    <s v="CohortAvg"/>
    <n v="0"/>
    <n v="-13530.75"/>
    <n v="-1001.69"/>
    <n v="913.83"/>
    <n v="0"/>
    <n v="0"/>
    <n v="0"/>
    <n v="0"/>
    <n v="56437.04"/>
    <n v="0.26069399999999998"/>
    <n v="0.93640000000000001"/>
    <n v="0.244121"/>
    <s v="CohortAvg+Seasonal(0.936)"/>
    <n v="13777.48"/>
    <n v="16798.77"/>
    <n v="-3021.29"/>
    <x v="0"/>
    <n v="0"/>
    <n v="0.78500000000000003"/>
    <n v="0.24"/>
    <n v="0"/>
    <n v="0"/>
    <n v="0"/>
    <n v="16798.77"/>
    <n v="70055.649999999994"/>
    <n v="0.23979200000000001"/>
    <n v="-3021.29"/>
    <n v="-3021.29"/>
    <n v="0"/>
    <n v="-3021.29"/>
    <n v="59458.32"/>
    <s v="Forecast"/>
  </r>
  <r>
    <x v="18"/>
    <x v="2"/>
    <s v="202201"/>
    <n v="55"/>
    <n v="44056.72"/>
    <n v="-6.4376102653946221E-2"/>
    <s v="CohortAvg"/>
    <n v="-1.346763473176942E-2"/>
    <s v="CohortAvg"/>
    <n v="0.14986414564252121"/>
    <s v="CohortAvg"/>
    <n v="3.4415023017953773E-2"/>
    <s v="CohortAvg_NonZero"/>
    <n v="4.0206973539323091E-7"/>
    <s v="CohortAvg"/>
    <n v="0"/>
    <s v="Zero"/>
    <n v="-1.0354506668611571E-6"/>
    <s v="CohortAvg"/>
    <n v="-4.6748741862819624E-9"/>
    <s v="CohortAvg"/>
    <n v="0"/>
    <n v="-2836.2"/>
    <n v="-593.34"/>
    <n v="550.21"/>
    <n v="0"/>
    <n v="0.02"/>
    <n v="-0.05"/>
    <n v="0"/>
    <n v="41177.370000000003"/>
    <n v="0.186339"/>
    <n v="0.93640000000000001"/>
    <n v="0.17449300000000001"/>
    <s v="CohortAvg+Seasonal(0.936)"/>
    <n v="7185.16"/>
    <n v="7552.77"/>
    <n v="-367.61"/>
    <x v="0"/>
    <n v="0"/>
    <n v="0.78500000000000003"/>
    <n v="0.24"/>
    <n v="0"/>
    <n v="0"/>
    <n v="0"/>
    <n v="7552.77"/>
    <n v="44056.72"/>
    <n v="0.171433"/>
    <n v="-367.61"/>
    <n v="-367.59"/>
    <n v="0"/>
    <n v="-367.59"/>
    <n v="41544.959999999999"/>
    <s v="Forecast"/>
  </r>
  <r>
    <x v="18"/>
    <x v="2"/>
    <s v="202301"/>
    <n v="46"/>
    <n v="5149852.75"/>
    <n v="-3.5854879764236749E-2"/>
    <s v="CohortAvg"/>
    <n v="-1.532823589335235E-2"/>
    <s v="CohortAvg"/>
    <n v="0.1743547312211248"/>
    <s v="CohortAvg"/>
    <n v="1.8560331519459669E-2"/>
    <s v="CohortAvg_NonZero"/>
    <n v="7.2468114799256407E-9"/>
    <s v="CohortAvg"/>
    <n v="0"/>
    <s v="Zero"/>
    <n v="-2.1066464167649979E-5"/>
    <s v="CohortAvg"/>
    <n v="-5.2328020964734333E-8"/>
    <s v="CohortAvg"/>
    <n v="0"/>
    <n v="-184647.35"/>
    <n v="-78938.16"/>
    <n v="74825.100000000006"/>
    <n v="0"/>
    <n v="0.04"/>
    <n v="-108.49"/>
    <n v="-0.27"/>
    <n v="4961092.3"/>
    <n v="0.21814900000000001"/>
    <n v="0.93640000000000001"/>
    <n v="0.20428099999999999"/>
    <s v="CohortAvg+Seasonal(0.936)"/>
    <n v="1013455.58"/>
    <n v="1041899.09"/>
    <n v="-28443.51"/>
    <x v="0"/>
    <n v="0"/>
    <n v="0.78500000000000003"/>
    <n v="0.24"/>
    <n v="0"/>
    <n v="0"/>
    <n v="0"/>
    <n v="1041899.09"/>
    <n v="5149852.75"/>
    <n v="0.202316"/>
    <n v="-28443.51"/>
    <n v="-28443.47"/>
    <n v="0"/>
    <n v="-28443.47"/>
    <n v="4989535.7699999996"/>
    <s v="Forecast"/>
  </r>
  <r>
    <x v="18"/>
    <x v="2"/>
    <s v="202404"/>
    <n v="36"/>
    <n v="1189017.5900000001"/>
    <n v="-4.2811859860356773E-2"/>
    <s v="CohortAvg"/>
    <n v="-1.611651249766434E-2"/>
    <s v="CohortAvg"/>
    <n v="0.1758904297698683"/>
    <s v="CohortAvg"/>
    <n v="2.130383610199563E-2"/>
    <s v="CohortAvg_NonZero"/>
    <n v="6.1732222150110025E-8"/>
    <s v="CohortAvg"/>
    <n v="0"/>
    <s v="Zero"/>
    <n v="-2.4032641857475979E-3"/>
    <s v="CohortAvg"/>
    <n v="-1.089273851561294E-5"/>
    <s v="CohortAvg"/>
    <n v="0"/>
    <n v="-50904.05"/>
    <n v="-19162.82"/>
    <n v="17428.07"/>
    <n v="0"/>
    <n v="7.0000000000000007E-2"/>
    <n v="-2857.52"/>
    <n v="-12.95"/>
    <n v="1136378.72"/>
    <n v="0.20934900000000001"/>
    <n v="0.93640000000000001"/>
    <n v="0.19603999999999999"/>
    <s v="CohortTrend+Seasonal(0.936)"/>
    <n v="222775.88"/>
    <n v="223184.28"/>
    <n v="-408.4"/>
    <x v="0"/>
    <n v="0"/>
    <n v="0.78500000000000003"/>
    <n v="0.24"/>
    <n v="0"/>
    <n v="0"/>
    <n v="0"/>
    <n v="223184.28"/>
    <n v="1189017.5900000001"/>
    <n v="0.18770500000000001"/>
    <n v="-408.4"/>
    <n v="-408.33"/>
    <n v="0"/>
    <n v="-408.33"/>
    <n v="1136787.04"/>
    <s v="Forecast"/>
  </r>
  <r>
    <x v="18"/>
    <x v="2"/>
    <s v="202405"/>
    <n v="35"/>
    <n v="1523421.06"/>
    <n v="-1.907018601240934E-2"/>
    <s v="CohortAvg"/>
    <n v="-1.511631533007537E-2"/>
    <s v="CohortAvg"/>
    <n v="0.1732185021266"/>
    <s v="CohortAvg"/>
    <n v="3.170105182317124E-2"/>
    <s v="CohortAvg_NonZero"/>
    <n v="3.474435057517173E-8"/>
    <s v="CohortAvg"/>
    <n v="0"/>
    <s v="Zero"/>
    <n v="-5.6528817142456481E-3"/>
    <s v="CohortAvg"/>
    <n v="-3.4001192986603527E-5"/>
    <s v="CohortAvg"/>
    <n v="0"/>
    <n v="-29051.919999999998"/>
    <n v="-23028.51"/>
    <n v="21990.39"/>
    <n v="0"/>
    <n v="0.05"/>
    <n v="-8611.7199999999993"/>
    <n v="-51.8"/>
    <n v="1493330.96"/>
    <n v="0.17775099999999999"/>
    <n v="0.93640000000000001"/>
    <n v="0.16645099999999999"/>
    <s v="CohortTrend+Seasonal(0.936)"/>
    <n v="248565.77"/>
    <n v="242781.2"/>
    <n v="5784.57"/>
    <x v="0"/>
    <n v="0"/>
    <n v="0.78500000000000003"/>
    <n v="0.24"/>
    <n v="0"/>
    <n v="0"/>
    <n v="0"/>
    <n v="242781.2"/>
    <n v="1523421.06"/>
    <n v="0.15936600000000001"/>
    <n v="5784.57"/>
    <n v="5784.63"/>
    <n v="0"/>
    <n v="5784.63"/>
    <n v="1487546.33"/>
    <s v="Forecast"/>
  </r>
  <r>
    <x v="18"/>
    <x v="2"/>
    <s v="202406"/>
    <n v="34"/>
    <n v="1038320.8"/>
    <n v="-2.7603251061618438E-2"/>
    <s v="CohortAvg"/>
    <n v="-1.5147642144080001E-2"/>
    <s v="CohortAvg"/>
    <n v="0.17183681391639721"/>
    <s v="CohortAvg"/>
    <n v="6.2848150136366354E-2"/>
    <s v="CohortAvg_NonZero"/>
    <n v="3.0153146099209362E-8"/>
    <s v="CohortAvg"/>
    <n v="0"/>
    <s v="Zero"/>
    <n v="-3.4695387033869349E-3"/>
    <s v="CohortAvg"/>
    <n v="-5.4424366514936889E-5"/>
    <s v="CohortAvg"/>
    <n v="0"/>
    <n v="-28661.03"/>
    <n v="-15728.11"/>
    <n v="14868.48"/>
    <n v="0"/>
    <n v="0.03"/>
    <n v="-3602.49"/>
    <n v="-56.51"/>
    <n v="1008800.1"/>
    <n v="0.18163799999999999"/>
    <n v="0.93640000000000001"/>
    <n v="0.17009099999999999"/>
    <s v="CohortTrend+Seasonal(0.936)"/>
    <n v="171587.99"/>
    <n v="169341.13"/>
    <n v="2246.86"/>
    <x v="0"/>
    <n v="0"/>
    <n v="0.78500000000000003"/>
    <n v="0.24"/>
    <n v="0"/>
    <n v="0"/>
    <n v="0"/>
    <n v="169341.13"/>
    <n v="1038320.8"/>
    <n v="0.16309100000000001"/>
    <n v="2246.86"/>
    <n v="2246.89"/>
    <n v="0"/>
    <n v="2246.89"/>
    <n v="1006553.21"/>
    <s v="Forecast"/>
  </r>
  <r>
    <x v="18"/>
    <x v="2"/>
    <s v="202407"/>
    <n v="33"/>
    <n v="2146825.08"/>
    <n v="-2.7277036609245169E-2"/>
    <s v="CohortAvg"/>
    <n v="-1.5654822756455852E-2"/>
    <s v="CohortAvg"/>
    <n v="0.17582901281465921"/>
    <s v="CohortAvg"/>
    <n v="3.1786991315525849E-2"/>
    <s v="CohortAvg_NonZero"/>
    <n v="6.569081070233602E-6"/>
    <s v="CohortAvg"/>
    <n v="0"/>
    <s v="Zero"/>
    <n v="-4.8858507384145827E-3"/>
    <s v="CohortAvg"/>
    <n v="-4.0884255067166007E-5"/>
    <s v="CohortAvg"/>
    <n v="0"/>
    <n v="-58559.03"/>
    <n v="-33608.17"/>
    <n v="31456.18"/>
    <n v="0"/>
    <n v="14.1"/>
    <n v="-10489.07"/>
    <n v="-87.77"/>
    <n v="2086099.97"/>
    <n v="0.15787899999999999"/>
    <n v="0.93640000000000001"/>
    <n v="0.147843"/>
    <s v="CohortTrend+Seasonal(0.936)"/>
    <n v="308414.42"/>
    <n v="303578.46999999997"/>
    <n v="4835.95"/>
    <x v="0"/>
    <n v="0"/>
    <n v="0.78500000000000003"/>
    <n v="0.24"/>
    <n v="0"/>
    <n v="0"/>
    <n v="0"/>
    <n v="303578.46999999997"/>
    <n v="2146825.08"/>
    <n v="0.14140800000000001"/>
    <n v="4835.95"/>
    <n v="4850.0600000000004"/>
    <n v="0"/>
    <n v="4850.0600000000004"/>
    <n v="2081249.91"/>
    <s v="Forecast"/>
  </r>
  <r>
    <x v="18"/>
    <x v="2"/>
    <s v="202408"/>
    <n v="32"/>
    <n v="1646291.23"/>
    <n v="-2.393611933276937E-2"/>
    <s v="CohortAvg"/>
    <n v="-1.6488096895856171E-2"/>
    <s v="CohortAvg"/>
    <n v="0.1879767450111707"/>
    <s v="CohortAvg"/>
    <n v="2.1714608129965379E-2"/>
    <s v="CohortAvg_NonZero"/>
    <n v="1.216926417197344E-8"/>
    <s v="CohortAvg"/>
    <n v="0"/>
    <s v="Zero"/>
    <n v="-2.0959531911336681E-3"/>
    <s v="CohortAvg"/>
    <n v="-2.278715206909165E-5"/>
    <s v="CohortAvg"/>
    <n v="0"/>
    <n v="-39405.82"/>
    <n v="-27144.21"/>
    <n v="25788.71"/>
    <n v="0"/>
    <n v="0.02"/>
    <n v="-3450.55"/>
    <n v="-37.51"/>
    <n v="1605529.89"/>
    <n v="0.16208800000000001"/>
    <n v="0.93640000000000001"/>
    <n v="0.151784"/>
    <s v="CohortTrend+Seasonal(0.936)"/>
    <n v="243693.67"/>
    <n v="237983.59"/>
    <n v="5710.09"/>
    <x v="0"/>
    <n v="0"/>
    <n v="0.78500000000000003"/>
    <n v="0.24"/>
    <n v="0"/>
    <n v="0"/>
    <n v="0"/>
    <n v="237983.59"/>
    <n v="1646291.23"/>
    <n v="0.14455699999999999"/>
    <n v="5710.09"/>
    <n v="5710.11"/>
    <n v="0"/>
    <n v="5710.11"/>
    <n v="1599819.78"/>
    <s v="Forecast"/>
  </r>
  <r>
    <x v="18"/>
    <x v="2"/>
    <s v="202409"/>
    <n v="31"/>
    <n v="1335578.1499999999"/>
    <n v="-3.2621568540928347E-2"/>
    <s v="CohortAvg"/>
    <n v="-1.6765767903399311E-2"/>
    <s v="CohortAvg"/>
    <n v="0.18512249732391409"/>
    <s v="CohortAvg"/>
    <n v="3.5211334671156148E-2"/>
    <s v="CohortAvg_NonZero"/>
    <n v="7.3057156311709294E-6"/>
    <s v="CohortAvg"/>
    <n v="0"/>
    <s v="Zero"/>
    <n v="-1.1605733178456579E-2"/>
    <s v="CohortAvg"/>
    <n v="-9.3642917760693189E-5"/>
    <s v="CohortAvg"/>
    <n v="0"/>
    <n v="-43568.65"/>
    <n v="-22391.99"/>
    <n v="20603.8"/>
    <n v="0"/>
    <n v="9.76"/>
    <n v="-15500.36"/>
    <n v="-125.07"/>
    <n v="1290211.54"/>
    <n v="0.14213300000000001"/>
    <n v="0.93640000000000001"/>
    <n v="0.13309699999999999"/>
    <s v="CohortTrend+Seasonal(0.936)"/>
    <n v="171723.76"/>
    <n v="169299.9"/>
    <n v="2423.86"/>
    <x v="0"/>
    <n v="0"/>
    <n v="0.78500000000000003"/>
    <n v="0.24"/>
    <n v="0"/>
    <n v="0"/>
    <n v="0"/>
    <n v="169299.9"/>
    <n v="1335578.1499999999"/>
    <n v="0.12676200000000001"/>
    <n v="2423.86"/>
    <n v="2433.62"/>
    <n v="0"/>
    <n v="2433.62"/>
    <n v="1287777.92"/>
    <s v="Forecast"/>
  </r>
  <r>
    <x v="18"/>
    <x v="2"/>
    <s v="202410"/>
    <n v="30"/>
    <n v="1193061.6399999999"/>
    <n v="-4.0692029938471798E-2"/>
    <s v="CohortAvg"/>
    <n v="-1.6723577209501999E-2"/>
    <s v="CohortAvg"/>
    <n v="0.1819478065489035"/>
    <s v="CohortAvg"/>
    <n v="2.9520952707235121E-2"/>
    <s v="CohortAvg_NonZero"/>
    <n v="5.5913617929952921E-8"/>
    <s v="CohortAvg"/>
    <n v="0"/>
    <s v="Zero"/>
    <n v="-7.1828425252383607E-3"/>
    <s v="CohortAvg"/>
    <n v="-1.105311461388163E-4"/>
    <s v="CohortAvg"/>
    <n v="0"/>
    <n v="-48548.1"/>
    <n v="-19952.259999999998"/>
    <n v="18089.580000000002"/>
    <n v="0"/>
    <n v="7.0000000000000007E-2"/>
    <n v="-8569.57"/>
    <n v="-131.87"/>
    <n v="1142650.79"/>
    <n v="0.12828600000000001"/>
    <n v="0.93640000000000001"/>
    <n v="0.120131"/>
    <s v="CohortTrend+Seasonal(0.936)"/>
    <n v="137267.66"/>
    <n v="136912.07"/>
    <n v="355.59"/>
    <x v="0"/>
    <n v="0"/>
    <n v="0.78500000000000003"/>
    <n v="0.24"/>
    <n v="0"/>
    <n v="0"/>
    <n v="0"/>
    <n v="136912.07"/>
    <n v="1193061.6399999999"/>
    <n v="0.114757"/>
    <n v="355.59"/>
    <n v="355.66"/>
    <n v="0"/>
    <n v="355.66"/>
    <n v="1142295.1399999999"/>
    <s v="Forecast"/>
  </r>
  <r>
    <x v="18"/>
    <x v="2"/>
    <s v="202411"/>
    <n v="29"/>
    <n v="1441676.81"/>
    <n v="-3.7059144121530593E-2"/>
    <s v="CohortAvg"/>
    <n v="-1.7567078486704871E-2"/>
    <s v="CohortAvg"/>
    <n v="0.19003439020742571"/>
    <s v="CohortAvg"/>
    <n v="2.1725527008315749E-2"/>
    <s v="CohortAvg_NonZero"/>
    <n v="1.719296775364894E-6"/>
    <s v="CohortAvg"/>
    <n v="0"/>
    <s v="Zero"/>
    <n v="-1.0828045088287641E-2"/>
    <s v="CohortAvg"/>
    <n v="-9.4790043713082191E-5"/>
    <s v="CohortAvg"/>
    <n v="0"/>
    <n v="-53427.31"/>
    <n v="-25326.05"/>
    <n v="22830.68"/>
    <n v="0"/>
    <n v="2.48"/>
    <n v="-15610.54"/>
    <n v="-136.66"/>
    <n v="1385751.65"/>
    <n v="0.132522"/>
    <n v="0.93640000000000001"/>
    <n v="0.124098"/>
    <s v="CohortTrend+Seasonal(0.936)"/>
    <n v="171968.55"/>
    <n v="169705.52"/>
    <n v="2263.0300000000002"/>
    <x v="0"/>
    <n v="0"/>
    <n v="0.78500000000000003"/>
    <n v="0.24"/>
    <n v="0"/>
    <n v="0"/>
    <n v="0"/>
    <n v="169705.52"/>
    <n v="1441676.81"/>
    <n v="0.117714"/>
    <n v="2263.0300000000002"/>
    <n v="2265.5"/>
    <n v="0"/>
    <n v="2265.5"/>
    <n v="1383486.15"/>
    <s v="Forecast"/>
  </r>
  <r>
    <x v="18"/>
    <x v="2"/>
    <s v="202412"/>
    <n v="28"/>
    <n v="1525951.58"/>
    <n v="-1.998454855285553E-2"/>
    <s v="CohortAvg"/>
    <n v="-1.665651156682588E-2"/>
    <s v="CohortAvg"/>
    <n v="0.18942641299515189"/>
    <s v="CohortAvg"/>
    <n v="2.822511071825605E-2"/>
    <s v="CohortAvg_NonZero"/>
    <n v="3.5326365537042482E-8"/>
    <s v="CohortAvg"/>
    <n v="0"/>
    <s v="Zero"/>
    <n v="-1.0170161573326029E-2"/>
    <s v="CohortAvg"/>
    <n v="-6.8873408014007078E-5"/>
    <s v="CohortAvg"/>
    <n v="0"/>
    <n v="-30495.45"/>
    <n v="-25417.03"/>
    <n v="24087.96"/>
    <n v="0"/>
    <n v="0.05"/>
    <n v="-15519.17"/>
    <n v="-105.1"/>
    <n v="1494127"/>
    <n v="0.10424700000000001"/>
    <n v="0.93640000000000001"/>
    <n v="9.7619999999999998E-2"/>
    <s v="CohortTrend+Seasonal(0.936)"/>
    <n v="145856.54999999999"/>
    <n v="142557.20000000001"/>
    <n v="3299.35"/>
    <x v="0"/>
    <n v="0"/>
    <n v="0.78500000000000003"/>
    <n v="0.24"/>
    <n v="0"/>
    <n v="0"/>
    <n v="0"/>
    <n v="142557.20000000001"/>
    <n v="1525951.58"/>
    <n v="9.3422000000000005E-2"/>
    <n v="3299.35"/>
    <n v="3299.4"/>
    <n v="0"/>
    <n v="3299.4"/>
    <n v="1490827.6"/>
    <s v="Forecast"/>
  </r>
  <r>
    <x v="18"/>
    <x v="2"/>
    <s v="202501"/>
    <n v="27"/>
    <n v="2543694.2799999998"/>
    <n v="-3.0456862750842719E-2"/>
    <s v="CohortAvg"/>
    <n v="-1.7545266095401649E-2"/>
    <s v="CohortAvg"/>
    <n v="0.1907415806061144"/>
    <s v="CohortAvg"/>
    <n v="1.558065383309737E-2"/>
    <s v="CohortAvg_NonZero"/>
    <n v="1.485798187252993E-6"/>
    <s v="CohortAvg"/>
    <n v="0"/>
    <s v="Zero"/>
    <n v="-1.8910682031849629E-2"/>
    <s v="CohortAvg"/>
    <n v="-1.542773509923682E-4"/>
    <s v="CohortAvg"/>
    <n v="0"/>
    <n v="-77472.95"/>
    <n v="-44629.79"/>
    <n v="40432.36"/>
    <n v="0"/>
    <n v="3.78"/>
    <n v="-48102.99"/>
    <n v="-392.43"/>
    <n v="2462020.11"/>
    <n v="0.113235"/>
    <n v="0.93640000000000001"/>
    <n v="0.10603700000000001"/>
    <s v="CohortTrend+Seasonal(0.936)"/>
    <n v="261064.55"/>
    <n v="255973.59"/>
    <n v="5090.96"/>
    <x v="0"/>
    <n v="0"/>
    <n v="0.78500000000000003"/>
    <n v="0.24"/>
    <n v="0"/>
    <n v="0"/>
    <n v="0"/>
    <n v="255973.59"/>
    <n v="2543694.2799999998"/>
    <n v="0.100631"/>
    <n v="5090.96"/>
    <n v="5094.74"/>
    <n v="0"/>
    <n v="5094.74"/>
    <n v="2456925.37"/>
    <s v="Forecast"/>
  </r>
  <r>
    <x v="18"/>
    <x v="2"/>
    <s v="202502"/>
    <n v="26"/>
    <n v="2595220.79"/>
    <n v="-3.4073161351747011E-2"/>
    <s v="CohortAvg"/>
    <n v="-1.7641125090477529E-2"/>
    <s v="CohortAvg"/>
    <n v="0.197173879973778"/>
    <s v="CohortAvg"/>
    <n v="7.9645373695133598E-3"/>
    <s v="CohortAvg_NonZero"/>
    <n v="0"/>
    <s v="CohortAvg"/>
    <n v="0"/>
    <s v="Zero"/>
    <n v="-3.4776073940554313E-2"/>
    <s v="CohortAvg"/>
    <n v="-3.1792733601703209E-4"/>
    <s v="CohortAvg"/>
    <n v="0"/>
    <n v="-88427.38"/>
    <n v="-45782.61"/>
    <n v="42642.48"/>
    <n v="0"/>
    <n v="0"/>
    <n v="-90251.59"/>
    <n v="-825.09"/>
    <n v="2503653.2799999998"/>
    <n v="0.12017600000000001"/>
    <n v="0.93640000000000001"/>
    <n v="0.112536"/>
    <s v="CohortTrend+Seasonal(0.936)"/>
    <n v="281751.32"/>
    <n v="275121.86"/>
    <n v="6629.46"/>
    <x v="0"/>
    <n v="0"/>
    <n v="0.78500000000000003"/>
    <n v="0.24"/>
    <n v="0"/>
    <n v="0"/>
    <n v="0"/>
    <n v="275121.86"/>
    <n v="2595220.79"/>
    <n v="0.10601099999999999"/>
    <n v="6629.46"/>
    <n v="6629.46"/>
    <n v="0"/>
    <n v="6629.46"/>
    <n v="2497023.8199999998"/>
    <s v="Forecast"/>
  </r>
  <r>
    <x v="18"/>
    <x v="2"/>
    <s v="202503"/>
    <n v="25"/>
    <n v="3878606.69"/>
    <n v="-2.2744918415150691E-2"/>
    <s v="CohortAvg"/>
    <n v="-1.6985345582546239E-2"/>
    <s v="CohortAvg"/>
    <n v="0.20120579154903889"/>
    <s v="CohortAvg"/>
    <n v="7.1848262480383477E-3"/>
    <s v="CohortAvg_NonZero"/>
    <n v="2.0797328577954141E-9"/>
    <s v="CohortAvg"/>
    <n v="0"/>
    <s v="Zero"/>
    <n v="0"/>
    <s v="CohortAvg"/>
    <n v="0"/>
    <s v="CohortAvg"/>
    <n v="0"/>
    <n v="-88218.59"/>
    <n v="-65879.48"/>
    <n v="65033.18"/>
    <n v="0"/>
    <n v="0.01"/>
    <n v="0"/>
    <n v="0"/>
    <n v="3789541.8"/>
    <n v="0.11687400000000001"/>
    <n v="0.93640000000000001"/>
    <n v="0.109444"/>
    <s v="CohortTrend+Seasonal(0.936)"/>
    <n v="414741.6"/>
    <n v="398580.18"/>
    <n v="16161.42"/>
    <x v="0"/>
    <n v="0"/>
    <n v="0.78500000000000003"/>
    <n v="0.24"/>
    <n v="0"/>
    <n v="0"/>
    <n v="0"/>
    <n v="398580.18"/>
    <n v="3878606.69"/>
    <n v="0.10276399999999999"/>
    <n v="16161.42"/>
    <n v="16161.43"/>
    <n v="0"/>
    <n v="16161.43"/>
    <n v="3773380.37"/>
    <s v="Forecast"/>
  </r>
  <r>
    <x v="18"/>
    <x v="2"/>
    <s v="202504"/>
    <n v="24"/>
    <n v="4853012.38"/>
    <n v="-2.462449197665479E-2"/>
    <s v="CohortAvg"/>
    <n v="-1.6908814386072561E-2"/>
    <s v="CohortAvg"/>
    <n v="0.19642191187020969"/>
    <s v="CohortAvg"/>
    <n v="3.260907177009143E-3"/>
    <s v="CohortAvg_NonZero"/>
    <n v="0"/>
    <s v="CohortAvg"/>
    <n v="0"/>
    <s v="Zero"/>
    <n v="0"/>
    <s v="CohortAvg"/>
    <n v="0"/>
    <s v="CohortAvg"/>
    <n v="0"/>
    <n v="-119502.96"/>
    <n v="-82058.69"/>
    <n v="79436.5"/>
    <n v="0"/>
    <n v="0"/>
    <n v="0"/>
    <n v="0"/>
    <n v="4730887.2300000004"/>
    <n v="0.11568299999999999"/>
    <n v="0.93640000000000001"/>
    <n v="0.10832899999999999"/>
    <s v="CohortTrend+Seasonal(0.936)"/>
    <n v="512491.64"/>
    <n v="491405.98"/>
    <n v="21085.66"/>
    <x v="0"/>
    <n v="0"/>
    <n v="0.78500000000000003"/>
    <n v="0.24"/>
    <n v="0"/>
    <n v="0"/>
    <n v="0"/>
    <n v="491405.98"/>
    <n v="4853012.38"/>
    <n v="0.101258"/>
    <n v="21085.66"/>
    <n v="21085.66"/>
    <n v="0"/>
    <n v="21085.66"/>
    <n v="4709801.57"/>
    <s v="Forecast"/>
  </r>
  <r>
    <x v="18"/>
    <x v="2"/>
    <s v="202505"/>
    <n v="23"/>
    <n v="4678414.38"/>
    <n v="-2.7447602163159161E-2"/>
    <s v="CohortAvg"/>
    <n v="-1.6582747227740401E-2"/>
    <s v="CohortAvg"/>
    <n v="0.19399547930962949"/>
    <s v="CohortAvg"/>
    <n v="0"/>
    <s v="CohortAvg_NoData_ERROR"/>
    <n v="0"/>
    <s v="CohortAvg"/>
    <n v="0"/>
    <s v="Zero"/>
    <n v="0"/>
    <s v="CohortAvg"/>
    <n v="0"/>
    <s v="CohortAvg"/>
    <n v="0"/>
    <n v="-128411.26"/>
    <n v="-77580.960000000006"/>
    <n v="75632.600000000006"/>
    <n v="0"/>
    <n v="0"/>
    <n v="0"/>
    <n v="0"/>
    <n v="4548054.7699999996"/>
    <n v="0.11204500000000001"/>
    <n v="0.93640000000000001"/>
    <n v="0.104922"/>
    <s v="CohortTrend+Seasonal(0.936)"/>
    <n v="477192.74"/>
    <n v="457010.84"/>
    <n v="20181.900000000001"/>
    <x v="0"/>
    <n v="0"/>
    <n v="0.78500000000000003"/>
    <n v="0.24"/>
    <n v="0"/>
    <n v="0"/>
    <n v="0"/>
    <n v="457010.84"/>
    <n v="4678414.38"/>
    <n v="9.7684999999999994E-2"/>
    <n v="20181.900000000001"/>
    <n v="20181.900000000001"/>
    <n v="0"/>
    <n v="20181.900000000001"/>
    <n v="4527872.87"/>
    <s v="Forecast"/>
  </r>
  <r>
    <x v="18"/>
    <x v="2"/>
    <s v="202506"/>
    <n v="22"/>
    <n v="5232469.78"/>
    <n v="-2.0073499230810289E-2"/>
    <s v="CohortAvg"/>
    <n v="-1.6257217933986469E-2"/>
    <s v="CohortAvg"/>
    <n v="0.1976308487415544"/>
    <s v="CohortAvg"/>
    <n v="0"/>
    <s v="CohortAvg_NoData_ERROR"/>
    <n v="0"/>
    <s v="CohortAvg"/>
    <n v="0"/>
    <s v="Zero"/>
    <n v="0"/>
    <s v="CohortAvg"/>
    <n v="0"/>
    <s v="CohortAvg"/>
    <n v="0"/>
    <n v="-105033.98"/>
    <n v="-85065.4"/>
    <n v="86174.79"/>
    <n v="0"/>
    <n v="0"/>
    <n v="0"/>
    <n v="0"/>
    <n v="5128545.1900000004"/>
    <n v="0.109889"/>
    <n v="0.93640000000000001"/>
    <n v="0.10290299999999999"/>
    <s v="CohortTrend+Seasonal(0.936)"/>
    <n v="527744.28"/>
    <n v="498439.35"/>
    <n v="29304.93"/>
    <x v="0"/>
    <n v="0"/>
    <n v="0.78500000000000003"/>
    <n v="0.24"/>
    <n v="0"/>
    <n v="0"/>
    <n v="0"/>
    <n v="498439.35"/>
    <n v="5232469.78"/>
    <n v="9.5258999999999996E-2"/>
    <n v="29304.93"/>
    <n v="29304.93"/>
    <n v="0"/>
    <n v="29304.93"/>
    <n v="5099240.26"/>
    <s v="Forecast"/>
  </r>
  <r>
    <x v="18"/>
    <x v="2"/>
    <s v="202507"/>
    <n v="21"/>
    <n v="6745460.3200000003"/>
    <n v="-1.6295364394900029E-2"/>
    <s v="CohortAvg"/>
    <n v="-1.7126329755642621E-2"/>
    <s v="CohortAvg"/>
    <n v="0.18870257970920681"/>
    <s v="CohortAvg"/>
    <n v="0"/>
    <s v="CohortAvg_NoData_ERROR"/>
    <n v="0"/>
    <s v="CohortAvg"/>
    <n v="0"/>
    <s v="Zero"/>
    <n v="0"/>
    <s v="CohortAvg"/>
    <n v="0"/>
    <s v="CohortAvg"/>
    <n v="0"/>
    <n v="-109919.73"/>
    <n v="-115524.98"/>
    <n v="106073.81"/>
    <n v="0"/>
    <n v="0"/>
    <n v="0"/>
    <n v="0"/>
    <n v="6626089.4199999999"/>
    <n v="0.103561"/>
    <n v="0.93640000000000001"/>
    <n v="9.6977999999999995E-2"/>
    <s v="CohortTrend+Seasonal(0.936)"/>
    <n v="642581.59"/>
    <n v="603301.23"/>
    <n v="39280.36"/>
    <x v="0"/>
    <n v="0"/>
    <n v="0.78500000000000003"/>
    <n v="0.24"/>
    <n v="0"/>
    <n v="0"/>
    <n v="0"/>
    <n v="603301.23"/>
    <n v="6745460.3200000003"/>
    <n v="8.9438000000000004E-2"/>
    <n v="39280.36"/>
    <n v="39280.36"/>
    <n v="0"/>
    <n v="39280.36"/>
    <n v="6586809.0599999996"/>
    <s v="Forecast"/>
  </r>
  <r>
    <x v="18"/>
    <x v="2"/>
    <s v="202508"/>
    <n v="20"/>
    <n v="6092077.6699999999"/>
    <n v="-1.9792209066857282E-2"/>
    <s v="CohortAvg"/>
    <n v="-1.2107289180563389E-2"/>
    <s v="CohortAvg"/>
    <n v="0.1908154884955986"/>
    <s v="CohortAvg"/>
    <n v="0"/>
    <s v="CohortAvg_NoData_ERROR"/>
    <n v="3.5306119642403288E-5"/>
    <s v="CohortAvg"/>
    <n v="0"/>
    <s v="Zero"/>
    <n v="0"/>
    <s v="CohortAvg"/>
    <n v="0"/>
    <s v="CohortAvg"/>
    <n v="0"/>
    <n v="-120575.67"/>
    <n v="-73758.55"/>
    <n v="96871.9"/>
    <n v="0"/>
    <n v="215.09"/>
    <n v="0"/>
    <n v="0"/>
    <n v="5994400.2599999998"/>
    <n v="9.7233E-2"/>
    <n v="0.93640000000000001"/>
    <n v="9.1051999999999994E-2"/>
    <s v="CohortTrend+Seasonal(0.936)"/>
    <n v="545800.29"/>
    <n v="538190.63"/>
    <n v="7609.65"/>
    <x v="0"/>
    <n v="0"/>
    <n v="0.78500000000000003"/>
    <n v="0.24"/>
    <n v="0"/>
    <n v="0"/>
    <n v="0"/>
    <n v="538190.63"/>
    <n v="6092077.6699999999"/>
    <n v="8.8343000000000005E-2"/>
    <n v="7609.65"/>
    <n v="7824.74"/>
    <n v="0"/>
    <n v="7824.74"/>
    <n v="5986575.5199999996"/>
    <s v="Forecast"/>
  </r>
  <r>
    <x v="18"/>
    <x v="2"/>
    <s v="202509"/>
    <n v="19"/>
    <n v="281360.11"/>
    <n v="-0.26433078609304272"/>
    <s v="CohortAvg"/>
    <n v="-3.243213407403217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74372.14"/>
    <n v="-9125.11"/>
    <n v="11723.34"/>
    <n v="0"/>
    <n v="0"/>
    <n v="0"/>
    <n v="0"/>
    <n v="209586.2"/>
    <n v="9.6042000000000002E-2"/>
    <n v="0.93640000000000001"/>
    <n v="8.9937000000000003E-2"/>
    <s v="DonorCohort:202101+Seasonal(0.936)"/>
    <n v="18849.45"/>
    <n v="21479.86"/>
    <n v="-2630.4"/>
    <x v="0"/>
    <n v="0"/>
    <n v="0.78500000000000003"/>
    <n v="0.24"/>
    <n v="0"/>
    <n v="0"/>
    <n v="0"/>
    <n v="21479.86"/>
    <n v="281360.11"/>
    <n v="7.6342999999999994E-2"/>
    <n v="-2630.4"/>
    <n v="-2630.4"/>
    <n v="0"/>
    <n v="-2630.4"/>
    <n v="212216.6"/>
    <s v="Forecast"/>
  </r>
  <r>
    <x v="18"/>
    <x v="3"/>
    <s v="201912"/>
    <n v="88"/>
    <n v="43906.36"/>
    <n v="-6.8409552869460209E-3"/>
    <s v="CohortAvg"/>
    <n v="-6.4289041257962977E-4"/>
    <s v="CohortAvg"/>
    <n v="0"/>
    <s v="CohortAvg"/>
    <n v="3.0088213325671409E-2"/>
    <s v="CohortAvg_NonZero"/>
    <n v="3.9329640180957657E-8"/>
    <s v="CohortAvg"/>
    <n v="0"/>
    <s v="Zero"/>
    <n v="0"/>
    <s v="CohortAvg"/>
    <n v="0"/>
    <s v="CohortAvg"/>
    <n v="0"/>
    <n v="-300.36"/>
    <n v="-28.23"/>
    <n v="0"/>
    <n v="0"/>
    <n v="0"/>
    <n v="0"/>
    <n v="0"/>
    <n v="43577.77"/>
    <n v="0.98815799999999998"/>
    <n v="1.0118"/>
    <n v="0.99980899999999995"/>
    <s v="CohortAvg+Seasonal(1.012)"/>
    <n v="43569.440000000002"/>
    <n v="43224.38"/>
    <n v="345.06"/>
    <x v="0"/>
    <n v="0"/>
    <n v="0.78500000000000003"/>
    <n v="0.24"/>
    <n v="0"/>
    <n v="0"/>
    <n v="0"/>
    <n v="43224.38"/>
    <n v="43906.36"/>
    <n v="0.98446699999999998"/>
    <n v="345.06"/>
    <n v="345.06"/>
    <n v="0"/>
    <n v="345.06"/>
    <n v="43232.71"/>
    <s v="Forecast"/>
  </r>
  <r>
    <x v="18"/>
    <x v="3"/>
    <s v="202001"/>
    <n v="87"/>
    <n v="0.02"/>
    <n v="-0.5"/>
    <s v="CohortAvg"/>
    <n v="-1.0583615929350771E-6"/>
    <s v="CohortAvg"/>
    <n v="0"/>
    <s v="CohortAvg"/>
    <n v="1.7998835980860921E-2"/>
    <s v="CohortAvg_NonZero"/>
    <n v="0"/>
    <s v="CohortAvg"/>
    <n v="0"/>
    <s v="Zero"/>
    <n v="0"/>
    <s v="CohortAvg"/>
    <n v="0"/>
    <s v="CohortAvg"/>
    <n v="0"/>
    <n v="-0.01"/>
    <n v="0"/>
    <n v="0"/>
    <n v="0"/>
    <n v="0"/>
    <n v="0"/>
    <n v="0"/>
    <n v="0.01"/>
    <n v="0.81914500000000001"/>
    <n v="1.0118"/>
    <n v="0.82880299999999996"/>
    <s v="CohortAvg+Seasonal(1.012)"/>
    <n v="0.01"/>
    <n v="0.02"/>
    <n v="-0.01"/>
    <x v="0"/>
    <n v="0"/>
    <n v="0.78500000000000003"/>
    <n v="0.24"/>
    <n v="0"/>
    <n v="0"/>
    <n v="0"/>
    <n v="0.02"/>
    <n v="0.02"/>
    <n v="0.81606800000000002"/>
    <n v="-0.01"/>
    <n v="-0.01"/>
    <n v="0"/>
    <n v="-0.01"/>
    <n v="0.02"/>
    <s v="Forecast"/>
  </r>
  <r>
    <x v="18"/>
    <x v="3"/>
    <s v="202101"/>
    <n v="75"/>
    <n v="288518.71999999997"/>
    <n v="-0.1051870337208482"/>
    <s v="CohortAvg"/>
    <n v="-8.1150008127115879E-3"/>
    <s v="CohortAvg"/>
    <n v="0.1089140586392759"/>
    <s v="CohortAvg"/>
    <n v="6.1946197229406251E-3"/>
    <s v="CohortAvg_NonZero"/>
    <n v="0"/>
    <s v="CohortAvg"/>
    <n v="0"/>
    <s v="Zero"/>
    <n v="-9.4110156852802301E-6"/>
    <s v="CohortAvg"/>
    <n v="-9.9874158654867127E-8"/>
    <s v="CohortAvg"/>
    <n v="0"/>
    <n v="-30348.43"/>
    <n v="-2341.33"/>
    <n v="2618.65"/>
    <n v="0"/>
    <n v="0"/>
    <n v="-2.72"/>
    <n v="-0.03"/>
    <n v="258447.61"/>
    <n v="0.27616800000000002"/>
    <n v="1.0118"/>
    <n v="0.27942400000000001"/>
    <s v="CohortAvg+Seasonal(1.012)"/>
    <n v="72216.399999999994"/>
    <n v="79378.92"/>
    <n v="-7162.52"/>
    <x v="0"/>
    <n v="0"/>
    <n v="0.78500000000000003"/>
    <n v="0.24"/>
    <n v="0"/>
    <n v="0"/>
    <n v="0"/>
    <n v="79378.92"/>
    <n v="288518.71999999997"/>
    <n v="0.27512599999999998"/>
    <n v="-7162.52"/>
    <n v="-7162.52"/>
    <n v="0"/>
    <n v="-7162.52"/>
    <n v="265610.13"/>
    <s v="Forecast"/>
  </r>
  <r>
    <x v="18"/>
    <x v="3"/>
    <s v="202201"/>
    <n v="55"/>
    <n v="68935.41"/>
    <n v="-8.8822272912311331E-2"/>
    <s v="CohortAvg"/>
    <n v="-1.0371134048238939E-2"/>
    <s v="CohortAvg"/>
    <n v="0.1126228995869112"/>
    <s v="CohortAvg"/>
    <n v="3.3649239651100671E-2"/>
    <s v="CohortAvg_NonZero"/>
    <n v="9.0757620175123735E-4"/>
    <s v="CohortAvg"/>
    <n v="0"/>
    <s v="Zero"/>
    <n v="-9.8419580515774795E-6"/>
    <s v="CohortAvg"/>
    <n v="-8.3785749925473157E-8"/>
    <s v="CohortAvg"/>
    <n v="0"/>
    <n v="-6123"/>
    <n v="-714.94"/>
    <n v="646.98"/>
    <n v="0"/>
    <n v="62.56"/>
    <n v="-0.68"/>
    <n v="-0.01"/>
    <n v="62681.88"/>
    <n v="0.30422900000000003"/>
    <n v="1.0118"/>
    <n v="0.30781599999999998"/>
    <s v="CohortAvg+Seasonal(1.012)"/>
    <n v="19294.48"/>
    <n v="20894.79"/>
    <n v="-1600.31"/>
    <x v="0"/>
    <n v="0"/>
    <n v="0.78500000000000003"/>
    <n v="0.24"/>
    <n v="0"/>
    <n v="0"/>
    <n v="0"/>
    <n v="20894.79"/>
    <n v="68935.41"/>
    <n v="0.30310700000000002"/>
    <n v="-1600.31"/>
    <n v="-1537.75"/>
    <n v="0"/>
    <n v="-1537.75"/>
    <n v="64219.63"/>
    <s v="Forecast"/>
  </r>
  <r>
    <x v="18"/>
    <x v="3"/>
    <s v="202301"/>
    <n v="46"/>
    <n v="1110644.71"/>
    <n v="-6.9811175083667312E-2"/>
    <s v="CohortAvg"/>
    <n v="-1.6140534832989911E-2"/>
    <s v="CohortAvg"/>
    <n v="0.1907783780114623"/>
    <s v="CohortAvg"/>
    <n v="2.528240124050361E-2"/>
    <s v="CohortAvg_NonZero"/>
    <n v="2.3554786410462529E-7"/>
    <s v="CohortAvg"/>
    <n v="0"/>
    <s v="Zero"/>
    <n v="-2.3775721431749481E-3"/>
    <s v="CohortAvg"/>
    <n v="-1.395410981703727E-5"/>
    <s v="CohortAvg"/>
    <n v="0"/>
    <n v="-77535.41"/>
    <n v="-17926.400000000001"/>
    <n v="17657.25"/>
    <n v="0"/>
    <n v="0.26"/>
    <n v="-2640.64"/>
    <n v="-15.5"/>
    <n v="1032839.88"/>
    <n v="0.27986"/>
    <n v="1.0118"/>
    <n v="0.28315899999999999"/>
    <s v="CohortAvg+Seasonal(1.012)"/>
    <n v="292458.19"/>
    <n v="312142.36"/>
    <n v="-19684.169999999998"/>
    <x v="0"/>
    <n v="0"/>
    <n v="0.78500000000000003"/>
    <n v="0.24"/>
    <n v="0"/>
    <n v="0"/>
    <n v="0"/>
    <n v="312142.36"/>
    <n v="1110644.71"/>
    <n v="0.28104600000000002"/>
    <n v="-19684.169999999998"/>
    <n v="-19683.91"/>
    <n v="0"/>
    <n v="-19683.91"/>
    <n v="1052523.79"/>
    <s v="Forecast"/>
  </r>
  <r>
    <x v="18"/>
    <x v="3"/>
    <s v="202404"/>
    <n v="36"/>
    <n v="297833.78000000003"/>
    <n v="-5.005055150514081E-2"/>
    <s v="CohortAvg"/>
    <n v="-1.754348345759385E-2"/>
    <s v="CohortAvg"/>
    <n v="0.1911952033350619"/>
    <s v="CohortAvg"/>
    <n v="6.3490295225289428E-2"/>
    <s v="CohortAvg_NonZero"/>
    <n v="8.8056462778152754E-7"/>
    <s v="CohortAvg"/>
    <n v="0"/>
    <s v="Zero"/>
    <n v="-1.0570109556372911E-2"/>
    <s v="CohortAvg"/>
    <n v="-1.193313583814937E-4"/>
    <s v="CohortAvg"/>
    <n v="0"/>
    <n v="-14906.74"/>
    <n v="-5225.04"/>
    <n v="4745.37"/>
    <n v="0"/>
    <n v="0.26"/>
    <n v="-3148.14"/>
    <n v="-35.54"/>
    <n v="282447.09999999998"/>
    <n v="0.22014700000000001"/>
    <n v="1.0118"/>
    <n v="0.222742"/>
    <s v="CohortTrend+Seasonal(1.012)"/>
    <n v="62912.89"/>
    <n v="63832.35"/>
    <n v="-919.46"/>
    <x v="0"/>
    <n v="0"/>
    <n v="0.78500000000000003"/>
    <n v="0.24"/>
    <n v="0"/>
    <n v="0"/>
    <n v="0"/>
    <n v="63832.35"/>
    <n v="297833.78000000003"/>
    <n v="0.21432200000000001"/>
    <n v="-919.46"/>
    <n v="-919.2"/>
    <n v="0"/>
    <n v="-919.2"/>
    <n v="283366.28999999998"/>
    <s v="Forecast"/>
  </r>
  <r>
    <x v="18"/>
    <x v="3"/>
    <s v="202405"/>
    <n v="35"/>
    <n v="282592.93"/>
    <n v="-5.2139031940245849E-2"/>
    <s v="CohortAvg"/>
    <n v="-1.7932294067195879E-2"/>
    <s v="CohortAvg"/>
    <n v="0.19978414408352821"/>
    <s v="CohortAvg"/>
    <n v="4.5789379485983182E-2"/>
    <s v="CohortAvg_NonZero"/>
    <n v="9.2006468887535469E-8"/>
    <s v="CohortAvg"/>
    <n v="0"/>
    <s v="Zero"/>
    <n v="-1.2035479165480549E-2"/>
    <s v="CohortAvg"/>
    <n v="-1.0745107839059719E-4"/>
    <s v="CohortAvg"/>
    <n v="0"/>
    <n v="-14734.12"/>
    <n v="-5067.54"/>
    <n v="4704.8"/>
    <n v="0"/>
    <n v="0.03"/>
    <n v="-3401.14"/>
    <n v="-30.36"/>
    <n v="267496.03999999998"/>
    <n v="0.175787"/>
    <n v="1.0118"/>
    <n v="0.17785899999999999"/>
    <s v="CohortTrend+Seasonal(1.012)"/>
    <n v="47576.63"/>
    <n v="48504.1"/>
    <n v="-927.47"/>
    <x v="0"/>
    <n v="0"/>
    <n v="0.78500000000000003"/>
    <n v="0.24"/>
    <n v="0"/>
    <n v="0"/>
    <n v="0"/>
    <n v="48504.1"/>
    <n v="282592.93"/>
    <n v="0.17163900000000001"/>
    <n v="-927.47"/>
    <n v="-927.44"/>
    <n v="0"/>
    <n v="-927.44"/>
    <n v="268423.48"/>
    <s v="Forecast"/>
  </r>
  <r>
    <x v="18"/>
    <x v="3"/>
    <s v="202406"/>
    <n v="34"/>
    <n v="376763.07"/>
    <n v="-4.800142090478221E-2"/>
    <s v="CohortAvg"/>
    <n v="-1.8105908806668361E-2"/>
    <s v="CohortAvg"/>
    <n v="0.20237119347887131"/>
    <s v="CohortAvg"/>
    <n v="3.9532413465525239E-2"/>
    <s v="CohortAvg_NonZero"/>
    <n v="6.6466196406780165E-8"/>
    <s v="CohortAvg"/>
    <n v="0"/>
    <s v="Zero"/>
    <n v="-1.3759887693504631E-2"/>
    <s v="CohortAvg"/>
    <n v="-1.042759789753533E-4"/>
    <s v="CohortAvg"/>
    <n v="0"/>
    <n v="-18085.16"/>
    <n v="-6821.64"/>
    <n v="6353.83"/>
    <n v="0"/>
    <n v="0.03"/>
    <n v="-5184.22"/>
    <n v="-39.29"/>
    <n v="358210.08"/>
    <n v="0.13780800000000001"/>
    <n v="1.0118"/>
    <n v="0.139433"/>
    <s v="CohortTrend+Seasonal(1.012)"/>
    <n v="49946.36"/>
    <n v="50731.24"/>
    <n v="-784.88"/>
    <x v="0"/>
    <n v="0"/>
    <n v="0.78500000000000003"/>
    <n v="0.24"/>
    <n v="0"/>
    <n v="0"/>
    <n v="0"/>
    <n v="50731.24"/>
    <n v="376763.07"/>
    <n v="0.13464999999999999"/>
    <n v="-784.88"/>
    <n v="-784.86"/>
    <n v="0"/>
    <n v="-784.86"/>
    <n v="358994.94"/>
    <s v="Forecast"/>
  </r>
  <r>
    <x v="18"/>
    <x v="3"/>
    <s v="202407"/>
    <n v="33"/>
    <n v="287193.39"/>
    <n v="-6.7738615368374708E-2"/>
    <s v="CohortAvg"/>
    <n v="-1.89509816388077E-2"/>
    <s v="CohortAvg"/>
    <n v="0.20662914297770829"/>
    <s v="CohortAvg"/>
    <n v="2.7100008815585191E-2"/>
    <s v="CohortAvg_NonZero"/>
    <n v="4.4584475549162888E-6"/>
    <s v="CohortAvg"/>
    <n v="0"/>
    <s v="Zero"/>
    <n v="-1.6900114041614601E-2"/>
    <s v="CohortAvg"/>
    <n v="-2.0082501416382101E-4"/>
    <s v="CohortAvg"/>
    <n v="0"/>
    <n v="-19454.080000000002"/>
    <n v="-5442.6"/>
    <n v="4945.21"/>
    <n v="0"/>
    <n v="1.28"/>
    <n v="-4853.6000000000004"/>
    <n v="-57.68"/>
    <n v="267240.64"/>
    <n v="0.111194"/>
    <n v="1.0118"/>
    <n v="0.11250499999999999"/>
    <s v="CohortTrend+Seasonal(1.012)"/>
    <n v="30065.97"/>
    <n v="31276.21"/>
    <n v="-1210.24"/>
    <x v="0"/>
    <n v="0"/>
    <n v="0.78500000000000003"/>
    <n v="0.24"/>
    <n v="0"/>
    <n v="0"/>
    <n v="0"/>
    <n v="31276.21"/>
    <n v="287193.39"/>
    <n v="0.108903"/>
    <n v="-1210.24"/>
    <n v="-1208.96"/>
    <n v="0"/>
    <n v="-1208.96"/>
    <n v="268449.59999999998"/>
    <s v="Forecast"/>
  </r>
  <r>
    <x v="18"/>
    <x v="3"/>
    <s v="202408"/>
    <n v="32"/>
    <n v="425236.14"/>
    <n v="-4.9814340409860401E-2"/>
    <s v="CohortAvg"/>
    <n v="-1.927463643514471E-2"/>
    <s v="CohortAvg"/>
    <n v="0.21379593069201261"/>
    <s v="CohortAvg"/>
    <n v="3.2200512876552088E-2"/>
    <s v="CohortAvg_NonZero"/>
    <n v="1.208139185998522E-7"/>
    <s v="CohortAvg"/>
    <n v="0"/>
    <s v="Zero"/>
    <n v="-1.1398770985778239E-2"/>
    <s v="CohortAvg"/>
    <n v="-9.7882346987304716E-5"/>
    <s v="CohortAvg"/>
    <n v="0"/>
    <n v="-21182.86"/>
    <n v="-8196.27"/>
    <n v="7576.15"/>
    <n v="0"/>
    <n v="0.05"/>
    <n v="-4847.17"/>
    <n v="-41.62"/>
    <n v="403433.11"/>
    <n v="9.4168000000000002E-2"/>
    <n v="1.0118"/>
    <n v="9.5278000000000002E-2"/>
    <s v="CohortTrend+Seasonal(1.012)"/>
    <n v="38438.269999999997"/>
    <n v="39336.46"/>
    <n v="-898.2"/>
    <x v="0"/>
    <n v="0"/>
    <n v="0.78500000000000003"/>
    <n v="0.24"/>
    <n v="0"/>
    <n v="0"/>
    <n v="0"/>
    <n v="39336.46"/>
    <n v="425236.14"/>
    <n v="9.2505000000000004E-2"/>
    <n v="-898.2"/>
    <n v="-898.15"/>
    <n v="0"/>
    <n v="-898.15"/>
    <n v="404331.25"/>
    <s v="Forecast"/>
  </r>
  <r>
    <x v="18"/>
    <x v="3"/>
    <s v="202409"/>
    <n v="31"/>
    <n v="250555.77"/>
    <n v="-7.3956659072631922E-2"/>
    <s v="CohortAvg"/>
    <n v="-2.018207134445503E-2"/>
    <s v="CohortAvg"/>
    <n v="0.21043065540192379"/>
    <s v="CohortAvg"/>
    <n v="3.5782329510388088E-2"/>
    <s v="CohortAvg_NonZero"/>
    <n v="8.2643261110038091E-8"/>
    <s v="CohortAvg"/>
    <n v="0"/>
    <s v="Zero"/>
    <n v="-1.406858614314239E-2"/>
    <s v="CohortAvg"/>
    <n v="-1.095900087905876E-4"/>
    <s v="CohortAvg"/>
    <n v="0"/>
    <n v="-18530.27"/>
    <n v="-5056.7299999999996"/>
    <n v="4393.72"/>
    <n v="0"/>
    <n v="0.02"/>
    <n v="-3524.97"/>
    <n v="-27.46"/>
    <n v="231362.46"/>
    <n v="7.6862E-2"/>
    <n v="1.0118"/>
    <n v="7.7769000000000005E-2"/>
    <s v="CohortTrend+Seasonal(1.012)"/>
    <n v="17992.759999999998"/>
    <n v="18993.439999999999"/>
    <n v="-1000.68"/>
    <x v="0"/>
    <n v="0"/>
    <n v="0.78500000000000003"/>
    <n v="0.24"/>
    <n v="0"/>
    <n v="0"/>
    <n v="0"/>
    <n v="18993.439999999999"/>
    <n v="250555.77"/>
    <n v="7.5804999999999997E-2"/>
    <n v="-1000.68"/>
    <n v="-1000.66"/>
    <n v="0"/>
    <n v="-1000.66"/>
    <n v="232363.12"/>
    <s v="Forecast"/>
  </r>
  <r>
    <x v="18"/>
    <x v="3"/>
    <s v="202410"/>
    <n v="30"/>
    <n v="357412.49"/>
    <n v="-4.8318863092048227E-2"/>
    <s v="CohortAvg"/>
    <n v="-2.000083607026306E-2"/>
    <s v="CohortAvg"/>
    <n v="0.21310240955430779"/>
    <s v="CohortAvg"/>
    <n v="3.7761754425799487E-2"/>
    <s v="CohortAvg_NonZero"/>
    <n v="8.7874987876707731E-7"/>
    <s v="CohortAvg"/>
    <n v="0"/>
    <s v="Zero"/>
    <n v="-1.9390997238483618E-2"/>
    <s v="CohortAvg"/>
    <n v="-1.5690531347775221E-4"/>
    <s v="CohortAvg"/>
    <n v="0"/>
    <n v="-17269.77"/>
    <n v="-7148.55"/>
    <n v="6347.12"/>
    <n v="0"/>
    <n v="0.31"/>
    <n v="-6930.58"/>
    <n v="-56.08"/>
    <n v="339340.99"/>
    <n v="7.1096999999999994E-2"/>
    <n v="1.0118"/>
    <n v="7.1934999999999999E-2"/>
    <s v="CohortTrend+Seasonal(1.012)"/>
    <n v="24410.51"/>
    <n v="25077.93"/>
    <n v="-667.42"/>
    <x v="0"/>
    <n v="0"/>
    <n v="0.78500000000000003"/>
    <n v="0.24"/>
    <n v="0"/>
    <n v="0"/>
    <n v="0"/>
    <n v="25077.93"/>
    <n v="357412.49"/>
    <n v="7.0165000000000005E-2"/>
    <n v="-667.42"/>
    <n v="-667.11"/>
    <n v="0"/>
    <n v="-667.11"/>
    <n v="340008.1"/>
    <s v="Forecast"/>
  </r>
  <r>
    <x v="18"/>
    <x v="3"/>
    <s v="202411"/>
    <n v="29"/>
    <n v="403090.99"/>
    <n v="-5.2226123870552067E-2"/>
    <s v="CohortAvg"/>
    <n v="-2.012628411613435E-2"/>
    <s v="CohortAvg"/>
    <n v="0.22301852042831569"/>
    <s v="CohortAvg"/>
    <n v="2.8767184346294539E-2"/>
    <s v="CohortAvg_NonZero"/>
    <n v="2.6996677893865971E-8"/>
    <s v="CohortAvg"/>
    <n v="0"/>
    <s v="Zero"/>
    <n v="-2.424996201431431E-2"/>
    <s v="CohortAvg"/>
    <n v="-2.2393644162756781E-4"/>
    <s v="CohortAvg"/>
    <n v="0"/>
    <n v="-21051.88"/>
    <n v="-8112.72"/>
    <n v="7491.4"/>
    <n v="0"/>
    <n v="0.01"/>
    <n v="-9774.94"/>
    <n v="-90.27"/>
    <n v="381417.77"/>
    <n v="6.6367999999999996E-2"/>
    <n v="1.0118"/>
    <n v="6.7150000000000001E-2"/>
    <s v="CohortTrend+Seasonal(1.012)"/>
    <n v="25612.36"/>
    <n v="26343.89"/>
    <n v="-731.53"/>
    <x v="0"/>
    <n v="0"/>
    <n v="0.78500000000000003"/>
    <n v="0.24"/>
    <n v="0"/>
    <n v="0"/>
    <n v="0"/>
    <n v="26343.89"/>
    <n v="403090.99"/>
    <n v="6.5354999999999996E-2"/>
    <n v="-731.53"/>
    <n v="-731.52"/>
    <n v="0"/>
    <n v="-731.52"/>
    <n v="382149.29"/>
    <s v="Forecast"/>
  </r>
  <r>
    <x v="18"/>
    <x v="3"/>
    <s v="202412"/>
    <n v="28"/>
    <n v="427294.71"/>
    <n v="-5.0388587713115753E-2"/>
    <s v="CohortAvg"/>
    <n v="-2.061499200748039E-2"/>
    <s v="CohortAvg"/>
    <n v="0.22199953005375089"/>
    <s v="CohortAvg"/>
    <n v="3.3013648896507153E-2"/>
    <s v="CohortAvg_NonZero"/>
    <n v="8.6489429699179641E-7"/>
    <s v="CohortAvg"/>
    <n v="0"/>
    <s v="Zero"/>
    <n v="-4.4492395107090632E-2"/>
    <s v="CohortAvg"/>
    <n v="-4.6155942706848301E-4"/>
    <s v="CohortAvg"/>
    <n v="0"/>
    <n v="-21530.78"/>
    <n v="-8808.68"/>
    <n v="7904.94"/>
    <n v="0"/>
    <n v="0.37"/>
    <n v="-19011.37"/>
    <n v="-197.22"/>
    <n v="404859.82"/>
    <n v="6.8820999999999993E-2"/>
    <n v="1.0118"/>
    <n v="6.9633E-2"/>
    <s v="CohortTrend+Seasonal(1.012)"/>
    <n v="28191.45"/>
    <n v="28785.96"/>
    <n v="-594.51"/>
    <x v="0"/>
    <n v="0"/>
    <n v="0.78500000000000003"/>
    <n v="0.24"/>
    <n v="0"/>
    <n v="0"/>
    <n v="0"/>
    <n v="28785.96"/>
    <n v="427294.71"/>
    <n v="6.7367999999999997E-2"/>
    <n v="-594.51"/>
    <n v="-594.14"/>
    <n v="0"/>
    <n v="-594.14"/>
    <n v="405453.97"/>
    <s v="Forecast"/>
  </r>
  <r>
    <x v="18"/>
    <x v="3"/>
    <s v="202501"/>
    <n v="27"/>
    <n v="746905.57"/>
    <n v="-5.2592019395472367E-2"/>
    <s v="CohortAvg"/>
    <n v="-2.0834244539902382E-2"/>
    <s v="CohortAvg"/>
    <n v="0.22496379999843991"/>
    <s v="CohortAvg"/>
    <n v="1.416200504758724E-2"/>
    <s v="CohortAvg_NonZero"/>
    <n v="1.5203704412467739E-5"/>
    <s v="CohortAvg"/>
    <n v="0"/>
    <s v="Zero"/>
    <n v="-4.3288527759939861E-2"/>
    <s v="CohortAvg"/>
    <n v="-4.6040077974317961E-4"/>
    <s v="CohortAvg"/>
    <n v="0"/>
    <n v="-39281.269999999997"/>
    <n v="-15561.21"/>
    <n v="14002.23"/>
    <n v="0"/>
    <n v="11.36"/>
    <n v="-32332.44"/>
    <n v="-343.88"/>
    <n v="706053.96"/>
    <n v="7.2255E-2"/>
    <n v="1.0118"/>
    <n v="7.3107000000000005E-2"/>
    <s v="CohortTrend+Seasonal(1.012)"/>
    <n v="51617.41"/>
    <n v="52452.160000000003"/>
    <n v="-834.75"/>
    <x v="0"/>
    <n v="0"/>
    <n v="0.78500000000000003"/>
    <n v="0.24"/>
    <n v="0"/>
    <n v="0"/>
    <n v="0"/>
    <n v="52452.160000000003"/>
    <n v="746905.57"/>
    <n v="7.0225999999999997E-2"/>
    <n v="-834.75"/>
    <n v="-823.39"/>
    <n v="0"/>
    <n v="-823.39"/>
    <n v="706877.35"/>
    <s v="Forecast"/>
  </r>
  <r>
    <x v="18"/>
    <x v="3"/>
    <s v="202502"/>
    <n v="26"/>
    <n v="795068.39"/>
    <n v="-5.337546695766357E-2"/>
    <s v="CohortAvg"/>
    <n v="-1.9140903469135159E-2"/>
    <s v="CohortAvg"/>
    <n v="0.22670250552942131"/>
    <s v="CohortAvg"/>
    <n v="1.9518047249905541E-2"/>
    <s v="CohortAvg_NonZero"/>
    <n v="3.899658335395349E-4"/>
    <s v="CohortAvg"/>
    <n v="0"/>
    <s v="Zero"/>
    <n v="-9.2154389804719294E-2"/>
    <s v="CohortAvg"/>
    <n v="-1.198300624482974E-3"/>
    <s v="CohortAvg"/>
    <n v="0"/>
    <n v="-42437.15"/>
    <n v="-15218.33"/>
    <n v="15020.33"/>
    <n v="0"/>
    <n v="310.05"/>
    <n v="-73269.039999999994"/>
    <n v="-952.73"/>
    <n v="752123.19"/>
    <n v="7.0717000000000002E-2"/>
    <n v="1.0118"/>
    <n v="7.1550000000000002E-2"/>
    <s v="CohortTrend+Seasonal(1.012)"/>
    <n v="53814.69"/>
    <n v="54483.97"/>
    <n v="-669.29"/>
    <x v="0"/>
    <n v="0"/>
    <n v="0.78500000000000003"/>
    <n v="0.24"/>
    <n v="0"/>
    <n v="0"/>
    <n v="0"/>
    <n v="54483.97"/>
    <n v="795068.39"/>
    <n v="6.8527000000000005E-2"/>
    <n v="-669.29"/>
    <n v="-359.24"/>
    <n v="0"/>
    <n v="-359.24"/>
    <n v="752482.43"/>
    <s v="Forecast"/>
  </r>
  <r>
    <x v="18"/>
    <x v="3"/>
    <s v="202503"/>
    <n v="25"/>
    <n v="1083729.52"/>
    <n v="-4.5521036505024287E-2"/>
    <s v="CohortAvg"/>
    <n v="-2.1959002913298421E-2"/>
    <s v="CohortAvg"/>
    <n v="0.25478596140442172"/>
    <s v="CohortAvg"/>
    <n v="4.6176837495393924E-3"/>
    <s v="CohortAvg_NonZero"/>
    <n v="9.2676320098574427E-9"/>
    <s v="CohortAvg"/>
    <n v="0"/>
    <s v="Zero"/>
    <n v="0"/>
    <s v="CohortAvg"/>
    <n v="0"/>
    <s v="CohortAvg"/>
    <n v="0"/>
    <n v="-49332.49"/>
    <n v="-23797.62"/>
    <n v="23009.919999999998"/>
    <n v="0"/>
    <n v="0.01"/>
    <n v="0"/>
    <n v="0"/>
    <n v="1033609.32"/>
    <n v="7.8861000000000001E-2"/>
    <n v="1.0118"/>
    <n v="7.9791000000000001E-2"/>
    <s v="CohortTrend+Seasonal(1.012)"/>
    <n v="82472.28"/>
    <n v="81892.62"/>
    <n v="579.66"/>
    <x v="0"/>
    <n v="0"/>
    <n v="0.78500000000000003"/>
    <n v="0.24"/>
    <n v="0"/>
    <n v="0"/>
    <n v="0"/>
    <n v="81892.62"/>
    <n v="1083729.52"/>
    <n v="7.5565999999999994E-2"/>
    <n v="579.66"/>
    <n v="579.66999999999996"/>
    <n v="0"/>
    <n v="579.66999999999996"/>
    <n v="1033029.65"/>
    <s v="Forecast"/>
  </r>
  <r>
    <x v="18"/>
    <x v="3"/>
    <s v="202504"/>
    <n v="24"/>
    <n v="828124.36"/>
    <n v="-5.5772066495757888E-2"/>
    <s v="CohortAvg"/>
    <n v="-2.2021586130423789E-2"/>
    <s v="CohortAvg"/>
    <n v="0.25069215754099522"/>
    <s v="CohortAvg"/>
    <n v="2.1791689037598898E-3"/>
    <s v="CohortAvg_NonZero"/>
    <n v="7.3056986450311783E-9"/>
    <s v="CohortAvg"/>
    <n v="0"/>
    <s v="Zero"/>
    <n v="0"/>
    <s v="CohortAvg"/>
    <n v="0"/>
    <s v="CohortAvg"/>
    <n v="0"/>
    <n v="-46186.21"/>
    <n v="-18236.61"/>
    <n v="17300.36"/>
    <n v="0"/>
    <n v="0.01"/>
    <n v="0"/>
    <n v="0"/>
    <n v="781001.9"/>
    <n v="7.7914999999999998E-2"/>
    <n v="1.0118"/>
    <n v="7.8834000000000001E-2"/>
    <s v="CohortTrend+Seasonal(1.012)"/>
    <n v="61569.49"/>
    <n v="61582.32"/>
    <n v="-12.83"/>
    <x v="0"/>
    <n v="0"/>
    <n v="0.78500000000000003"/>
    <n v="0.24"/>
    <n v="0"/>
    <n v="0"/>
    <n v="0"/>
    <n v="61582.32"/>
    <n v="828124.36"/>
    <n v="7.4364E-2"/>
    <n v="-12.83"/>
    <n v="-12.83"/>
    <n v="0"/>
    <n v="-12.83"/>
    <n v="781014.72"/>
    <s v="Forecast"/>
  </r>
  <r>
    <x v="18"/>
    <x v="3"/>
    <s v="202505"/>
    <n v="23"/>
    <n v="1084897.6399999999"/>
    <n v="-4.9393617756064948E-2"/>
    <s v="CohortAvg"/>
    <n v="-2.151564552945898E-2"/>
    <s v="CohortAvg"/>
    <n v="0.24348554902666861"/>
    <s v="CohortAvg"/>
    <n v="0"/>
    <s v="CohortAvg_NoData_ERROR"/>
    <n v="0"/>
    <s v="CohortAvg"/>
    <n v="0"/>
    <s v="Zero"/>
    <n v="0"/>
    <s v="CohortAvg"/>
    <n v="0"/>
    <s v="CohortAvg"/>
    <n v="0"/>
    <n v="-53587.02"/>
    <n v="-23342.27"/>
    <n v="22013.07"/>
    <n v="0"/>
    <n v="0"/>
    <n v="0"/>
    <n v="0"/>
    <n v="1029981.42"/>
    <n v="8.1855999999999998E-2"/>
    <n v="1.0118"/>
    <n v="8.2821000000000006E-2"/>
    <s v="CohortTrend+Seasonal(1.012)"/>
    <n v="85304.11"/>
    <n v="84001.9"/>
    <n v="1302.21"/>
    <x v="0"/>
    <n v="0"/>
    <n v="0.78500000000000003"/>
    <n v="0.24"/>
    <n v="0"/>
    <n v="0"/>
    <n v="0"/>
    <n v="84001.9"/>
    <n v="1084897.6399999999"/>
    <n v="7.7427999999999997E-2"/>
    <n v="1302.21"/>
    <n v="1302.21"/>
    <n v="0"/>
    <n v="1302.21"/>
    <n v="1028679.21"/>
    <s v="Forecast"/>
  </r>
  <r>
    <x v="18"/>
    <x v="3"/>
    <s v="202506"/>
    <n v="22"/>
    <n v="1180038.22"/>
    <n v="-5.3657911394900323E-2"/>
    <s v="CohortAvg"/>
    <n v="-2.26065748332187E-2"/>
    <s v="CohortAvg"/>
    <n v="0.25589377183285039"/>
    <s v="CohortAvg"/>
    <n v="0"/>
    <s v="CohortAvg_NoData_ERROR"/>
    <n v="0"/>
    <s v="CohortAvg"/>
    <n v="0"/>
    <s v="Zero"/>
    <n v="0"/>
    <s v="CohortAvg"/>
    <n v="0"/>
    <s v="CohortAvg"/>
    <n v="0"/>
    <n v="-63318.39"/>
    <n v="-26676.62"/>
    <n v="25163.7"/>
    <n v="0"/>
    <n v="0"/>
    <n v="0"/>
    <n v="0"/>
    <n v="1115206.9099999999"/>
    <n v="8.0482999999999999E-2"/>
    <n v="1.0118"/>
    <n v="8.1432000000000004E-2"/>
    <s v="CohortTrend+Seasonal(1.012)"/>
    <n v="90813.34"/>
    <n v="89330.36"/>
    <n v="1482.99"/>
    <x v="0"/>
    <n v="0"/>
    <n v="0.78500000000000003"/>
    <n v="0.24"/>
    <n v="0"/>
    <n v="0"/>
    <n v="0"/>
    <n v="89330.36"/>
    <n v="1180038.22"/>
    <n v="7.5701000000000004E-2"/>
    <n v="1482.99"/>
    <n v="1482.99"/>
    <n v="0"/>
    <n v="1482.99"/>
    <n v="1113723.92"/>
    <s v="Forecast"/>
  </r>
  <r>
    <x v="18"/>
    <x v="3"/>
    <s v="202507"/>
    <n v="21"/>
    <n v="1706326.24"/>
    <n v="-3.965079380860935E-2"/>
    <s v="CohortAvg"/>
    <n v="-2.381068086796484E-2"/>
    <s v="CohortAvg"/>
    <n v="0.25763725637773333"/>
    <s v="CohortAvg"/>
    <n v="0"/>
    <s v="CohortAvg_NoData_ERROR"/>
    <n v="0"/>
    <s v="CohortAvg"/>
    <n v="0"/>
    <s v="Zero"/>
    <n v="0"/>
    <s v="CohortAvg"/>
    <n v="0"/>
    <s v="CohortAvg"/>
    <n v="0"/>
    <n v="-67657.19"/>
    <n v="-40628.79"/>
    <n v="36634.43"/>
    <n v="0"/>
    <n v="0"/>
    <n v="0"/>
    <n v="0"/>
    <n v="1634674.69"/>
    <n v="7.5983999999999996E-2"/>
    <n v="1.0118"/>
    <n v="7.6880000000000004E-2"/>
    <s v="CohortTrend+Seasonal(1.012)"/>
    <n v="125674.25"/>
    <n v="121523.68"/>
    <n v="4150.57"/>
    <x v="0"/>
    <n v="0"/>
    <n v="0.78500000000000003"/>
    <n v="0.24"/>
    <n v="0"/>
    <n v="0"/>
    <n v="0"/>
    <n v="121523.68"/>
    <n v="1706326.24"/>
    <n v="7.1219000000000005E-2"/>
    <n v="4150.57"/>
    <n v="4150.57"/>
    <n v="0"/>
    <n v="4150.57"/>
    <n v="1630524.12"/>
    <s v="Forecast"/>
  </r>
  <r>
    <x v="18"/>
    <x v="3"/>
    <s v="202508"/>
    <n v="20"/>
    <n v="1978829.22"/>
    <n v="-3.9743805408472048E-2"/>
    <s v="CohortAvg"/>
    <n v="-1.8226648533613148E-2"/>
    <s v="CohortAvg"/>
    <n v="0.24855740557836081"/>
    <s v="CohortAvg"/>
    <n v="0"/>
    <s v="CohortAvg_NoData_ERROR"/>
    <n v="0"/>
    <s v="CohortAvg"/>
    <n v="0"/>
    <s v="Zero"/>
    <n v="0"/>
    <s v="CohortAvg"/>
    <n v="0"/>
    <s v="CohortAvg"/>
    <n v="0"/>
    <n v="-78646.2"/>
    <n v="-36067.42"/>
    <n v="40987.72"/>
    <n v="0"/>
    <n v="0"/>
    <n v="0"/>
    <n v="0"/>
    <n v="1905103.32"/>
    <n v="7.1485999999999994E-2"/>
    <n v="1.0118"/>
    <n v="7.2329000000000004E-2"/>
    <s v="CohortTrend+Seasonal(1.012)"/>
    <n v="137793.69"/>
    <n v="141621.45000000001"/>
    <n v="-3827.76"/>
    <x v="0"/>
    <n v="0"/>
    <n v="0.78500000000000003"/>
    <n v="0.24"/>
    <n v="0"/>
    <n v="0"/>
    <n v="0"/>
    <n v="141621.45000000001"/>
    <n v="1978829.22"/>
    <n v="7.1568000000000007E-2"/>
    <n v="-3827.76"/>
    <n v="-3827.76"/>
    <n v="0"/>
    <n v="-3827.76"/>
    <n v="1908931.08"/>
    <s v="Forecast"/>
  </r>
  <r>
    <x v="18"/>
    <x v="3"/>
    <s v="202509"/>
    <n v="19"/>
    <n v="114086.13"/>
    <n v="-0.25524011663062618"/>
    <s v="CohortAvg"/>
    <n v="-3.734161155512476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9119.360000000001"/>
    <n v="-4260.16"/>
    <n v="4753.59"/>
    <n v="0"/>
    <n v="0"/>
    <n v="0"/>
    <n v="0"/>
    <n v="85460.2"/>
    <n v="7.1835999999999997E-2"/>
    <n v="1.0118"/>
    <n v="7.2682999999999998E-2"/>
    <s v="DonorCohort:202101+Seasonal(1.012)"/>
    <n v="6211.5"/>
    <n v="7009.97"/>
    <n v="-798.47"/>
    <x v="0"/>
    <n v="0"/>
    <n v="0.78500000000000003"/>
    <n v="0.24"/>
    <n v="0"/>
    <n v="0"/>
    <n v="0"/>
    <n v="7009.97"/>
    <n v="114086.13"/>
    <n v="6.1445E-2"/>
    <n v="-798.47"/>
    <n v="-798.47"/>
    <n v="0"/>
    <n v="-798.47"/>
    <n v="86258.67"/>
    <s v="Forecast"/>
  </r>
  <r>
    <x v="18"/>
    <x v="4"/>
    <s v="202101"/>
    <n v="73"/>
    <n v="189634.95"/>
    <n v="-0.13744486979980031"/>
    <s v="CohortAvg"/>
    <n v="-1.1527794426651619E-2"/>
    <s v="CohortAvg"/>
    <n v="0.13185796620765611"/>
    <s v="CohortAvg"/>
    <n v="4.5894549863806637E-2"/>
    <s v="CohortAvg_NonZero"/>
    <n v="0"/>
    <s v="CohortAvg"/>
    <n v="0"/>
    <s v="Zero"/>
    <n v="0"/>
    <s v="CohortAvg"/>
    <n v="0"/>
    <s v="CohortAvg"/>
    <n v="0"/>
    <n v="-26064.35"/>
    <n v="-2186.0700000000002"/>
    <n v="2083.7399999999998"/>
    <n v="0"/>
    <n v="0"/>
    <n v="0"/>
    <n v="0"/>
    <n v="163468.26"/>
    <n v="0.170101"/>
    <n v="0.93020000000000003"/>
    <n v="0.15823000000000001"/>
    <s v="CohortAvg+Seasonal(0.930)"/>
    <n v="25865.51"/>
    <n v="29020.959999999999"/>
    <n v="-3155.45"/>
    <x v="0"/>
    <n v="0"/>
    <n v="0.78500000000000003"/>
    <n v="0.24"/>
    <n v="0"/>
    <n v="0"/>
    <n v="0"/>
    <n v="29020.959999999999"/>
    <n v="189634.95"/>
    <n v="0.15303600000000001"/>
    <n v="-3155.45"/>
    <n v="-3155.45"/>
    <n v="0"/>
    <n v="-3155.45"/>
    <n v="166623.71"/>
    <s v="Forecast"/>
  </r>
  <r>
    <x v="18"/>
    <x v="4"/>
    <s v="202201"/>
    <n v="55"/>
    <n v="14955.79"/>
    <n v="-9.8900549328792511E-2"/>
    <s v="CohortAvg"/>
    <n v="-9.5724049606608838E-3"/>
    <s v="CohortAvg"/>
    <n v="9.9597690507269007E-2"/>
    <s v="CohortAvg"/>
    <n v="3.6339471717333663E-2"/>
    <s v="CohortAvg_NonZero"/>
    <n v="2.317484448682131E-10"/>
    <s v="CohortAvg"/>
    <n v="0"/>
    <s v="Zero"/>
    <n v="0"/>
    <s v="CohortAvg"/>
    <n v="0"/>
    <s v="CohortAvg"/>
    <n v="0"/>
    <n v="-1479.14"/>
    <n v="-143.16"/>
    <n v="124.13"/>
    <n v="0"/>
    <n v="0"/>
    <n v="0"/>
    <n v="0"/>
    <n v="13457.62"/>
    <n v="3.9107999999999997E-2"/>
    <n v="0.93020000000000003"/>
    <n v="3.6379000000000002E-2"/>
    <s v="CohortAvg+Seasonal(0.930)"/>
    <n v="489.58"/>
    <n v="526.33000000000004"/>
    <n v="-36.76"/>
    <x v="0"/>
    <n v="0"/>
    <n v="0.78500000000000003"/>
    <n v="0.24"/>
    <n v="0"/>
    <n v="0"/>
    <n v="0"/>
    <n v="526.33000000000004"/>
    <n v="14955.79"/>
    <n v="3.5193000000000002E-2"/>
    <n v="-36.76"/>
    <n v="-36.76"/>
    <n v="0"/>
    <n v="-36.76"/>
    <n v="13494.38"/>
    <s v="Forecast"/>
  </r>
  <r>
    <x v="18"/>
    <x v="4"/>
    <s v="202405"/>
    <n v="35"/>
    <n v="3549.22"/>
    <n v="-1.6751506572558542E-2"/>
    <s v="CohortAvg"/>
    <n v="-1.046051222853317E-2"/>
    <s v="CohortAvg"/>
    <n v="0.12157195247562851"/>
    <s v="CohortAvg"/>
    <n v="0"/>
    <s v="CohortAvg_NoData_ERROR"/>
    <n v="0"/>
    <s v="CohortAvg"/>
    <n v="0"/>
    <s v="Zero"/>
    <n v="0"/>
    <s v="CohortAvg"/>
    <n v="0"/>
    <s v="CohortAvg"/>
    <n v="0"/>
    <n v="-59.45"/>
    <n v="-37.130000000000003"/>
    <n v="35.96"/>
    <n v="0"/>
    <n v="0"/>
    <n v="0"/>
    <n v="0"/>
    <n v="3488.6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3549.22"/>
    <n v="0"/>
    <n v="0"/>
    <n v="0"/>
    <n v="0"/>
    <n v="0"/>
    <n v="3488.6"/>
    <s v="Forecast"/>
  </r>
  <r>
    <x v="18"/>
    <x v="4"/>
    <s v="202407"/>
    <n v="33"/>
    <n v="1155.52"/>
    <n v="-5.3620080976737289E-2"/>
    <s v="CohortAvg"/>
    <n v="-1.04972290682292E-2"/>
    <s v="CohortAvg"/>
    <n v="0.1204580203367767"/>
    <s v="CohortAvg"/>
    <n v="0"/>
    <s v="CohortAvg_NoData_ERROR"/>
    <n v="0"/>
    <s v="CohortAvg"/>
    <n v="0"/>
    <s v="Zero"/>
    <n v="0"/>
    <s v="CohortAvg"/>
    <n v="0"/>
    <s v="CohortAvg"/>
    <n v="0"/>
    <n v="-61.96"/>
    <n v="-12.13"/>
    <n v="11.6"/>
    <n v="0"/>
    <n v="0"/>
    <n v="0"/>
    <n v="0"/>
    <n v="1093.03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1155.52"/>
    <n v="0"/>
    <n v="0"/>
    <n v="0"/>
    <n v="0"/>
    <n v="0"/>
    <n v="1093.03"/>
    <s v="Forecast"/>
  </r>
  <r>
    <x v="18"/>
    <x v="4"/>
    <s v="202409"/>
    <n v="31"/>
    <n v="4595.8"/>
    <n v="-4.3479275416788199E-2"/>
    <s v="CohortAvg"/>
    <n v="-1.0466881007480789E-2"/>
    <s v="CohortAvg"/>
    <n v="0.1208177913690423"/>
    <s v="CohortAvg"/>
    <n v="0"/>
    <s v="CohortAvg_NoData_ERROR"/>
    <n v="0"/>
    <s v="CohortAvg"/>
    <n v="0"/>
    <s v="Zero"/>
    <n v="0"/>
    <s v="CohortAvg"/>
    <n v="0"/>
    <s v="CohortAvg"/>
    <n v="0"/>
    <n v="-199.82"/>
    <n v="-48.1"/>
    <n v="46.27"/>
    <n v="0"/>
    <n v="0"/>
    <n v="0"/>
    <n v="0"/>
    <n v="4394.1400000000003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4595.8"/>
    <n v="0"/>
    <n v="0"/>
    <n v="0"/>
    <n v="0"/>
    <n v="0"/>
    <n v="4394.1400000000003"/>
    <s v="Forecast"/>
  </r>
  <r>
    <x v="18"/>
    <x v="4"/>
    <s v="202504"/>
    <n v="24"/>
    <n v="3684.68"/>
    <n v="-1.2982875528959719E-2"/>
    <s v="CohortAvg"/>
    <n v="-1.043026791134739E-2"/>
    <s v="CohortAvg"/>
    <n v="0.1256018881549224"/>
    <s v="CohortAvg"/>
    <n v="0"/>
    <s v="CohortAvg_NoData_ERROR"/>
    <n v="0"/>
    <s v="CohortAvg"/>
    <n v="0"/>
    <s v="Zero"/>
    <n v="0"/>
    <s v="CohortAvg"/>
    <n v="0"/>
    <s v="CohortAvg"/>
    <n v="0"/>
    <n v="-47.84"/>
    <n v="-38.43"/>
    <n v="38.57"/>
    <n v="0"/>
    <n v="0"/>
    <n v="0"/>
    <n v="0"/>
    <n v="3636.98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3684.68"/>
    <n v="0"/>
    <n v="0"/>
    <n v="0"/>
    <n v="0"/>
    <n v="0"/>
    <n v="3636.98"/>
    <s v="Forecast"/>
  </r>
  <r>
    <x v="18"/>
    <x v="4"/>
    <s v="202507"/>
    <n v="21"/>
    <n v="8329.59"/>
    <n v="-1.165349410322504E-2"/>
    <s v="CohortAvg"/>
    <n v="-1.1519373325948381E-2"/>
    <s v="CohortAvg"/>
    <n v="0.13707143437674679"/>
    <s v="CohortAvg"/>
    <n v="0"/>
    <s v="CohortAvg_NoData_ERROR"/>
    <n v="0"/>
    <s v="CohortAvg"/>
    <n v="0"/>
    <s v="Zero"/>
    <n v="0"/>
    <s v="CohortAvg"/>
    <n v="0"/>
    <s v="CohortAvg"/>
    <n v="0"/>
    <n v="-97.07"/>
    <n v="-95.95"/>
    <n v="95.15"/>
    <n v="0"/>
    <n v="0"/>
    <n v="0"/>
    <n v="0"/>
    <n v="8231.7099999999991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8329.59"/>
    <n v="0"/>
    <n v="0"/>
    <n v="0"/>
    <n v="0"/>
    <n v="0"/>
    <n v="8231.7099999999991"/>
    <s v="Forecast"/>
  </r>
  <r>
    <x v="18"/>
    <x v="4"/>
    <s v="202508"/>
    <n v="20"/>
    <n v="29994.35"/>
    <n v="-7.5915097734573266E-3"/>
    <s v="CohortAvg"/>
    <n v="-3.9072436939022502E-3"/>
    <s v="CohortAvg"/>
    <n v="0.13621414868491941"/>
    <s v="CohortAvg"/>
    <n v="0"/>
    <s v="CohortAvg_NoData_ERROR"/>
    <n v="0"/>
    <s v="CohortAvg"/>
    <n v="0"/>
    <s v="Zero"/>
    <n v="0"/>
    <s v="CohortAvg"/>
    <n v="0"/>
    <s v="CohortAvg"/>
    <n v="0"/>
    <n v="-227.7"/>
    <n v="-117.2"/>
    <n v="340.47"/>
    <n v="0"/>
    <n v="0"/>
    <n v="0"/>
    <n v="0"/>
    <n v="29989.93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29994.35"/>
    <n v="0"/>
    <n v="0"/>
    <n v="0"/>
    <n v="0"/>
    <n v="0"/>
    <n v="29989.93"/>
    <s v="Forecast"/>
  </r>
  <r>
    <x v="18"/>
    <x v="4"/>
    <s v="202509"/>
    <n v="19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3020000000000003"/>
    <n v="0"/>
    <s v="Manual+Seasonal(0.930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19"/>
    <x v="0"/>
    <s v="201912"/>
    <n v="89"/>
    <n v="298946.45"/>
    <n v="-4.9815363457707924E-4"/>
    <s v="CohortAvg"/>
    <n v="1.4785423680954909E-3"/>
    <s v="CohortAvg"/>
    <n v="0"/>
    <s v="CohortAvg"/>
    <n v="2.8939444316986029E-2"/>
    <s v="CohortAvg_NonZero"/>
    <n v="3.502327751579162E-6"/>
    <s v="CohortAvg"/>
    <n v="0"/>
    <s v="Zero"/>
    <n v="0"/>
    <s v="CohortAvg"/>
    <n v="0"/>
    <s v="CohortAvg"/>
    <n v="0"/>
    <n v="-148.91999999999999"/>
    <n v="442"/>
    <n v="0"/>
    <n v="0"/>
    <n v="1.05"/>
    <n v="0"/>
    <n v="0"/>
    <n v="298354.46999999997"/>
    <n v="0.99668500000000004"/>
    <n v="0.91549999999999998"/>
    <n v="0.91251300000000002"/>
    <s v="CohortAvg+Seasonal(0.916)"/>
    <n v="272252.40000000002"/>
    <n v="293116.03999999998"/>
    <n v="-20863.64"/>
    <x v="0"/>
    <n v="0"/>
    <n v="0.78500000000000003"/>
    <n v="0.24"/>
    <n v="0"/>
    <n v="0"/>
    <n v="0"/>
    <n v="293116.03999999998"/>
    <n v="298946.45"/>
    <n v="0.98049699999999995"/>
    <n v="-20863.64"/>
    <n v="-20862.599999999999"/>
    <n v="0"/>
    <n v="-20862.599999999999"/>
    <n v="319217.07"/>
    <s v="Forecast"/>
  </r>
  <r>
    <x v="19"/>
    <x v="0"/>
    <s v="202001"/>
    <n v="88"/>
    <n v="43176.57"/>
    <n v="3.856690653055269E-2"/>
    <s v="CohortAvg"/>
    <n v="1.6549724249080089E-3"/>
    <s v="CohortAvg"/>
    <n v="0"/>
    <s v="CohortAvg"/>
    <n v="1.3068570229541389E-2"/>
    <s v="CohortAvg_NonZero"/>
    <n v="0"/>
    <s v="CohortAvg"/>
    <n v="0"/>
    <s v="Zero"/>
    <n v="0"/>
    <s v="CohortAvg"/>
    <n v="0"/>
    <s v="CohortAvg"/>
    <n v="0"/>
    <n v="1665.19"/>
    <n v="71.459999999999994"/>
    <n v="0"/>
    <n v="0"/>
    <n v="0"/>
    <n v="0"/>
    <n v="0"/>
    <n v="41439.919999999998"/>
    <n v="0.99839100000000003"/>
    <n v="0.91549999999999998"/>
    <n v="0.91407499999999997"/>
    <s v="CohortAvg+Seasonal(0.916)"/>
    <n v="37879.199999999997"/>
    <n v="42406.239999999998"/>
    <n v="-4527.04"/>
    <x v="0"/>
    <n v="0"/>
    <n v="0.78500000000000003"/>
    <n v="0.24"/>
    <n v="0"/>
    <n v="0"/>
    <n v="0"/>
    <n v="42406.239999999998"/>
    <n v="43176.57"/>
    <n v="0.982159"/>
    <n v="-4527.04"/>
    <n v="-4527.04"/>
    <n v="0"/>
    <n v="-4527.04"/>
    <n v="45966.97"/>
    <s v="Forecast"/>
  </r>
  <r>
    <x v="19"/>
    <x v="0"/>
    <s v="202101"/>
    <n v="76"/>
    <n v="665800.07999999996"/>
    <n v="-5.2514430773244252E-3"/>
    <s v="CohortAvg"/>
    <n v="-2.0561921181341748E-3"/>
    <s v="CohortAvg"/>
    <n v="0"/>
    <s v="CohortAvg"/>
    <n v="1.5412747969716671E-2"/>
    <s v="CohortAvg_NonZero"/>
    <n v="2.8915147399327781E-6"/>
    <s v="CohortAvg"/>
    <n v="0"/>
    <s v="Zero"/>
    <n v="0"/>
    <s v="CohortAvg"/>
    <n v="0"/>
    <s v="CohortAvg"/>
    <n v="0"/>
    <n v="-3496.41"/>
    <n v="-1369.01"/>
    <n v="0"/>
    <n v="0"/>
    <n v="1.93"/>
    <n v="0"/>
    <n v="0"/>
    <n v="660932.74"/>
    <n v="0.94492699999999996"/>
    <n v="0.91549999999999998"/>
    <n v="0.86512599999999995"/>
    <s v="CohortAvg+Seasonal(0.916)"/>
    <n v="571789.93999999994"/>
    <n v="618841.25"/>
    <n v="-47051.31"/>
    <x v="0"/>
    <n v="0"/>
    <n v="0.78500000000000003"/>
    <n v="0.24"/>
    <n v="0"/>
    <n v="0"/>
    <n v="0"/>
    <n v="618841.25"/>
    <n v="665800.07999999996"/>
    <n v="0.92947000000000002"/>
    <n v="-47051.31"/>
    <n v="-47049.39"/>
    <n v="0"/>
    <n v="-47049.39"/>
    <n v="707982.12"/>
    <s v="Forecast"/>
  </r>
  <r>
    <x v="19"/>
    <x v="0"/>
    <s v="202201"/>
    <n v="56"/>
    <n v="82053.240000000005"/>
    <n v="-0.115208287172132"/>
    <s v="CohortAvg"/>
    <n v="-5.9189149671841799E-3"/>
    <s v="CohortAvg"/>
    <n v="2.5053377259472709E-2"/>
    <s v="CohortAvg"/>
    <n v="4.2708192110031157E-2"/>
    <s v="CohortAvg_NonZero"/>
    <n v="4.5461518910069089E-3"/>
    <s v="CohortAvg"/>
    <n v="0"/>
    <s v="Zero"/>
    <n v="-4.3717042181944007E-6"/>
    <s v="CohortAvg"/>
    <n v="-9.6313483330435377E-8"/>
    <s v="CohortAvg"/>
    <n v="0"/>
    <n v="-9453.2099999999991"/>
    <n v="-485.67"/>
    <n v="171.31"/>
    <n v="0"/>
    <n v="373.03"/>
    <n v="-0.36"/>
    <n v="-0.01"/>
    <n v="71912.639999999999"/>
    <n v="0.58491400000000004"/>
    <n v="0.91549999999999998"/>
    <n v="0.53551700000000002"/>
    <s v="CohortAvg+Seasonal(0.916)"/>
    <n v="38510.449999999997"/>
    <n v="47212.49"/>
    <n v="-8702.0300000000007"/>
    <x v="0"/>
    <n v="0"/>
    <n v="0.78500000000000003"/>
    <n v="0.24"/>
    <n v="0"/>
    <n v="0"/>
    <n v="0"/>
    <n v="47212.49"/>
    <n v="82053.240000000005"/>
    <n v="0.57538800000000001"/>
    <n v="-8702.0300000000007"/>
    <n v="-8329.01"/>
    <n v="0"/>
    <n v="-8329.01"/>
    <n v="80241.649999999994"/>
    <s v="Forecast"/>
  </r>
  <r>
    <x v="19"/>
    <x v="0"/>
    <s v="202301"/>
    <n v="47"/>
    <n v="1180241.1299999999"/>
    <n v="-6.9364239247362777E-2"/>
    <s v="CohortAvg"/>
    <n v="-1.683719709593462E-2"/>
    <s v="CohortAvg"/>
    <n v="0.205958371758998"/>
    <s v="CohortAvg"/>
    <n v="6.6386811989710567E-2"/>
    <s v="CohortAvg_NonZero"/>
    <n v="1.107432026504822E-4"/>
    <s v="CohortAvg"/>
    <n v="0"/>
    <s v="Zero"/>
    <n v="-5.1702184973328943E-3"/>
    <s v="CohortAvg"/>
    <n v="-7.0915410084008981E-5"/>
    <s v="CohortAvg"/>
    <n v="0"/>
    <n v="-81866.53"/>
    <n v="-19871.95"/>
    <n v="20256.71"/>
    <n v="0"/>
    <n v="130.69999999999999"/>
    <n v="-6102.1"/>
    <n v="-83.7"/>
    <n v="1098628.6599999999"/>
    <n v="0.60652799999999996"/>
    <n v="0.91549999999999998"/>
    <n v="0.55530599999999997"/>
    <s v="CohortAvg+Seasonal(0.916)"/>
    <n v="610074.77"/>
    <n v="701932.98"/>
    <n v="-91858.21"/>
    <x v="0"/>
    <n v="0"/>
    <n v="0.78500000000000003"/>
    <n v="0.24"/>
    <n v="0"/>
    <n v="0"/>
    <n v="0"/>
    <n v="701932.98"/>
    <n v="1180241.1299999999"/>
    <n v="0.59473699999999996"/>
    <n v="-91858.21"/>
    <n v="-91727.51"/>
    <n v="0"/>
    <n v="-91727.51"/>
    <n v="1190356.17"/>
    <s v="Forecast"/>
  </r>
  <r>
    <x v="19"/>
    <x v="0"/>
    <s v="202404"/>
    <n v="37"/>
    <n v="160859.45000000001"/>
    <n v="-7.2371370303884644E-2"/>
    <s v="CohortAvg"/>
    <n v="-2.4073509651702681E-2"/>
    <s v="CohortAvg"/>
    <n v="0.25295143831613631"/>
    <s v="CohortAvg"/>
    <n v="0.10965425337569561"/>
    <s v="CohortAvg_NonZero"/>
    <n v="9.4742520353964489E-5"/>
    <s v="CohortAvg"/>
    <n v="0"/>
    <s v="Zero"/>
    <n v="-7.620604177554312E-3"/>
    <s v="CohortAvg"/>
    <n v="-1.6089748265951431E-4"/>
    <s v="CohortAvg"/>
    <n v="0"/>
    <n v="-11641.62"/>
    <n v="-3872.45"/>
    <n v="3390.8"/>
    <n v="0"/>
    <n v="15.24"/>
    <n v="-1225.8499999999999"/>
    <n v="-25.88"/>
    <n v="148720.94"/>
    <n v="0.48060399999999998"/>
    <n v="0.91549999999999998"/>
    <n v="0.44001600000000002"/>
    <s v="CohortTrend+Seasonal(0.916)"/>
    <n v="65439.59"/>
    <n v="74475.649999999994"/>
    <n v="-9036.06"/>
    <x v="0"/>
    <n v="0"/>
    <n v="0.78500000000000003"/>
    <n v="0.24"/>
    <n v="0"/>
    <n v="0"/>
    <n v="0"/>
    <n v="74475.649999999994"/>
    <n v="160859.45000000001"/>
    <n v="0.46298600000000001"/>
    <n v="-9036.06"/>
    <n v="-9020.82"/>
    <n v="0"/>
    <n v="-9020.82"/>
    <n v="157741.76000000001"/>
    <s v="Forecast"/>
  </r>
  <r>
    <x v="19"/>
    <x v="0"/>
    <s v="202405"/>
    <n v="36"/>
    <n v="252748.23"/>
    <n v="-6.0920671978993812E-2"/>
    <s v="CohortAvg"/>
    <n v="-2.4305072848137141E-2"/>
    <s v="CohortAvg"/>
    <n v="0.2615882939401884"/>
    <s v="CohortAvg"/>
    <n v="0.1059082413462524"/>
    <s v="CohortAvg_NonZero"/>
    <n v="1.503380880218676E-4"/>
    <s v="CohortAvg"/>
    <n v="0"/>
    <s v="Zero"/>
    <n v="-1.145594005832566E-2"/>
    <s v="CohortAvg"/>
    <n v="-2.016936545070193E-4"/>
    <s v="CohortAvg"/>
    <n v="0"/>
    <n v="-15397.59"/>
    <n v="-6143.06"/>
    <n v="5509.66"/>
    <n v="0"/>
    <n v="38"/>
    <n v="-2895.47"/>
    <n v="-50.98"/>
    <n v="236679.24"/>
    <n v="0.41349399999999997"/>
    <n v="0.91549999999999998"/>
    <n v="0.37857299999999999"/>
    <s v="CohortTrend+Seasonal(0.916)"/>
    <n v="89600.42"/>
    <n v="100962.51"/>
    <n v="-11362.09"/>
    <x v="0"/>
    <n v="0"/>
    <n v="0.78500000000000003"/>
    <n v="0.24"/>
    <n v="0"/>
    <n v="0"/>
    <n v="0"/>
    <n v="100962.51"/>
    <n v="252748.23"/>
    <n v="0.39945900000000001"/>
    <n v="-11362.09"/>
    <n v="-11324.09"/>
    <n v="0"/>
    <n v="-11324.09"/>
    <n v="248003.34"/>
    <s v="Forecast"/>
  </r>
  <r>
    <x v="19"/>
    <x v="0"/>
    <s v="202406"/>
    <n v="35"/>
    <n v="484051.54"/>
    <n v="-5.5988035108642642E-2"/>
    <s v="CohortAvg"/>
    <n v="-2.546556273044269E-2"/>
    <s v="CohortAvg"/>
    <n v="0.28033452674147458"/>
    <s v="CohortAvg"/>
    <n v="6.6240791329892898E-2"/>
    <s v="CohortAvg_NonZero"/>
    <n v="1.433087728934943E-5"/>
    <s v="CohortAvg"/>
    <n v="0"/>
    <s v="Zero"/>
    <n v="-9.5289643784272748E-3"/>
    <s v="CohortAvg"/>
    <n v="-2.0729924870482871E-4"/>
    <s v="CohortAvg"/>
    <n v="0"/>
    <n v="-27101.09"/>
    <n v="-12326.64"/>
    <n v="11308.03"/>
    <n v="0"/>
    <n v="6.94"/>
    <n v="-4612.51"/>
    <n v="-100.34"/>
    <n v="455924.89"/>
    <n v="0.37257800000000002"/>
    <n v="0.91549999999999998"/>
    <n v="0.341113"/>
    <s v="CohortTrend+Seasonal(0.916)"/>
    <n v="155521.82"/>
    <n v="173920.03"/>
    <n v="-18398.21"/>
    <x v="0"/>
    <n v="0"/>
    <n v="0.78500000000000003"/>
    <n v="0.24"/>
    <n v="0"/>
    <n v="0"/>
    <n v="0"/>
    <n v="173920.03"/>
    <n v="484051.54"/>
    <n v="0.35930099999999998"/>
    <n v="-18398.21"/>
    <n v="-18391.27"/>
    <n v="0"/>
    <n v="-18391.27"/>
    <n v="474316.17"/>
    <s v="Forecast"/>
  </r>
  <r>
    <x v="19"/>
    <x v="0"/>
    <s v="202407"/>
    <n v="34"/>
    <n v="508733.63"/>
    <n v="-5.2832591394980102E-2"/>
    <s v="CohortAvg"/>
    <n v="-2.6783568351809419E-2"/>
    <s v="CohortAvg"/>
    <n v="0.28892287970874653"/>
    <s v="CohortAvg"/>
    <n v="7.3950861588464117E-2"/>
    <s v="CohortAvg_NonZero"/>
    <n v="1.850613104472027E-5"/>
    <s v="CohortAvg"/>
    <n v="0"/>
    <s v="Zero"/>
    <n v="-1.211213001310585E-2"/>
    <s v="CohortAvg"/>
    <n v="-6.4356923995321057E-5"/>
    <s v="CohortAvg"/>
    <n v="0"/>
    <n v="-26877.72"/>
    <n v="-13625.7"/>
    <n v="12248.73"/>
    <n v="0"/>
    <n v="9.41"/>
    <n v="-6161.85"/>
    <n v="-32.74"/>
    <n v="480469.53"/>
    <n v="0.31107499999999999"/>
    <n v="0.91549999999999998"/>
    <n v="0.284804"/>
    <s v="CohortTrend+Seasonal(0.916)"/>
    <n v="136839.60999999999"/>
    <n v="153098.79"/>
    <n v="-16259.18"/>
    <x v="0"/>
    <n v="0"/>
    <n v="0.78500000000000003"/>
    <n v="0.24"/>
    <n v="0"/>
    <n v="0"/>
    <n v="0"/>
    <n v="153098.79"/>
    <n v="508733.63"/>
    <n v="0.30094100000000001"/>
    <n v="-16259.18"/>
    <n v="-16249.77"/>
    <n v="0"/>
    <n v="-16249.77"/>
    <n v="496719.3"/>
    <s v="Forecast"/>
  </r>
  <r>
    <x v="19"/>
    <x v="0"/>
    <s v="202408"/>
    <n v="33"/>
    <n v="370260.54"/>
    <n v="-6.4849408072904388E-2"/>
    <s v="CohortAvg"/>
    <n v="-2.6136560436024581E-2"/>
    <s v="CohortAvg"/>
    <n v="0.27907829676334528"/>
    <s v="CohortAvg"/>
    <n v="9.7434467881315642E-2"/>
    <s v="CohortAvg_NonZero"/>
    <n v="1.2233042804895411E-4"/>
    <s v="CohortAvg"/>
    <n v="0"/>
    <s v="Zero"/>
    <n v="-1.3543355323014679E-2"/>
    <s v="CohortAvg"/>
    <n v="-3.1011362514564141E-4"/>
    <s v="CohortAvg"/>
    <n v="0"/>
    <n v="-24011.18"/>
    <n v="-9677.34"/>
    <n v="8610.9699999999993"/>
    <n v="0"/>
    <n v="45.29"/>
    <n v="-5014.57"/>
    <n v="-114.82"/>
    <n v="345137.7"/>
    <n v="0.28598800000000002"/>
    <n v="0.91549999999999998"/>
    <n v="0.26183499999999998"/>
    <s v="CohortTrend+Seasonal(0.916)"/>
    <n v="90369.279999999999"/>
    <n v="102542.36"/>
    <n v="-12173.08"/>
    <x v="0"/>
    <n v="0"/>
    <n v="0.78500000000000003"/>
    <n v="0.24"/>
    <n v="0"/>
    <n v="0"/>
    <n v="0"/>
    <n v="102542.36"/>
    <n v="370260.54"/>
    <n v="0.276947"/>
    <n v="-12173.08"/>
    <n v="-12127.79"/>
    <n v="0"/>
    <n v="-12127.79"/>
    <n v="357265.49"/>
    <s v="Forecast"/>
  </r>
  <r>
    <x v="19"/>
    <x v="0"/>
    <s v="202409"/>
    <n v="32"/>
    <n v="307291.89"/>
    <n v="-7.0462088183301311E-2"/>
    <s v="CohortAvg"/>
    <n v="-2.9372817630847248E-2"/>
    <s v="CohortAvg"/>
    <n v="0.29638437853055433"/>
    <s v="CohortAvg"/>
    <n v="0.101601304557234"/>
    <s v="CohortAvg_NonZero"/>
    <n v="3.3187460491709299E-4"/>
    <s v="CohortAvg"/>
    <n v="0"/>
    <s v="Zero"/>
    <n v="-1.557320022356044E-2"/>
    <s v="CohortAvg"/>
    <n v="9.8588058574618893E-4"/>
    <s v="CohortAvg"/>
    <n v="0"/>
    <n v="-21652.43"/>
    <n v="-9026.0300000000007"/>
    <n v="7589.71"/>
    <n v="0"/>
    <n v="101.98"/>
    <n v="-4785.5200000000004"/>
    <n v="302.95"/>
    <n v="284101.15999999997"/>
    <n v="0.26793600000000001"/>
    <n v="0.91549999999999998"/>
    <n v="0.245308"/>
    <s v="CohortTrend+Seasonal(0.916)"/>
    <n v="69692.37"/>
    <n v="79697.03"/>
    <n v="-10004.65"/>
    <x v="0"/>
    <n v="0"/>
    <n v="0.78500000000000003"/>
    <n v="0.24"/>
    <n v="0"/>
    <n v="0"/>
    <n v="0"/>
    <n v="79697.03"/>
    <n v="307291.89"/>
    <n v="0.259353"/>
    <n v="-10004.65"/>
    <n v="-9902.67"/>
    <n v="0"/>
    <n v="-9902.67"/>
    <n v="294003.83"/>
    <s v="Forecast"/>
  </r>
  <r>
    <x v="19"/>
    <x v="0"/>
    <s v="202410"/>
    <n v="31"/>
    <n v="484596.73"/>
    <n v="-6.4989604764002798E-2"/>
    <s v="CohortAvg"/>
    <n v="-2.9861432278577411E-2"/>
    <s v="CohortAvg"/>
    <n v="0.29586983358752139"/>
    <s v="CohortAvg"/>
    <n v="9.1280570190215474E-2"/>
    <s v="CohortAvg_NonZero"/>
    <n v="8.4060538664526089E-5"/>
    <s v="CohortAvg"/>
    <n v="0"/>
    <s v="Zero"/>
    <n v="-1.9186502552027019E-2"/>
    <s v="CohortAvg"/>
    <n v="-2.8091388217425361E-4"/>
    <s v="CohortAvg"/>
    <n v="0"/>
    <n v="-31493.75"/>
    <n v="-14470.75"/>
    <n v="11948.13"/>
    <n v="0"/>
    <n v="40.74"/>
    <n v="-9297.7199999999993"/>
    <n v="-136.13"/>
    <n v="450539.62"/>
    <n v="0.25214399999999998"/>
    <n v="0.91549999999999998"/>
    <n v="0.23085"/>
    <s v="CohortTrend+Seasonal(0.916)"/>
    <n v="104007.19"/>
    <n v="118393.37"/>
    <n v="-14386.19"/>
    <x v="0"/>
    <n v="0"/>
    <n v="0.78500000000000003"/>
    <n v="0.24"/>
    <n v="0"/>
    <n v="0"/>
    <n v="0"/>
    <n v="118393.37"/>
    <n v="484596.73"/>
    <n v="0.244313"/>
    <n v="-14386.19"/>
    <n v="-14345.45"/>
    <n v="0"/>
    <n v="-14345.45"/>
    <n v="464885.07"/>
    <s v="Forecast"/>
  </r>
  <r>
    <x v="19"/>
    <x v="0"/>
    <s v="202411"/>
    <n v="30"/>
    <n v="513812.57"/>
    <n v="-6.9600187961865512E-2"/>
    <s v="CohortAvg"/>
    <n v="-3.0859425152562209E-2"/>
    <s v="CohortAvg"/>
    <n v="0.31654426696028848"/>
    <s v="CohortAvg"/>
    <n v="8.1153567408325938E-2"/>
    <s v="CohortAvg_NonZero"/>
    <n v="1.065752323246842E-5"/>
    <s v="CohortAvg"/>
    <n v="0"/>
    <s v="Zero"/>
    <n v="-1.8328241568319921E-2"/>
    <s v="CohortAvg"/>
    <n v="-3.6676616411145552E-4"/>
    <s v="CohortAvg"/>
    <n v="0"/>
    <n v="-35761.449999999997"/>
    <n v="-15855.96"/>
    <n v="13553.7"/>
    <n v="0"/>
    <n v="5.48"/>
    <n v="-9417.2800000000007"/>
    <n v="-188.45"/>
    <n v="475743.38"/>
    <n v="0.24788099999999999"/>
    <n v="0.91549999999999998"/>
    <n v="0.22694700000000001"/>
    <s v="CohortTrend+Seasonal(0.916)"/>
    <n v="107968.43"/>
    <n v="123188.42"/>
    <n v="-15220"/>
    <x v="0"/>
    <n v="0"/>
    <n v="0.78500000000000003"/>
    <n v="0.24"/>
    <n v="0"/>
    <n v="0"/>
    <n v="0"/>
    <n v="123188.42"/>
    <n v="513812.57"/>
    <n v="0.23975399999999999"/>
    <n v="-15220"/>
    <n v="-15214.52"/>
    <n v="0"/>
    <n v="-15214.52"/>
    <n v="490957.9"/>
    <s v="Forecast"/>
  </r>
  <r>
    <x v="19"/>
    <x v="0"/>
    <s v="202412"/>
    <n v="29"/>
    <n v="610204.75"/>
    <n v="-6.5993445279221283E-2"/>
    <s v="CohortAvg"/>
    <n v="-3.2055305666873327E-2"/>
    <s v="CohortAvg"/>
    <n v="0.32611887397695011"/>
    <s v="CohortAvg"/>
    <n v="7.7688077434757433E-2"/>
    <s v="CohortAvg_NonZero"/>
    <n v="3.51945757293385E-5"/>
    <s v="CohortAvg"/>
    <n v="0"/>
    <s v="Zero"/>
    <n v="-3.3070337837737919E-2"/>
    <s v="CohortAvg"/>
    <n v="-4.4025351697240861E-4"/>
    <s v="CohortAvg"/>
    <n v="0"/>
    <n v="-40269.51"/>
    <n v="-19560.3"/>
    <n v="16583.27"/>
    <n v="0"/>
    <n v="21.48"/>
    <n v="-20179.68"/>
    <n v="-268.64"/>
    <n v="566936.74"/>
    <n v="0.259604"/>
    <n v="0.91549999999999998"/>
    <n v="0.23768"/>
    <s v="CohortTrend+Seasonal(0.916)"/>
    <n v="134749.29"/>
    <n v="152413.45000000001"/>
    <n v="-17664.16"/>
    <x v="0"/>
    <n v="0"/>
    <n v="0.78500000000000003"/>
    <n v="0.24"/>
    <n v="0"/>
    <n v="0"/>
    <n v="0"/>
    <n v="152413.45000000001"/>
    <n v="610204.75"/>
    <n v="0.249774"/>
    <n v="-17664.16"/>
    <n v="-17642.689999999999"/>
    <n v="0"/>
    <n v="-17642.689999999999"/>
    <n v="584579.42000000004"/>
    <s v="Forecast"/>
  </r>
  <r>
    <x v="19"/>
    <x v="0"/>
    <s v="202501"/>
    <n v="28"/>
    <n v="787099.78"/>
    <n v="-6.3576145640732495E-2"/>
    <s v="CohortAvg"/>
    <n v="-3.1447130600850449E-2"/>
    <s v="CohortAvg"/>
    <n v="0.33541952642219242"/>
    <s v="CohortAvg"/>
    <n v="6.809599843305203E-2"/>
    <s v="CohortAvg_NonZero"/>
    <n v="8.2847451830174784E-5"/>
    <s v="CohortAvg"/>
    <n v="0"/>
    <s v="Zero"/>
    <n v="-4.6057717104585581E-2"/>
    <s v="CohortAvg"/>
    <n v="-9.0690485869277372E-4"/>
    <s v="CohortAvg"/>
    <n v="0"/>
    <n v="-50040.77"/>
    <n v="-24752.03"/>
    <n v="22000.720000000001"/>
    <n v="0"/>
    <n v="65.209999999999994"/>
    <n v="-36252.019999999997"/>
    <n v="-713.82"/>
    <n v="734242.49"/>
    <n v="0.26464199999999999"/>
    <n v="0.91549999999999998"/>
    <n v="0.24229300000000001"/>
    <s v="CohortTrend+Seasonal(0.916)"/>
    <n v="177901.67"/>
    <n v="199666.87"/>
    <n v="-21765.200000000001"/>
    <x v="0"/>
    <n v="0"/>
    <n v="0.78500000000000003"/>
    <n v="0.24"/>
    <n v="0"/>
    <n v="0"/>
    <n v="0"/>
    <n v="199666.87"/>
    <n v="787099.78"/>
    <n v="0.25367400000000001"/>
    <n v="-21765.200000000001"/>
    <n v="-21699.99"/>
    <n v="0"/>
    <n v="-21699.99"/>
    <n v="755942.48"/>
    <s v="Forecast"/>
  </r>
  <r>
    <x v="19"/>
    <x v="0"/>
    <s v="202502"/>
    <n v="27"/>
    <n v="1290527.44"/>
    <n v="-6.4737370538459113E-2"/>
    <s v="CohortAvg"/>
    <n v="-3.1801028837214793E-2"/>
    <s v="CohortAvg"/>
    <n v="0.35198389169635619"/>
    <s v="CohortAvg"/>
    <n v="4.0058035160722483E-2"/>
    <s v="CohortAvg_NonZero"/>
    <n v="1.183199133172858E-4"/>
    <s v="CohortAvg"/>
    <n v="0"/>
    <s v="Zero"/>
    <n v="-0.1006141741322812"/>
    <s v="CohortAvg"/>
    <n v="-2.175505782578658E-3"/>
    <s v="CohortAvg"/>
    <n v="0"/>
    <n v="-83545.350000000006"/>
    <n v="-41040.1"/>
    <n v="37853.74"/>
    <n v="0"/>
    <n v="152.69999999999999"/>
    <n v="-129845.35"/>
    <n v="-2807.55"/>
    <n v="1203643.03"/>
    <n v="0.25689000000000001"/>
    <n v="0.91549999999999998"/>
    <n v="0.23519499999999999"/>
    <s v="CohortTrend+Seasonal(0.916)"/>
    <n v="283090.43"/>
    <n v="317497.71000000002"/>
    <n v="-34407.279999999999"/>
    <x v="0"/>
    <n v="0"/>
    <n v="0.78500000000000003"/>
    <n v="0.24"/>
    <n v="0"/>
    <n v="0"/>
    <n v="0"/>
    <n v="317497.71000000002"/>
    <n v="1290527.44"/>
    <n v="0.24602199999999999"/>
    <n v="-34407.279999999999"/>
    <n v="-34254.589999999997"/>
    <n v="0"/>
    <n v="-34254.589999999997"/>
    <n v="1237897.6200000001"/>
    <s v="Forecast"/>
  </r>
  <r>
    <x v="19"/>
    <x v="0"/>
    <s v="202503"/>
    <n v="26"/>
    <n v="2257138.14"/>
    <n v="-5.4847924311943227E-2"/>
    <s v="CohortAvg"/>
    <n v="-3.4952643907594623E-2"/>
    <s v="CohortAvg"/>
    <n v="0.425153360842286"/>
    <s v="CohortAvg"/>
    <n v="2.337347755521255E-2"/>
    <s v="CohortAvg_NonZero"/>
    <n v="7.0765754009850941E-6"/>
    <s v="CohortAvg"/>
    <n v="0"/>
    <s v="Zero"/>
    <n v="0"/>
    <s v="CohortAvg"/>
    <n v="0"/>
    <s v="CohortAvg"/>
    <n v="0"/>
    <n v="-123799.34"/>
    <n v="-78892.95"/>
    <n v="79969.16"/>
    <n v="0"/>
    <n v="15.97"/>
    <n v="0"/>
    <n v="0"/>
    <n v="2134399.04"/>
    <n v="0.25532700000000003"/>
    <n v="0.91549999999999998"/>
    <n v="0.233764"/>
    <s v="CohortTrend+Seasonal(0.916)"/>
    <n v="498944.86"/>
    <n v="550534.88"/>
    <n v="-51590.02"/>
    <x v="0"/>
    <n v="0"/>
    <n v="0.78500000000000003"/>
    <n v="0.24"/>
    <n v="0"/>
    <n v="0"/>
    <n v="0"/>
    <n v="550534.88"/>
    <n v="2257138.14"/>
    <n v="0.24390800000000001"/>
    <n v="-51590.02"/>
    <n v="-51574.04"/>
    <n v="0"/>
    <n v="-51574.04"/>
    <n v="2185973.08"/>
    <s v="Forecast"/>
  </r>
  <r>
    <x v="19"/>
    <x v="0"/>
    <s v="202504"/>
    <n v="25"/>
    <n v="3029065.49"/>
    <n v="-5.3662571449233983E-2"/>
    <s v="CohortAvg"/>
    <n v="-3.742359430188006E-2"/>
    <s v="CohortAvg"/>
    <n v="0.43757910185843613"/>
    <s v="CohortAvg"/>
    <n v="1.013329171740706E-2"/>
    <s v="CohortAvg_NonZero"/>
    <n v="1.634947582328458E-6"/>
    <s v="CohortAvg"/>
    <n v="0"/>
    <s v="Zero"/>
    <n v="0"/>
    <s v="CohortAvg"/>
    <n v="0"/>
    <s v="CohortAvg"/>
    <n v="0"/>
    <n v="-162547.44"/>
    <n v="-113358.52"/>
    <n v="110454.65"/>
    <n v="0"/>
    <n v="4.95"/>
    <n v="0"/>
    <n v="0"/>
    <n v="2863609.22"/>
    <n v="0.25575199999999998"/>
    <n v="0.91549999999999998"/>
    <n v="0.234153"/>
    <s v="CohortTrend+Seasonal(0.916)"/>
    <n v="670522.06000000006"/>
    <n v="737648.44"/>
    <n v="-67126.38"/>
    <x v="0"/>
    <n v="0"/>
    <n v="0.78500000000000003"/>
    <n v="0.24"/>
    <n v="0"/>
    <n v="0"/>
    <n v="0"/>
    <n v="737648.44"/>
    <n v="3029065.49"/>
    <n v="0.24352299999999999"/>
    <n v="-67126.38"/>
    <n v="-67121.429999999993"/>
    <n v="0"/>
    <n v="-67121.429999999993"/>
    <n v="2930730.65"/>
    <s v="Forecast"/>
  </r>
  <r>
    <x v="19"/>
    <x v="0"/>
    <s v="202505"/>
    <n v="24"/>
    <n v="4518110.0999999996"/>
    <n v="-4.6705267605963219E-2"/>
    <s v="CohortAvg"/>
    <n v="-3.671805081353615E-2"/>
    <s v="CohortAvg"/>
    <n v="0.44268130408983453"/>
    <s v="CohortAvg"/>
    <n v="0"/>
    <s v="CohortAvg_NoData_ERROR"/>
    <n v="9.2799248385637889E-7"/>
    <s v="CohortAvg"/>
    <n v="0"/>
    <s v="Zero"/>
    <n v="0"/>
    <s v="CohortAvg"/>
    <n v="0"/>
    <s v="CohortAvg"/>
    <n v="0"/>
    <n v="-211019.54"/>
    <n v="-165896.20000000001"/>
    <n v="166673.57"/>
    <n v="0"/>
    <n v="4.1900000000000004"/>
    <n v="0"/>
    <n v="0"/>
    <n v="4307863.75"/>
    <n v="0.256025"/>
    <n v="0.91549999999999998"/>
    <n v="0.234403"/>
    <s v="CohortTrend+Seasonal(0.916)"/>
    <n v="1009775.99"/>
    <n v="1097382.72"/>
    <n v="-87606.73"/>
    <x v="0"/>
    <n v="0"/>
    <n v="0.78500000000000003"/>
    <n v="0.24"/>
    <n v="0"/>
    <n v="0"/>
    <n v="0"/>
    <n v="1097382.72"/>
    <n v="4518110.0999999996"/>
    <n v="0.24288499999999999"/>
    <n v="-87606.73"/>
    <n v="-87602.54"/>
    <n v="0"/>
    <n v="-87602.54"/>
    <n v="4395466.28"/>
    <s v="Forecast"/>
  </r>
  <r>
    <x v="19"/>
    <x v="0"/>
    <s v="202506"/>
    <n v="23"/>
    <n v="5221465.88"/>
    <n v="-4.520446749628082E-2"/>
    <s v="CohortAvg"/>
    <n v="-3.8217156080919343E-2"/>
    <s v="CohortAvg"/>
    <n v="0.45945876773711142"/>
    <s v="CohortAvg"/>
    <n v="0"/>
    <s v="CohortAvg_NoData_ERROR"/>
    <n v="0"/>
    <s v="CohortAvg"/>
    <n v="0"/>
    <s v="Zero"/>
    <n v="0"/>
    <s v="CohortAvg"/>
    <n v="0"/>
    <s v="CohortAvg"/>
    <n v="0"/>
    <n v="-236033.58"/>
    <n v="-199549.58"/>
    <n v="199920.69"/>
    <n v="0"/>
    <n v="0"/>
    <n v="0"/>
    <n v="0"/>
    <n v="4985803.41"/>
    <n v="0.25738100000000003"/>
    <n v="0.91549999999999998"/>
    <n v="0.23564499999999999"/>
    <s v="CohortTrend+Seasonal(0.916)"/>
    <n v="1174879.05"/>
    <n v="1268973.79"/>
    <n v="-94094.74"/>
    <x v="0"/>
    <n v="0"/>
    <n v="0.78500000000000003"/>
    <n v="0.24"/>
    <n v="0"/>
    <n v="0"/>
    <n v="0"/>
    <n v="1268973.79"/>
    <n v="5221465.88"/>
    <n v="0.24303"/>
    <n v="-94094.74"/>
    <n v="-94094.74"/>
    <n v="0"/>
    <n v="-94094.74"/>
    <n v="5079898.1500000004"/>
    <s v="Forecast"/>
  </r>
  <r>
    <x v="19"/>
    <x v="0"/>
    <s v="202507"/>
    <n v="22"/>
    <n v="6614689.5599999996"/>
    <n v="-4.3469691271033693E-2"/>
    <s v="CohortAvg"/>
    <n v="-4.0962029687975479E-2"/>
    <s v="CohortAvg"/>
    <n v="0.45877176773992873"/>
    <s v="CohortAvg"/>
    <n v="0"/>
    <s v="CohortAvg_NoData_ERROR"/>
    <n v="1.330061084543594E-5"/>
    <s v="CohortAvg"/>
    <n v="0"/>
    <s v="Zero"/>
    <n v="0"/>
    <s v="CohortAvg"/>
    <n v="0"/>
    <s v="CohortAvg"/>
    <n v="0"/>
    <n v="-287538.51"/>
    <n v="-270951.11"/>
    <n v="252886.07"/>
    <n v="0"/>
    <n v="87.98"/>
    <n v="0"/>
    <n v="0"/>
    <n v="6308998.0199999996"/>
    <n v="0.24704799999999999"/>
    <n v="0.91549999999999998"/>
    <n v="0.226185"/>
    <s v="CohortTrend+Seasonal(0.916)"/>
    <n v="1426998"/>
    <n v="1540331.6"/>
    <n v="-113333.6"/>
    <x v="0"/>
    <n v="0"/>
    <n v="0.78500000000000003"/>
    <n v="0.24"/>
    <n v="0"/>
    <n v="0"/>
    <n v="0"/>
    <n v="1540331.6"/>
    <n v="6614689.5599999996"/>
    <n v="0.23286499999999999"/>
    <n v="-113333.6"/>
    <n v="-113245.62"/>
    <n v="0"/>
    <n v="-113245.62"/>
    <n v="6422243.6500000004"/>
    <s v="Forecast"/>
  </r>
  <r>
    <x v="19"/>
    <x v="0"/>
    <s v="202508"/>
    <n v="21"/>
    <n v="5665657.0899999999"/>
    <n v="-4.8965853970657003E-2"/>
    <s v="CohortAvg"/>
    <n v="-3.2699907033120493E-2"/>
    <s v="CohortAvg"/>
    <n v="0.46021138300720488"/>
    <s v="CohortAvg"/>
    <n v="0"/>
    <s v="CohortAvg_NoData_ERROR"/>
    <n v="1.141037703975602E-5"/>
    <s v="CohortAvg"/>
    <n v="0"/>
    <s v="Zero"/>
    <n v="0"/>
    <s v="CohortAvg"/>
    <n v="0"/>
    <s v="CohortAvg"/>
    <n v="0"/>
    <n v="-277423.74"/>
    <n v="-185266.46"/>
    <n v="217283.32"/>
    <n v="0"/>
    <n v="64.650000000000006"/>
    <n v="0"/>
    <n v="0"/>
    <n v="5420185.5700000003"/>
    <n v="0.23671500000000001"/>
    <n v="0.91549999999999998"/>
    <n v="0.216724"/>
    <s v="CohortTrend+Seasonal(0.916)"/>
    <n v="1174685.7"/>
    <n v="1261744.1100000001"/>
    <n v="-87058.41"/>
    <x v="0"/>
    <n v="0"/>
    <n v="0.78500000000000003"/>
    <n v="0.24"/>
    <n v="0"/>
    <n v="0"/>
    <n v="0"/>
    <n v="1261744.1100000001"/>
    <n v="5665657.0899999999"/>
    <n v="0.22270000000000001"/>
    <n v="-87058.41"/>
    <n v="-86993.76"/>
    <n v="0"/>
    <n v="-86993.76"/>
    <n v="5507179.3300000001"/>
    <s v="Forecast"/>
  </r>
  <r>
    <x v="19"/>
    <x v="0"/>
    <s v="202509"/>
    <n v="20"/>
    <n v="5996.8"/>
    <n v="-0.40925308473056149"/>
    <s v="CohortAvg"/>
    <n v="-8.50625119642688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454.21"/>
    <n v="-510.1"/>
    <n v="249.87"/>
    <n v="0"/>
    <n v="0"/>
    <n v="0"/>
    <n v="0"/>
    <n v="3282.35"/>
    <n v="0.226382"/>
    <n v="0.91549999999999998"/>
    <n v="0.207264"/>
    <s v="CohortTrend+Seasonal(0.916)"/>
    <n v="680.31"/>
    <n v="1125.29"/>
    <n v="-444.98"/>
    <x v="0"/>
    <n v="0"/>
    <n v="0.78500000000000003"/>
    <n v="0.24"/>
    <n v="0"/>
    <n v="0"/>
    <n v="0"/>
    <n v="1125.29"/>
    <n v="5996.8"/>
    <n v="0.18764800000000001"/>
    <n v="-444.98"/>
    <n v="-444.98"/>
    <n v="0"/>
    <n v="-444.98"/>
    <n v="3727.33"/>
    <s v="Forecast"/>
  </r>
  <r>
    <x v="19"/>
    <x v="1"/>
    <s v="202301"/>
    <n v="42"/>
    <n v="827532.64"/>
    <n v="-8.4447308528560125E-3"/>
    <s v="CohortAvg"/>
    <n v="-4.5558805064377589E-3"/>
    <s v="CohortAvg"/>
    <n v="8.9011676129664208E-2"/>
    <s v="CohortAvg"/>
    <n v="2.3823535926175438E-2"/>
    <s v="CohortAvg_NonZero"/>
    <n v="0"/>
    <s v="CohortAvg"/>
    <n v="0"/>
    <s v="Zero"/>
    <n v="0"/>
    <s v="CohortAvg"/>
    <n v="0"/>
    <s v="CohortAvg"/>
    <n v="0"/>
    <n v="-6988.29"/>
    <n v="-3770.14"/>
    <n v="6138.34"/>
    <n v="0"/>
    <n v="0"/>
    <n v="0"/>
    <n v="0"/>
    <n v="822912.54"/>
    <n v="0.39595399999999997"/>
    <n v="1.0165999999999999"/>
    <n v="0.40253899999999998"/>
    <s v="CohortAvg+Seasonal(1.017)"/>
    <n v="331254.48"/>
    <n v="389770.4"/>
    <n v="-58515.93"/>
    <x v="0"/>
    <n v="0"/>
    <n v="0.78500000000000003"/>
    <n v="0.24"/>
    <n v="0"/>
    <n v="0"/>
    <n v="0"/>
    <n v="389770.4"/>
    <n v="827532.64"/>
    <n v="0.471003"/>
    <n v="-58515.93"/>
    <n v="-58515.93"/>
    <n v="0"/>
    <n v="-58515.93"/>
    <n v="881428.47"/>
    <s v="Forecast"/>
  </r>
  <r>
    <x v="19"/>
    <x v="1"/>
    <s v="202404"/>
    <n v="37"/>
    <n v="69550.179999999993"/>
    <n v="-6.3467774847399364E-2"/>
    <s v="CohortAvg"/>
    <n v="-1.522769653264828E-2"/>
    <s v="CohortAvg"/>
    <n v="0.15654094866216239"/>
    <s v="CohortAvg"/>
    <n v="5.0289690836976042E-2"/>
    <s v="CohortAvg_NonZero"/>
    <n v="0"/>
    <s v="CohortAvg"/>
    <n v="0"/>
    <s v="Zero"/>
    <n v="0"/>
    <s v="CohortAvg"/>
    <n v="0"/>
    <s v="CohortAvg"/>
    <n v="0"/>
    <n v="-4414.2"/>
    <n v="-1059.0899999999999"/>
    <n v="907.29"/>
    <n v="0"/>
    <n v="0"/>
    <n v="0"/>
    <n v="0"/>
    <n v="64984.19"/>
    <n v="0.24490100000000001"/>
    <n v="1.0165999999999999"/>
    <n v="0.248975"/>
    <s v="CohortTrend+Seasonal(1.017)"/>
    <n v="16179.41"/>
    <n v="20039.37"/>
    <n v="-3859.97"/>
    <x v="0"/>
    <n v="0"/>
    <n v="0.78500000000000003"/>
    <n v="0.24"/>
    <n v="0"/>
    <n v="0"/>
    <n v="0"/>
    <n v="20039.37"/>
    <n v="69550.179999999993"/>
    <n v="0.288128"/>
    <n v="-3859.97"/>
    <n v="-3859.97"/>
    <n v="0"/>
    <n v="-3859.97"/>
    <n v="68844.149999999994"/>
    <s v="Forecast"/>
  </r>
  <r>
    <x v="19"/>
    <x v="1"/>
    <s v="202405"/>
    <n v="36"/>
    <n v="223388.25"/>
    <n v="-1.170438677886842E-2"/>
    <s v="CohortAvg"/>
    <n v="-1.2725931997313049E-2"/>
    <s v="CohortAvg"/>
    <n v="0.1472319687677828"/>
    <s v="CohortAvg"/>
    <n v="6.9870142411415898E-2"/>
    <s v="CohortAvg_NonZero"/>
    <n v="1.7727473406531278E-8"/>
    <s v="CohortAvg"/>
    <n v="0"/>
    <s v="Zero"/>
    <n v="0"/>
    <s v="CohortAvg"/>
    <n v="0"/>
    <s v="CohortAvg"/>
    <n v="0"/>
    <n v="-2614.62"/>
    <n v="-2842.82"/>
    <n v="2740.82"/>
    <n v="0"/>
    <n v="0"/>
    <n v="0"/>
    <n v="0"/>
    <n v="220671.62"/>
    <n v="0.453517"/>
    <n v="1.0165999999999999"/>
    <n v="0.46106000000000003"/>
    <s v="CohortTrend+Seasonal(1.017)"/>
    <n v="101742.76"/>
    <n v="117604.13"/>
    <n v="-15861.36"/>
    <x v="0"/>
    <n v="0"/>
    <n v="0.78500000000000003"/>
    <n v="0.24"/>
    <n v="0"/>
    <n v="0"/>
    <n v="0"/>
    <n v="117604.13"/>
    <n v="223388.25"/>
    <n v="0.52645600000000004"/>
    <n v="-15861.36"/>
    <n v="-15861.36"/>
    <n v="0"/>
    <n v="-15861.36"/>
    <n v="236532.98"/>
    <s v="Forecast"/>
  </r>
  <r>
    <x v="19"/>
    <x v="1"/>
    <s v="202406"/>
    <n v="35"/>
    <n v="130675.47"/>
    <n v="-1.5470181351505571E-2"/>
    <s v="CohortAvg"/>
    <n v="-1.487934320069014E-2"/>
    <s v="CohortAvg"/>
    <n v="0.17821666276146589"/>
    <s v="CohortAvg"/>
    <n v="5.620844502272148E-2"/>
    <s v="CohortAvg_NonZero"/>
    <n v="0"/>
    <s v="CohortAvg"/>
    <n v="0"/>
    <s v="Zero"/>
    <n v="0"/>
    <s v="CohortAvg"/>
    <n v="0"/>
    <s v="CohortAvg"/>
    <n v="0"/>
    <n v="-2021.57"/>
    <n v="-1944.37"/>
    <n v="1940.71"/>
    <n v="0"/>
    <n v="0"/>
    <n v="0"/>
    <n v="0"/>
    <n v="128650.24000000001"/>
    <n v="0.312002"/>
    <n v="1.0165999999999999"/>
    <n v="0.317191"/>
    <s v="CohortTrend+Seasonal(1.017)"/>
    <n v="40806.65"/>
    <n v="47423.86"/>
    <n v="-6617.21"/>
    <x v="0"/>
    <n v="0"/>
    <n v="0.78500000000000003"/>
    <n v="0.24"/>
    <n v="0"/>
    <n v="0"/>
    <n v="0"/>
    <n v="47423.86"/>
    <n v="130675.47"/>
    <n v="0.36291299999999999"/>
    <n v="-6617.21"/>
    <n v="-6617.21"/>
    <n v="0"/>
    <n v="-6617.21"/>
    <n v="135267.45000000001"/>
    <s v="Forecast"/>
  </r>
  <r>
    <x v="19"/>
    <x v="1"/>
    <s v="202407"/>
    <n v="34"/>
    <n v="120555.54"/>
    <n v="-4.2440239036204447E-2"/>
    <s v="CohortAvg"/>
    <n v="-1.5328715875358849E-2"/>
    <s v="CohortAvg"/>
    <n v="0.16902849341195589"/>
    <s v="CohortAvg"/>
    <n v="8.2761551975630079E-2"/>
    <s v="CohortAvg_NonZero"/>
    <n v="0"/>
    <s v="CohortAvg"/>
    <n v="0"/>
    <s v="Zero"/>
    <n v="0"/>
    <s v="CohortAvg"/>
    <n v="0"/>
    <s v="CohortAvg"/>
    <n v="0"/>
    <n v="-5116.41"/>
    <n v="-1847.96"/>
    <n v="1698.11"/>
    <n v="0"/>
    <n v="0"/>
    <n v="0"/>
    <n v="0"/>
    <n v="115289.29"/>
    <n v="0.27695599999999998"/>
    <n v="1.0165999999999999"/>
    <n v="0.28156199999999998"/>
    <s v="CohortTrend+Seasonal(1.017)"/>
    <n v="32461.1"/>
    <n v="39011.370000000003"/>
    <n v="-6550.27"/>
    <x v="0"/>
    <n v="0"/>
    <n v="0.78500000000000003"/>
    <n v="0.24"/>
    <n v="0"/>
    <n v="0"/>
    <n v="0"/>
    <n v="39011.370000000003"/>
    <n v="120555.54"/>
    <n v="0.32359700000000002"/>
    <n v="-6550.27"/>
    <n v="-6550.27"/>
    <n v="0"/>
    <n v="-6550.27"/>
    <n v="121839.55"/>
    <s v="Forecast"/>
  </r>
  <r>
    <x v="19"/>
    <x v="1"/>
    <s v="202408"/>
    <n v="33"/>
    <n v="89654.01"/>
    <n v="-6.2342684791948461E-2"/>
    <s v="CohortAvg"/>
    <n v="-1.660696225523333E-2"/>
    <s v="CohortAvg"/>
    <n v="0.18294745417641711"/>
    <s v="CohortAvg"/>
    <n v="0.1104761026857973"/>
    <s v="CohortAvg_NonZero"/>
    <n v="5.6665168831857523E-11"/>
    <s v="CohortAvg"/>
    <n v="0"/>
    <s v="Zero"/>
    <n v="0"/>
    <s v="CohortAvg"/>
    <n v="0"/>
    <s v="CohortAvg"/>
    <n v="0"/>
    <n v="-5589.27"/>
    <n v="-1488.88"/>
    <n v="1366.83"/>
    <n v="0"/>
    <n v="0"/>
    <n v="0"/>
    <n v="0"/>
    <n v="83942.69"/>
    <n v="0.28697"/>
    <n v="1.0165999999999999"/>
    <n v="0.291742"/>
    <s v="CohortTrend+Seasonal(1.017)"/>
    <n v="24489.63"/>
    <n v="30022.69"/>
    <n v="-5533.06"/>
    <x v="0"/>
    <n v="0"/>
    <n v="0.78500000000000003"/>
    <n v="0.24"/>
    <n v="0"/>
    <n v="0"/>
    <n v="0"/>
    <n v="30022.69"/>
    <n v="89654.01"/>
    <n v="0.33487299999999998"/>
    <n v="-5533.06"/>
    <n v="-5533.06"/>
    <n v="0"/>
    <n v="-5533.06"/>
    <n v="89475.75"/>
    <s v="Forecast"/>
  </r>
  <r>
    <x v="19"/>
    <x v="1"/>
    <s v="202409"/>
    <n v="32"/>
    <n v="241088.62"/>
    <n v="-4.103911156323397E-2"/>
    <s v="CohortAvg"/>
    <n v="-1.5072335892194821E-2"/>
    <s v="CohortAvg"/>
    <n v="0.18231107735919319"/>
    <s v="CohortAvg"/>
    <n v="3.1833758003080609E-2"/>
    <s v="CohortAvg_NonZero"/>
    <n v="0"/>
    <s v="CohortAvg"/>
    <n v="0"/>
    <s v="Zero"/>
    <n v="0"/>
    <s v="CohortAvg"/>
    <n v="0"/>
    <s v="CohortAvg"/>
    <n v="0"/>
    <n v="-9894.06"/>
    <n v="-3633.77"/>
    <n v="3662.76"/>
    <n v="0"/>
    <n v="0"/>
    <n v="0"/>
    <n v="0"/>
    <n v="231223.55"/>
    <n v="0.33856599999999998"/>
    <n v="1.0165999999999999"/>
    <n v="0.34419699999999998"/>
    <s v="CohortTrend+Seasonal(1.017)"/>
    <n v="79586.460000000006"/>
    <n v="94581.79"/>
    <n v="-14995.32"/>
    <x v="0"/>
    <n v="0"/>
    <n v="0.78500000000000003"/>
    <n v="0.24"/>
    <n v="0"/>
    <n v="0"/>
    <n v="0"/>
    <n v="94581.79"/>
    <n v="241088.62"/>
    <n v="0.39231100000000002"/>
    <n v="-14995.32"/>
    <n v="-14995.32"/>
    <n v="0"/>
    <n v="-14995.32"/>
    <n v="246218.87"/>
    <s v="Forecast"/>
  </r>
  <r>
    <x v="19"/>
    <x v="1"/>
    <s v="202410"/>
    <n v="31"/>
    <n v="265863.59000000003"/>
    <n v="-1.2611981029314131E-2"/>
    <s v="CohortAvg"/>
    <n v="-1.82802797283135E-2"/>
    <s v="CohortAvg"/>
    <n v="0.18754146848207451"/>
    <s v="CohortAvg"/>
    <n v="3.5382040983611612E-2"/>
    <s v="CohortAvg_NonZero"/>
    <n v="2.4861121302267829E-8"/>
    <s v="CohortAvg"/>
    <n v="0"/>
    <s v="Zero"/>
    <n v="0"/>
    <s v="CohortAvg"/>
    <n v="0"/>
    <s v="CohortAvg"/>
    <n v="0"/>
    <n v="-3353.07"/>
    <n v="-4860.0600000000004"/>
    <n v="4155.04"/>
    <n v="0"/>
    <n v="0.01"/>
    <n v="0"/>
    <n v="0"/>
    <n v="261805.5"/>
    <n v="0.338563"/>
    <n v="1.0165999999999999"/>
    <n v="0.344194"/>
    <s v="CohortTrend+Seasonal(1.017)"/>
    <n v="90111.91"/>
    <n v="104091.42"/>
    <n v="-13979.52"/>
    <x v="0"/>
    <n v="0"/>
    <n v="0.78500000000000003"/>
    <n v="0.24"/>
    <n v="0"/>
    <n v="0"/>
    <n v="0"/>
    <n v="104091.42"/>
    <n v="265863.59000000003"/>
    <n v="0.39152199999999998"/>
    <n v="-13979.52"/>
    <n v="-13979.51"/>
    <n v="0"/>
    <n v="-13979.51"/>
    <n v="275785.01"/>
    <s v="Forecast"/>
  </r>
  <r>
    <x v="19"/>
    <x v="1"/>
    <s v="202411"/>
    <n v="30"/>
    <n v="213786.73"/>
    <n v="-4.4610188366797511E-2"/>
    <s v="CohortAvg"/>
    <n v="-1.480107300316004E-2"/>
    <s v="CohortAvg"/>
    <n v="0.17334870075725689"/>
    <s v="CohortAvg"/>
    <n v="3.2264724917799199E-2"/>
    <s v="CohortAvg_NonZero"/>
    <n v="0"/>
    <s v="CohortAvg"/>
    <n v="0"/>
    <s v="Zero"/>
    <n v="0"/>
    <s v="CohortAvg"/>
    <n v="0"/>
    <s v="CohortAvg"/>
    <n v="0"/>
    <n v="-9537.07"/>
    <n v="-3164.27"/>
    <n v="3088.3"/>
    <n v="0"/>
    <n v="0"/>
    <n v="0"/>
    <n v="0"/>
    <n v="204173.7"/>
    <n v="0.26293499999999997"/>
    <n v="1.0165999999999999"/>
    <n v="0.26730799999999999"/>
    <s v="CohortTrend+Seasonal(1.017)"/>
    <n v="54577.3"/>
    <n v="65619.37"/>
    <n v="-11042.07"/>
    <x v="0"/>
    <n v="0"/>
    <n v="0.78500000000000003"/>
    <n v="0.24"/>
    <n v="0"/>
    <n v="0"/>
    <n v="0"/>
    <n v="65619.37"/>
    <n v="213786.73"/>
    <n v="0.30693799999999999"/>
    <n v="-11042.07"/>
    <n v="-11042.07"/>
    <n v="0"/>
    <n v="-11042.07"/>
    <n v="215215.77"/>
    <s v="Forecast"/>
  </r>
  <r>
    <x v="19"/>
    <x v="1"/>
    <s v="202412"/>
    <n v="29"/>
    <n v="11663.87"/>
    <n v="-8.5838916488580139E-3"/>
    <s v="CohortAvg"/>
    <n v="-1.241508127863826E-2"/>
    <s v="CohortAvg"/>
    <n v="0.14524086448560161"/>
    <s v="CohortAvg"/>
    <n v="0.2"/>
    <s v="CohortAvg_NonZero"/>
    <n v="0"/>
    <s v="CohortAvg"/>
    <n v="0"/>
    <s v="Zero"/>
    <n v="0"/>
    <s v="CohortAvg"/>
    <n v="0"/>
    <s v="CohortAvg"/>
    <n v="0"/>
    <n v="-100.12"/>
    <n v="-144.81"/>
    <n v="141.16999999999999"/>
    <n v="0"/>
    <n v="0"/>
    <n v="0"/>
    <n v="0"/>
    <n v="11560.11"/>
    <n v="0.24288299999999999"/>
    <n v="1.0165999999999999"/>
    <n v="0.246922"/>
    <s v="CohortTrend+Seasonal(1.017)"/>
    <n v="2854.45"/>
    <n v="3312.33"/>
    <n v="-457.88"/>
    <x v="0"/>
    <n v="0"/>
    <n v="0.78500000000000003"/>
    <n v="0.24"/>
    <n v="0"/>
    <n v="0"/>
    <n v="0"/>
    <n v="3312.33"/>
    <n v="11663.87"/>
    <n v="0.28398200000000001"/>
    <n v="-457.88"/>
    <n v="-457.88"/>
    <n v="0"/>
    <n v="-457.88"/>
    <n v="12017.99"/>
    <s v="Forecast"/>
  </r>
  <r>
    <x v="19"/>
    <x v="1"/>
    <s v="202501"/>
    <n v="28"/>
    <n v="44807.98"/>
    <n v="-1.529317519980909E-2"/>
    <s v="CohortAvg"/>
    <n v="-1.7524925473499549E-2"/>
    <s v="CohortAvg"/>
    <n v="0.20436630410679349"/>
    <s v="CohortAvg"/>
    <n v="0"/>
    <s v="CohortAvg_NoData_ERROR"/>
    <n v="0"/>
    <s v="CohortAvg"/>
    <n v="0"/>
    <s v="Zero"/>
    <n v="0"/>
    <s v="CohortAvg"/>
    <n v="0"/>
    <s v="CohortAvg"/>
    <n v="0"/>
    <n v="-685.26"/>
    <n v="-785.26"/>
    <n v="763.1"/>
    <n v="0"/>
    <n v="0"/>
    <n v="0"/>
    <n v="0"/>
    <n v="44100.57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44807.98"/>
    <n v="0"/>
    <n v="0"/>
    <n v="0"/>
    <n v="0"/>
    <n v="0"/>
    <n v="44100.57"/>
    <s v="Forecast"/>
  </r>
  <r>
    <x v="19"/>
    <x v="1"/>
    <s v="202502"/>
    <n v="27"/>
    <n v="94041.17"/>
    <n v="-1.3859893425202659E-2"/>
    <s v="CohortAvg"/>
    <n v="-1.894339255625763E-2"/>
    <s v="CohortAvg"/>
    <n v="0.19408350118590759"/>
    <s v="CohortAvg"/>
    <n v="0"/>
    <s v="CohortAvg_NoData_ERROR"/>
    <n v="0"/>
    <s v="CohortAvg"/>
    <n v="0"/>
    <s v="Zero"/>
    <n v="0"/>
    <s v="CohortAvg"/>
    <n v="0"/>
    <s v="CohortAvg"/>
    <n v="0"/>
    <n v="-1303.4000000000001"/>
    <n v="-1781.46"/>
    <n v="1520.99"/>
    <n v="0"/>
    <n v="0"/>
    <n v="0"/>
    <n v="0"/>
    <n v="92477.3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94041.17"/>
    <n v="0"/>
    <n v="0"/>
    <n v="0"/>
    <n v="0"/>
    <n v="0"/>
    <n v="92477.3"/>
    <s v="Forecast"/>
  </r>
  <r>
    <x v="19"/>
    <x v="1"/>
    <s v="202503"/>
    <n v="26"/>
    <n v="73469.14"/>
    <n v="-9.8304839435722907E-3"/>
    <s v="CohortAvg"/>
    <n v="-1.376378140845806E-2"/>
    <s v="CohortAvg"/>
    <n v="0.20836811806327099"/>
    <s v="CohortAvg"/>
    <n v="0"/>
    <s v="CohortAvg_NoData_ERROR"/>
    <n v="0"/>
    <s v="CohortAvg"/>
    <n v="0"/>
    <s v="Zero"/>
    <n v="0"/>
    <s v="CohortAvg"/>
    <n v="0"/>
    <s v="CohortAvg"/>
    <n v="0"/>
    <n v="-722.24"/>
    <n v="-1011.21"/>
    <n v="1275.72"/>
    <n v="0"/>
    <n v="0"/>
    <n v="0"/>
    <n v="0"/>
    <n v="73011.41"/>
    <n v="0.291186"/>
    <n v="1.0165999999999999"/>
    <n v="0.29602800000000001"/>
    <s v="CohortTrend+Seasonal(1.017)"/>
    <n v="21613.439999999999"/>
    <n v="24553.75"/>
    <n v="-2940.3"/>
    <x v="0"/>
    <n v="0"/>
    <n v="0.78500000000000003"/>
    <n v="0.24"/>
    <n v="0"/>
    <n v="0"/>
    <n v="0"/>
    <n v="24553.75"/>
    <n v="73469.14"/>
    <n v="0.33420499999999997"/>
    <n v="-2940.3"/>
    <n v="-2940.3"/>
    <n v="0"/>
    <n v="-2940.3"/>
    <n v="75951.710000000006"/>
    <s v="Forecast"/>
  </r>
  <r>
    <x v="19"/>
    <x v="1"/>
    <s v="202504"/>
    <n v="25"/>
    <n v="42287.4"/>
    <n v="-2.0712558506179389E-2"/>
    <s v="CohortAvg"/>
    <n v="-1.6747380169883131E-2"/>
    <s v="CohortAvg"/>
    <n v="0.2022231539853063"/>
    <s v="CohortAvg"/>
    <n v="0"/>
    <s v="CohortAvg_NoData_ERROR"/>
    <n v="0"/>
    <s v="CohortAvg"/>
    <n v="0"/>
    <s v="Zero"/>
    <n v="0"/>
    <s v="CohortAvg"/>
    <n v="0"/>
    <s v="CohortAvg"/>
    <n v="0"/>
    <n v="-875.88"/>
    <n v="-708.2"/>
    <n v="712.62"/>
    <n v="0"/>
    <n v="0"/>
    <n v="0"/>
    <n v="0"/>
    <n v="41415.94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42287.4"/>
    <n v="0"/>
    <n v="0"/>
    <n v="0"/>
    <n v="0"/>
    <n v="0"/>
    <n v="41415.94"/>
    <s v="Forecast"/>
  </r>
  <r>
    <x v="19"/>
    <x v="1"/>
    <s v="202505"/>
    <n v="24"/>
    <n v="13875.62"/>
    <n v="-1.0240679661014249E-2"/>
    <s v="CohortAvg"/>
    <n v="-1.6722571923386251E-2"/>
    <s v="CohortAvg"/>
    <n v="0.202169322994599"/>
    <s v="CohortAvg"/>
    <n v="0"/>
    <s v="CohortAvg_NoData_ERROR"/>
    <n v="0"/>
    <s v="CohortAvg"/>
    <n v="0"/>
    <s v="Zero"/>
    <n v="0"/>
    <s v="CohortAvg"/>
    <n v="0"/>
    <s v="CohortAvg"/>
    <n v="0"/>
    <n v="-142.1"/>
    <n v="-232.04"/>
    <n v="233.77"/>
    <n v="0"/>
    <n v="0"/>
    <n v="0"/>
    <n v="0"/>
    <n v="13735.26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13875.62"/>
    <n v="0"/>
    <n v="0"/>
    <n v="0"/>
    <n v="0"/>
    <n v="0"/>
    <n v="13735.26"/>
    <s v="Forecast"/>
  </r>
  <r>
    <x v="19"/>
    <x v="1"/>
    <s v="202506"/>
    <n v="23"/>
    <n v="23556.93"/>
    <n v="-1.4305702360661299E-2"/>
    <s v="CohortAvg"/>
    <n v="-1.6912675278122052E-2"/>
    <s v="CohortAvg"/>
    <n v="0.19649392050536069"/>
    <s v="CohortAvg"/>
    <n v="0"/>
    <s v="CohortAvg_NoData_ERROR"/>
    <n v="0"/>
    <s v="CohortAvg"/>
    <n v="0"/>
    <s v="Zero"/>
    <n v="0"/>
    <s v="CohortAvg"/>
    <n v="0"/>
    <s v="CohortAvg"/>
    <n v="0"/>
    <n v="-337"/>
    <n v="-398.41"/>
    <n v="385.73"/>
    <n v="0"/>
    <n v="0"/>
    <n v="0"/>
    <n v="0"/>
    <n v="23207.26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23556.93"/>
    <n v="0"/>
    <n v="0"/>
    <n v="0"/>
    <n v="0"/>
    <n v="0"/>
    <n v="23207.26"/>
    <s v="Forecast"/>
  </r>
  <r>
    <x v="19"/>
    <x v="1"/>
    <s v="202507"/>
    <n v="22"/>
    <n v="93905.15"/>
    <n v="-1.144332923499137E-2"/>
    <s v="CohortAvg"/>
    <n v="-1.8469642907323839E-2"/>
    <s v="CohortAvg"/>
    <n v="0.20460362939501589"/>
    <s v="CohortAvg"/>
    <n v="0"/>
    <s v="CohortAvg_NoData_ERROR"/>
    <n v="0"/>
    <s v="CohortAvg"/>
    <n v="0"/>
    <s v="Zero"/>
    <n v="0"/>
    <s v="CohortAvg"/>
    <n v="0"/>
    <s v="CohortAvg"/>
    <n v="0"/>
    <n v="-1074.5899999999999"/>
    <n v="-1734.39"/>
    <n v="1601.11"/>
    <n v="0"/>
    <n v="0"/>
    <n v="0"/>
    <n v="0"/>
    <n v="92697.279999999999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93905.15"/>
    <n v="0"/>
    <n v="0"/>
    <n v="0"/>
    <n v="0"/>
    <n v="0"/>
    <n v="92697.279999999999"/>
    <s v="Forecast"/>
  </r>
  <r>
    <x v="19"/>
    <x v="1"/>
    <s v="202508"/>
    <n v="21"/>
    <n v="38061.94"/>
    <n v="-1.5017750562141189E-2"/>
    <s v="CohortAvg"/>
    <n v="-1.509424770062481E-2"/>
    <s v="CohortAvg"/>
    <n v="0.18581252089034661"/>
    <s v="CohortAvg"/>
    <n v="0"/>
    <s v="CohortAvg_NoData_ERROR"/>
    <n v="0"/>
    <s v="CohortAvg"/>
    <n v="0"/>
    <s v="Zero"/>
    <n v="0"/>
    <s v="CohortAvg"/>
    <n v="0"/>
    <s v="CohortAvg"/>
    <n v="0"/>
    <n v="-571.6"/>
    <n v="-574.52"/>
    <n v="589.37"/>
    <n v="0"/>
    <n v="0"/>
    <n v="0"/>
    <n v="0"/>
    <n v="37505.18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38061.94"/>
    <n v="0"/>
    <n v="0"/>
    <n v="0"/>
    <n v="0"/>
    <n v="0"/>
    <n v="37505.18"/>
    <s v="Forecast"/>
  </r>
  <r>
    <x v="19"/>
    <x v="1"/>
    <s v="202509"/>
    <n v="20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165999999999999"/>
    <n v="0"/>
    <s v="Manual+Seasonal(1.017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19"/>
    <x v="2"/>
    <s v="202101"/>
    <n v="76"/>
    <n v="56437.04"/>
    <n v="-0.19318497810316421"/>
    <s v="CohortAvg"/>
    <n v="-1.430099248490705E-2"/>
    <s v="CohortAvg"/>
    <n v="0.15656559352898211"/>
    <s v="CohortAvg"/>
    <n v="1.7895415352164011E-2"/>
    <s v="CohortAvg_NonZero"/>
    <n v="0"/>
    <s v="CohortAvg"/>
    <n v="0"/>
    <s v="Zero"/>
    <n v="0"/>
    <s v="CohortAvg"/>
    <n v="0"/>
    <s v="CohortAvg"/>
    <n v="0"/>
    <n v="-10902.79"/>
    <n v="-807.11"/>
    <n v="736.34"/>
    <n v="0"/>
    <n v="0"/>
    <n v="0"/>
    <n v="0"/>
    <n v="45463.48"/>
    <n v="0.26070599999999999"/>
    <n v="0.89070000000000005"/>
    <n v="0.232206"/>
    <s v="CohortAvg+Seasonal(0.891)"/>
    <n v="10556.91"/>
    <n v="13777.48"/>
    <n v="-3220.56"/>
    <x v="0"/>
    <n v="0"/>
    <n v="0.78500000000000003"/>
    <n v="0.24"/>
    <n v="0"/>
    <n v="0"/>
    <n v="0"/>
    <n v="13777.48"/>
    <n v="56437.04"/>
    <n v="0.244121"/>
    <n v="-3220.56"/>
    <n v="-3220.56"/>
    <n v="0"/>
    <n v="-3220.56"/>
    <n v="48684.05"/>
    <s v="Forecast"/>
  </r>
  <r>
    <x v="19"/>
    <x v="2"/>
    <s v="202201"/>
    <n v="56"/>
    <n v="41177.370000000003"/>
    <n v="-6.4363699931822227E-2"/>
    <s v="CohortAvg"/>
    <n v="-1.346803639298865E-2"/>
    <s v="CohortAvg"/>
    <n v="0.14986745588545239"/>
    <s v="CohortAvg"/>
    <n v="3.4423005123254351E-2"/>
    <s v="CohortAvg_NonZero"/>
    <n v="4.0232368828780968E-7"/>
    <s v="CohortAvg"/>
    <n v="0"/>
    <s v="Zero"/>
    <n v="-7.4506075724499054E-7"/>
    <s v="CohortAvg"/>
    <n v="-3.3638157883608181E-9"/>
    <s v="CohortAvg"/>
    <n v="0"/>
    <n v="-2650.33"/>
    <n v="-554.58000000000004"/>
    <n v="514.26"/>
    <n v="0"/>
    <n v="0.02"/>
    <n v="-0.03"/>
    <n v="0"/>
    <n v="38486.71"/>
    <n v="0.186249"/>
    <n v="0.89070000000000005"/>
    <n v="0.16588900000000001"/>
    <s v="CohortAvg+Seasonal(0.891)"/>
    <n v="6384.5"/>
    <n v="7185.16"/>
    <n v="-800.66"/>
    <x v="0"/>
    <n v="0"/>
    <n v="0.78500000000000003"/>
    <n v="0.24"/>
    <n v="0"/>
    <n v="0"/>
    <n v="0"/>
    <n v="7185.16"/>
    <n v="41177.370000000003"/>
    <n v="0.17449300000000001"/>
    <n v="-800.66"/>
    <n v="-800.64"/>
    <n v="0"/>
    <n v="-800.64"/>
    <n v="39287.360000000001"/>
    <s v="Forecast"/>
  </r>
  <r>
    <x v="19"/>
    <x v="2"/>
    <s v="202301"/>
    <n v="47"/>
    <n v="4961092.3"/>
    <n v="-3.5842990257642968E-2"/>
    <s v="CohortAvg"/>
    <n v="-1.5328078877930791E-2"/>
    <s v="CohortAvg"/>
    <n v="0.17435661180460421"/>
    <s v="CohortAvg"/>
    <n v="1.8569740267746371E-2"/>
    <s v="CohortAvg_NonZero"/>
    <n v="5.2144551152787686E-9"/>
    <s v="CohortAvg"/>
    <n v="0"/>
    <s v="Zero"/>
    <n v="-1.5171898017329211E-5"/>
    <s v="CohortAvg"/>
    <n v="-3.7653142055501482E-8"/>
    <s v="CohortAvg"/>
    <n v="0"/>
    <n v="-177820.38"/>
    <n v="-76044.009999999995"/>
    <n v="72083.27"/>
    <n v="0"/>
    <n v="0.03"/>
    <n v="-75.27"/>
    <n v="-0.19"/>
    <n v="4779311.1500000004"/>
    <n v="0.21892500000000001"/>
    <n v="0.89070000000000005"/>
    <n v="0.194992"/>
    <s v="CohortAvg+Seasonal(0.891)"/>
    <n v="931928.91"/>
    <n v="1013455.58"/>
    <n v="-81526.67"/>
    <x v="0"/>
    <n v="0"/>
    <n v="0.78500000000000003"/>
    <n v="0.24"/>
    <n v="0"/>
    <n v="0"/>
    <n v="0"/>
    <n v="1013455.58"/>
    <n v="4961092.3"/>
    <n v="0.20428099999999999"/>
    <n v="-81526.67"/>
    <n v="-81526.64"/>
    <n v="0"/>
    <n v="-81526.64"/>
    <n v="4860837.79"/>
    <s v="Forecast"/>
  </r>
  <r>
    <x v="19"/>
    <x v="2"/>
    <s v="202404"/>
    <n v="37"/>
    <n v="1136378.72"/>
    <n v="-4.2818154025916301E-2"/>
    <s v="CohortAvg"/>
    <n v="-1.611735244386861E-2"/>
    <s v="CohortAvg"/>
    <n v="0.1758886038720994"/>
    <s v="CohortAvg"/>
    <n v="2.1300641008919159E-2"/>
    <s v="CohortAvg_NonZero"/>
    <n v="5.4065676086547681E-8"/>
    <s v="CohortAvg"/>
    <n v="0"/>
    <s v="Zero"/>
    <n v="-2.4000420911116562E-3"/>
    <s v="CohortAvg"/>
    <n v="-1.085494565698005E-5"/>
    <s v="CohortAvg"/>
    <n v="0"/>
    <n v="-48657.64"/>
    <n v="-18315.419999999998"/>
    <n v="16656.34"/>
    <n v="0"/>
    <n v="0.06"/>
    <n v="-2727.36"/>
    <n v="-12.34"/>
    <n v="1086061.94"/>
    <n v="0.21463399999999999"/>
    <n v="0.89070000000000005"/>
    <n v="0.19117100000000001"/>
    <s v="CohortTrend+Seasonal(0.891)"/>
    <n v="207623.17"/>
    <n v="222775.88"/>
    <n v="-15152.71"/>
    <x v="0"/>
    <n v="0"/>
    <n v="0.78500000000000003"/>
    <n v="0.24"/>
    <n v="0"/>
    <n v="0"/>
    <n v="0"/>
    <n v="222775.88"/>
    <n v="1136378.72"/>
    <n v="0.19603999999999999"/>
    <n v="-15152.71"/>
    <n v="-15152.64"/>
    <n v="0"/>
    <n v="-15152.64"/>
    <n v="1101214.58"/>
    <s v="Forecast"/>
  </r>
  <r>
    <x v="19"/>
    <x v="2"/>
    <s v="202405"/>
    <n v="36"/>
    <n v="1493330.96"/>
    <n v="-1.9062674251820691E-2"/>
    <s v="CohortAvg"/>
    <n v="-1.511617309578428E-2"/>
    <s v="CohortAvg"/>
    <n v="0.17321353479025711"/>
    <s v="CohortAvg"/>
    <n v="3.1709304228854103E-2"/>
    <s v="CohortAvg_NonZero"/>
    <n v="2.4999503559102559E-8"/>
    <s v="CohortAvg"/>
    <n v="0"/>
    <s v="Zero"/>
    <n v="-5.6524381437503381E-3"/>
    <s v="CohortAvg"/>
    <n v="-3.3986247485159308E-5"/>
    <s v="CohortAvg"/>
    <n v="0"/>
    <n v="-28466.880000000001"/>
    <n v="-22573.45"/>
    <n v="21555.43"/>
    <n v="0"/>
    <n v="0.04"/>
    <n v="-8440.9599999999991"/>
    <n v="-50.75"/>
    <n v="1463846.02"/>
    <n v="0.18224599999999999"/>
    <n v="0.89070000000000005"/>
    <n v="0.162323"/>
    <s v="CohortTrend+Seasonal(0.891)"/>
    <n v="237616.29"/>
    <n v="248565.77"/>
    <n v="-10949.49"/>
    <x v="0"/>
    <n v="0"/>
    <n v="0.78500000000000003"/>
    <n v="0.24"/>
    <n v="0"/>
    <n v="0"/>
    <n v="0"/>
    <n v="248565.77"/>
    <n v="1493330.96"/>
    <n v="0.16645099999999999"/>
    <n v="-10949.49"/>
    <n v="-10949.45"/>
    <n v="0"/>
    <n v="-10949.45"/>
    <n v="1474795.47"/>
    <s v="Forecast"/>
  </r>
  <r>
    <x v="19"/>
    <x v="2"/>
    <s v="202406"/>
    <n v="35"/>
    <n v="1008800.1"/>
    <n v="-2.7600138995774761E-2"/>
    <s v="CohortAvg"/>
    <n v="-1.5148113810256761E-2"/>
    <s v="CohortAvg"/>
    <n v="0.17183194332049589"/>
    <s v="CohortAvg"/>
    <n v="6.2875800115254218E-2"/>
    <s v="CohortAvg_NonZero"/>
    <n v="2.1697297832115289E-8"/>
    <s v="CohortAvg"/>
    <n v="0"/>
    <s v="Zero"/>
    <n v="-3.466267501587952E-3"/>
    <s v="CohortAvg"/>
    <n v="-5.4416022999258499E-5"/>
    <s v="CohortAvg"/>
    <n v="0"/>
    <n v="-27843.02"/>
    <n v="-15281.42"/>
    <n v="14445.34"/>
    <n v="0"/>
    <n v="0.02"/>
    <n v="-3496.77"/>
    <n v="-54.89"/>
    <n v="980120.98"/>
    <n v="0.185971"/>
    <n v="0.89070000000000005"/>
    <n v="0.16564100000000001"/>
    <s v="CohortTrend+Seasonal(0.891)"/>
    <n v="162348.54"/>
    <n v="171587.99"/>
    <n v="-9239.4500000000007"/>
    <x v="0"/>
    <n v="0"/>
    <n v="0.78500000000000003"/>
    <n v="0.24"/>
    <n v="0"/>
    <n v="0"/>
    <n v="0"/>
    <n v="171587.99"/>
    <n v="1008800.1"/>
    <n v="0.17009099999999999"/>
    <n v="-9239.4500000000007"/>
    <n v="-9239.43"/>
    <n v="0"/>
    <n v="-9239.43"/>
    <n v="989360.41"/>
    <s v="Forecast"/>
  </r>
  <r>
    <x v="19"/>
    <x v="2"/>
    <s v="202407"/>
    <n v="34"/>
    <n v="2086099.97"/>
    <n v="-2.7276714597472908E-2"/>
    <s v="CohortAvg"/>
    <n v="-1.5655058423888139E-2"/>
    <s v="CohortAvg"/>
    <n v="0.17582544815282619"/>
    <s v="CohortAvg"/>
    <n v="3.1796147922573133E-2"/>
    <s v="CohortAvg_NonZero"/>
    <n v="6.5676114660267064E-6"/>
    <s v="CohortAvg"/>
    <n v="0"/>
    <s v="Zero"/>
    <n v="-4.8846890602289436E-3"/>
    <s v="CohortAvg"/>
    <n v="-4.0865889543045868E-5"/>
    <s v="CohortAvg"/>
    <n v="0"/>
    <n v="-56901.95"/>
    <n v="-32658.02"/>
    <n v="30565.79"/>
    <n v="0"/>
    <n v="13.7"/>
    <n v="-10189.950000000001"/>
    <n v="-85.25"/>
    <n v="2027092.08"/>
    <n v="0.162026"/>
    <n v="0.89070000000000005"/>
    <n v="0.144314"/>
    <s v="CohortTrend+Seasonal(0.891)"/>
    <n v="292537.69"/>
    <n v="308414.42"/>
    <n v="-15876.74"/>
    <x v="0"/>
    <n v="0"/>
    <n v="0.78500000000000003"/>
    <n v="0.24"/>
    <n v="0"/>
    <n v="0"/>
    <n v="0"/>
    <n v="308414.42"/>
    <n v="2086099.97"/>
    <n v="0.147843"/>
    <n v="-15876.74"/>
    <n v="-15863.04"/>
    <n v="0"/>
    <n v="-15863.04"/>
    <n v="2042955.12"/>
    <s v="Forecast"/>
  </r>
  <r>
    <x v="19"/>
    <x v="2"/>
    <s v="202408"/>
    <n v="33"/>
    <n v="1605529.89"/>
    <n v="-2.393227760562873E-2"/>
    <s v="CohortAvg"/>
    <n v="-1.6488327575539561E-2"/>
    <s v="CohortAvg"/>
    <n v="0.18797340832324561"/>
    <s v="CohortAvg"/>
    <n v="2.1722063614963951E-2"/>
    <s v="CohortAvg_NonZero"/>
    <n v="8.7583044695501888E-9"/>
    <s v="CohortAvg"/>
    <n v="0"/>
    <s v="Zero"/>
    <n v="-2.0877374767989472E-3"/>
    <s v="CohortAvg"/>
    <n v="-2.2708578813916169E-5"/>
    <s v="CohortAvg"/>
    <n v="0"/>
    <n v="-38423.99"/>
    <n v="-26472.5"/>
    <n v="25149.74"/>
    <n v="0"/>
    <n v="0.01"/>
    <n v="-3351.92"/>
    <n v="-36.46"/>
    <n v="1565783.13"/>
    <n v="0.16702"/>
    <n v="0.89070000000000005"/>
    <n v="0.14876200000000001"/>
    <s v="CohortTrend+Seasonal(0.891)"/>
    <n v="232929.21"/>
    <n v="243693.67"/>
    <n v="-10764.46"/>
    <x v="0"/>
    <n v="0"/>
    <n v="0.78500000000000003"/>
    <n v="0.24"/>
    <n v="0"/>
    <n v="0"/>
    <n v="0"/>
    <n v="243693.67"/>
    <n v="1605529.89"/>
    <n v="0.151784"/>
    <n v="-10764.46"/>
    <n v="-10764.45"/>
    <n v="0"/>
    <n v="-10764.45"/>
    <n v="1576547.58"/>
    <s v="Forecast"/>
  </r>
  <r>
    <x v="19"/>
    <x v="2"/>
    <s v="202409"/>
    <n v="32"/>
    <n v="1290211.54"/>
    <n v="-3.262268982873965E-2"/>
    <s v="CohortAvg"/>
    <n v="-1.6766241741867451E-2"/>
    <s v="CohortAvg"/>
    <n v="0.18511754321296819"/>
    <s v="CohortAvg"/>
    <n v="3.5225143249702037E-2"/>
    <s v="CohortAvg_NonZero"/>
    <n v="7.2994209717619247E-6"/>
    <s v="CohortAvg"/>
    <n v="0"/>
    <s v="Zero"/>
    <n v="-1.160094589961806E-2"/>
    <s v="CohortAvg"/>
    <n v="-9.3592704867969352E-5"/>
    <s v="CohortAvg"/>
    <n v="0"/>
    <n v="-42090.17"/>
    <n v="-21632"/>
    <n v="19903.400000000001"/>
    <n v="0"/>
    <n v="9.42"/>
    <n v="-14967.67"/>
    <n v="-120.75"/>
    <n v="1246383.3600000001"/>
    <n v="0.146457"/>
    <n v="0.89070000000000005"/>
    <n v="0.13044700000000001"/>
    <s v="CohortTrend+Seasonal(0.891)"/>
    <n v="162586.45000000001"/>
    <n v="171723.76"/>
    <n v="-9137.31"/>
    <x v="0"/>
    <n v="0"/>
    <n v="0.78500000000000003"/>
    <n v="0.24"/>
    <n v="0"/>
    <n v="0"/>
    <n v="0"/>
    <n v="171723.76"/>
    <n v="1290211.54"/>
    <n v="0.13309699999999999"/>
    <n v="-9137.31"/>
    <n v="-9127.89"/>
    <n v="0"/>
    <n v="-9127.89"/>
    <n v="1255511.25"/>
    <s v="Forecast"/>
  </r>
  <r>
    <x v="19"/>
    <x v="2"/>
    <s v="202410"/>
    <n v="31"/>
    <n v="1142650.79"/>
    <n v="-4.0699981327953633E-2"/>
    <s v="CohortAvg"/>
    <n v="-1.6724080493651289E-2"/>
    <s v="CohortAvg"/>
    <n v="0.18194263304881389"/>
    <s v="CohortAvg"/>
    <n v="2.9535693993366811E-2"/>
    <s v="CohortAvg_NonZero"/>
    <n v="4.023185530646588E-8"/>
    <s v="CohortAvg"/>
    <n v="0"/>
    <s v="Zero"/>
    <n v="-7.1762691426063346E-3"/>
    <s v="CohortAvg"/>
    <n v="-1.104959281297455E-4"/>
    <s v="CohortAvg"/>
    <n v="0"/>
    <n v="-46505.87"/>
    <n v="-19109.78"/>
    <n v="17324.740000000002"/>
    <n v="0"/>
    <n v="0.05"/>
    <n v="-8199.9699999999993"/>
    <n v="-126.26"/>
    <n v="1094359.8400000001"/>
    <n v="0.13181399999999999"/>
    <n v="0.89070000000000005"/>
    <n v="0.117405"/>
    <s v="CohortTrend+Seasonal(0.891)"/>
    <n v="128482.92"/>
    <n v="137267.66"/>
    <n v="-8784.74"/>
    <x v="0"/>
    <n v="0"/>
    <n v="0.78500000000000003"/>
    <n v="0.24"/>
    <n v="0"/>
    <n v="0"/>
    <n v="0"/>
    <n v="137267.66"/>
    <n v="1142650.79"/>
    <n v="0.120131"/>
    <n v="-8784.74"/>
    <n v="-8784.7000000000007"/>
    <n v="0"/>
    <n v="-8784.7000000000007"/>
    <n v="1103144.54"/>
    <s v="Forecast"/>
  </r>
  <r>
    <x v="19"/>
    <x v="2"/>
    <s v="202411"/>
    <n v="30"/>
    <n v="1385751.65"/>
    <n v="-3.7062165435627167E-2"/>
    <s v="CohortAvg"/>
    <n v="-1.7567747715774421E-2"/>
    <s v="CohortAvg"/>
    <n v="0.19002909393447759"/>
    <s v="CohortAvg"/>
    <n v="2.1730799833007339E-2"/>
    <s v="CohortAvg_NonZero"/>
    <n v="1.7113103636060739E-6"/>
    <s v="CohortAvg"/>
    <n v="0"/>
    <s v="Zero"/>
    <n v="-1.08233036785144E-2"/>
    <s v="CohortAvg"/>
    <n v="-9.4738971877679815E-5"/>
    <s v="CohortAvg"/>
    <n v="0"/>
    <n v="-51358.96"/>
    <n v="-24344.54"/>
    <n v="21944.43"/>
    <n v="0"/>
    <n v="2.37"/>
    <n v="-14998.41"/>
    <n v="-131.28"/>
    <n v="1331990.21"/>
    <n v="0.137072"/>
    <n v="0.89070000000000005"/>
    <n v="0.122087"/>
    <s v="CohortTrend+Seasonal(0.891)"/>
    <n v="162619.04"/>
    <n v="171968.55"/>
    <n v="-9349.5"/>
    <x v="0"/>
    <n v="0"/>
    <n v="0.78500000000000003"/>
    <n v="0.24"/>
    <n v="0"/>
    <n v="0"/>
    <n v="0"/>
    <n v="171968.55"/>
    <n v="1385751.65"/>
    <n v="0.124098"/>
    <n v="-9349.5"/>
    <n v="-9347.1299999999992"/>
    <n v="0"/>
    <n v="-9347.1299999999992"/>
    <n v="1341337.3500000001"/>
    <s v="Forecast"/>
  </r>
  <r>
    <x v="19"/>
    <x v="2"/>
    <s v="202412"/>
    <n v="29"/>
    <n v="1494127"/>
    <n v="-1.9977695158599769E-2"/>
    <s v="CohortAvg"/>
    <n v="-1.6656598607295198E-2"/>
    <s v="CohortAvg"/>
    <n v="0.18942008579336059"/>
    <s v="CohortAvg"/>
    <n v="2.8230892635548201E-2"/>
    <s v="CohortAvg_NonZero"/>
    <n v="2.541881758135235E-8"/>
    <s v="CohortAvg"/>
    <n v="0"/>
    <s v="Zero"/>
    <n v="-1.0160931548208751E-2"/>
    <s v="CohortAvg"/>
    <n v="-6.8756282115189896E-5"/>
    <s v="CohortAvg"/>
    <n v="0"/>
    <n v="-29849.21"/>
    <n v="-24887.07"/>
    <n v="23584.81"/>
    <n v="0"/>
    <n v="0.04"/>
    <n v="-15181.72"/>
    <n v="-102.73"/>
    <n v="1462975.48"/>
    <n v="0.10693"/>
    <n v="0.89070000000000005"/>
    <n v="9.5241000000000006E-2"/>
    <s v="CohortTrend+Seasonal(0.891)"/>
    <n v="139335.23000000001"/>
    <n v="145856.54999999999"/>
    <n v="-6521.32"/>
    <x v="0"/>
    <n v="0"/>
    <n v="0.78500000000000003"/>
    <n v="0.24"/>
    <n v="0"/>
    <n v="0"/>
    <n v="0"/>
    <n v="145856.54999999999"/>
    <n v="1494127"/>
    <n v="9.7619999999999998E-2"/>
    <n v="-6521.32"/>
    <n v="-6521.28"/>
    <n v="0"/>
    <n v="-6521.28"/>
    <n v="1469496.77"/>
    <s v="Forecast"/>
  </r>
  <r>
    <x v="19"/>
    <x v="2"/>
    <s v="202501"/>
    <n v="28"/>
    <n v="2462020.11"/>
    <n v="-3.0459244386053051E-2"/>
    <s v="CohortAvg"/>
    <n v="-1.7545854754422531E-2"/>
    <s v="CohortAvg"/>
    <n v="0.1907343363905798"/>
    <s v="CohortAvg"/>
    <n v="1.55854921268369E-2"/>
    <s v="CohortAvg_NonZero"/>
    <n v="1.0703327426323949E-6"/>
    <s v="CohortAvg"/>
    <n v="0"/>
    <s v="Zero"/>
    <n v="-1.8914600074674898E-2"/>
    <s v="CohortAvg"/>
    <n v="-1.5429455496449341E-4"/>
    <s v="CohortAvg"/>
    <n v="0"/>
    <n v="-74991.27"/>
    <n v="-43198.25"/>
    <n v="39132.65"/>
    <n v="0"/>
    <n v="2.64"/>
    <n v="-46568.13"/>
    <n v="-379.88"/>
    <n v="2382960.61"/>
    <n v="0.11706999999999999"/>
    <n v="0.89070000000000005"/>
    <n v="0.104272"/>
    <s v="CohortTrend+Seasonal(0.891)"/>
    <n v="248475.89"/>
    <n v="261064.55"/>
    <n v="-12588.67"/>
    <x v="0"/>
    <n v="0"/>
    <n v="0.78500000000000003"/>
    <n v="0.24"/>
    <n v="0"/>
    <n v="0"/>
    <n v="0"/>
    <n v="261064.55"/>
    <n v="2462020.11"/>
    <n v="0.10603700000000001"/>
    <n v="-12588.67"/>
    <n v="-12586.03"/>
    <n v="0"/>
    <n v="-12586.03"/>
    <n v="2395546.64"/>
    <s v="Forecast"/>
  </r>
  <r>
    <x v="19"/>
    <x v="2"/>
    <s v="202502"/>
    <n v="27"/>
    <n v="2503653.2799999998"/>
    <n v="-3.4074676290784117E-2"/>
    <s v="CohortAvg"/>
    <n v="-1.7641281428156678E-2"/>
    <s v="CohortAvg"/>
    <n v="0.197166491673437"/>
    <s v="CohortAvg"/>
    <n v="7.9645373695133598E-3"/>
    <s v="CohortAvg_NonZero"/>
    <n v="0"/>
    <s v="CohortAvg"/>
    <n v="0"/>
    <s v="Zero"/>
    <n v="-3.4797046613949632E-2"/>
    <s v="CohortAvg"/>
    <n v="-3.1811907089179478E-4"/>
    <s v="CohortAvg"/>
    <n v="0"/>
    <n v="-85311.18"/>
    <n v="-44167.65"/>
    <n v="41136.379999999997"/>
    <n v="0"/>
    <n v="0"/>
    <n v="-87119.74"/>
    <n v="-796.46"/>
    <n v="2415310.83"/>
    <n v="0.12510199999999999"/>
    <n v="0.89070000000000005"/>
    <n v="0.111426"/>
    <s v="CohortTrend+Seasonal(0.891)"/>
    <n v="269127.98"/>
    <n v="281751.32"/>
    <n v="-12623.34"/>
    <x v="0"/>
    <n v="0"/>
    <n v="0.78500000000000003"/>
    <n v="0.24"/>
    <n v="0"/>
    <n v="0"/>
    <n v="0"/>
    <n v="281751.32"/>
    <n v="2503653.2799999998"/>
    <n v="0.112536"/>
    <n v="-12623.34"/>
    <n v="-12623.34"/>
    <n v="0"/>
    <n v="-12623.34"/>
    <n v="2427934.1800000002"/>
    <s v="Forecast"/>
  </r>
  <r>
    <x v="19"/>
    <x v="2"/>
    <s v="202503"/>
    <n v="26"/>
    <n v="3789541.8"/>
    <n v="-2.2744873365128721E-2"/>
    <s v="CohortAvg"/>
    <n v="-1.6985539214976409E-2"/>
    <s v="CohortAvg"/>
    <n v="0.20120670668021329"/>
    <s v="CohortAvg"/>
    <n v="7.1848262480383477E-3"/>
    <s v="CohortAvg_NonZero"/>
    <n v="1.495955214602093E-9"/>
    <s v="CohortAvg"/>
    <n v="0"/>
    <s v="Zero"/>
    <n v="0"/>
    <s v="CohortAvg"/>
    <n v="0"/>
    <s v="CohortAvg"/>
    <n v="0"/>
    <n v="-86192.65"/>
    <n v="-64367.41"/>
    <n v="63540.1"/>
    <n v="0"/>
    <n v="0.01"/>
    <n v="0"/>
    <n v="0"/>
    <n v="3702521.83"/>
    <n v="0.122027"/>
    <n v="0.89070000000000005"/>
    <n v="0.10868800000000001"/>
    <s v="CohortTrend+Seasonal(0.891)"/>
    <n v="402418.05"/>
    <n v="414741.6"/>
    <n v="-12323.55"/>
    <x v="0"/>
    <n v="0"/>
    <n v="0.78500000000000003"/>
    <n v="0.24"/>
    <n v="0"/>
    <n v="0"/>
    <n v="0"/>
    <n v="414741.6"/>
    <n v="3789541.8"/>
    <n v="0.109444"/>
    <n v="-12323.55"/>
    <n v="-12323.54"/>
    <n v="0"/>
    <n v="-12323.54"/>
    <n v="3714845.38"/>
    <s v="Forecast"/>
  </r>
  <r>
    <x v="19"/>
    <x v="2"/>
    <s v="202504"/>
    <n v="25"/>
    <n v="4730887.2300000004"/>
    <n v="-2.462524016843971E-2"/>
    <s v="CohortAvg"/>
    <n v="-1.6909140707961321E-2"/>
    <s v="CohortAvg"/>
    <n v="0.19642220754109019"/>
    <s v="CohortAvg"/>
    <n v="3.260907177009143E-3"/>
    <s v="CohortAvg_NonZero"/>
    <n v="0"/>
    <s v="CohortAvg"/>
    <n v="0"/>
    <s v="Zero"/>
    <n v="0"/>
    <s v="CohortAvg"/>
    <n v="0"/>
    <s v="CohortAvg"/>
    <n v="0"/>
    <n v="-116499.23"/>
    <n v="-79995.240000000005"/>
    <n v="77437.61"/>
    <n v="0"/>
    <n v="0"/>
    <n v="0"/>
    <n v="0"/>
    <n v="4611830.37"/>
    <n v="0.121283"/>
    <n v="0.89070000000000005"/>
    <n v="0.108025"/>
    <s v="CohortTrend+Seasonal(0.891)"/>
    <n v="498192.27"/>
    <n v="512491.64"/>
    <n v="-14299.37"/>
    <x v="0"/>
    <n v="0"/>
    <n v="0.78500000000000003"/>
    <n v="0.24"/>
    <n v="0"/>
    <n v="0"/>
    <n v="0"/>
    <n v="512491.64"/>
    <n v="4730887.2300000004"/>
    <n v="0.10832899999999999"/>
    <n v="-14299.37"/>
    <n v="-14299.37"/>
    <n v="0"/>
    <n v="-14299.37"/>
    <n v="4626129.74"/>
    <s v="Forecast"/>
  </r>
  <r>
    <x v="19"/>
    <x v="2"/>
    <s v="202505"/>
    <n v="24"/>
    <n v="4548054.7699999996"/>
    <n v="-2.7459947494678789E-2"/>
    <s v="CohortAvg"/>
    <n v="-1.659020578498762E-2"/>
    <s v="CohortAvg"/>
    <n v="0.19408273423598529"/>
    <s v="CohortAvg"/>
    <n v="0"/>
    <s v="CohortAvg_NoData_ERROR"/>
    <n v="0"/>
    <s v="CohortAvg"/>
    <n v="0"/>
    <s v="Zero"/>
    <n v="0"/>
    <s v="CohortAvg"/>
    <n v="0"/>
    <s v="CohortAvg"/>
    <n v="0"/>
    <n v="-124889.35"/>
    <n v="-75453.16"/>
    <n v="73558.240000000005"/>
    <n v="0"/>
    <n v="0"/>
    <n v="0"/>
    <n v="0"/>
    <n v="4421270.5"/>
    <n v="0.117892"/>
    <n v="0.89070000000000005"/>
    <n v="0.105004"/>
    <s v="CohortTrend+Seasonal(0.891)"/>
    <n v="464252.92"/>
    <n v="477192.74"/>
    <n v="-12939.82"/>
    <x v="0"/>
    <n v="0"/>
    <n v="0.78500000000000003"/>
    <n v="0.24"/>
    <n v="0"/>
    <n v="0"/>
    <n v="0"/>
    <n v="477192.74"/>
    <n v="4548054.7699999996"/>
    <n v="0.104922"/>
    <n v="-12939.82"/>
    <n v="-12939.82"/>
    <n v="0"/>
    <n v="-12939.82"/>
    <n v="4434210.32"/>
    <s v="Forecast"/>
  </r>
  <r>
    <x v="19"/>
    <x v="2"/>
    <s v="202506"/>
    <n v="23"/>
    <n v="5128545.1900000004"/>
    <n v="-2.0085180129135231E-2"/>
    <s v="CohortAvg"/>
    <n v="-1.6266678113676599E-2"/>
    <s v="CohortAvg"/>
    <n v="0.19774585140369511"/>
    <s v="CohortAvg"/>
    <n v="0"/>
    <s v="CohortAvg_NoData_ERROR"/>
    <n v="0"/>
    <s v="CohortAvg"/>
    <n v="0"/>
    <s v="Zero"/>
    <n v="0"/>
    <s v="CohortAvg"/>
    <n v="0"/>
    <s v="CohortAvg"/>
    <n v="0"/>
    <n v="-103007.75"/>
    <n v="-83424.39"/>
    <n v="84512.38"/>
    <n v="0"/>
    <n v="0"/>
    <n v="0"/>
    <n v="0"/>
    <n v="5026625.42"/>
    <n v="0.116217"/>
    <n v="0.89070000000000005"/>
    <n v="0.10351299999999999"/>
    <s v="CohortTrend+Seasonal(0.891)"/>
    <n v="520319.73"/>
    <n v="527744.28"/>
    <n v="-7424.54"/>
    <x v="0"/>
    <n v="0"/>
    <n v="0.78500000000000003"/>
    <n v="0.24"/>
    <n v="0"/>
    <n v="0"/>
    <n v="0"/>
    <n v="527744.28"/>
    <n v="5128545.1900000004"/>
    <n v="0.10290299999999999"/>
    <n v="-7424.54"/>
    <n v="-7424.54"/>
    <n v="0"/>
    <n v="-7424.54"/>
    <n v="5034049.96"/>
    <s v="Forecast"/>
  </r>
  <r>
    <x v="19"/>
    <x v="2"/>
    <s v="202507"/>
    <n v="22"/>
    <n v="6626089.4199999999"/>
    <n v="-1.6308553881231772E-2"/>
    <s v="CohortAvg"/>
    <n v="-1.7140191826275158E-2"/>
    <s v="CohortAvg"/>
    <n v="0.18885531579018811"/>
    <s v="CohortAvg"/>
    <n v="0"/>
    <s v="CohortAvg_NoData_ERROR"/>
    <n v="0"/>
    <s v="CohortAvg"/>
    <n v="0"/>
    <s v="Zero"/>
    <n v="0"/>
    <s v="CohortAvg"/>
    <n v="0"/>
    <s v="CohortAvg"/>
    <n v="0"/>
    <n v="-108061.94"/>
    <n v="-113572.44"/>
    <n v="104281.02"/>
    <n v="0"/>
    <n v="0"/>
    <n v="0"/>
    <n v="0"/>
    <n v="6508736.0599999996"/>
    <n v="0.109889"/>
    <n v="0.89070000000000005"/>
    <n v="9.7876000000000005E-2"/>
    <s v="CohortTrend+Seasonal(0.891)"/>
    <n v="637051.68000000005"/>
    <n v="642581.59"/>
    <n v="-5529.92"/>
    <x v="0"/>
    <n v="0"/>
    <n v="0.78500000000000003"/>
    <n v="0.24"/>
    <n v="0"/>
    <n v="0"/>
    <n v="0"/>
    <n v="642581.59"/>
    <n v="6626089.4199999999"/>
    <n v="9.6977999999999995E-2"/>
    <n v="-5529.92"/>
    <n v="-5529.92"/>
    <n v="0"/>
    <n v="-5529.92"/>
    <n v="6514265.9699999997"/>
    <s v="Forecast"/>
  </r>
  <r>
    <x v="19"/>
    <x v="2"/>
    <s v="202508"/>
    <n v="21"/>
    <n v="5994400.2599999998"/>
    <n v="-1.981441930561163E-2"/>
    <s v="CohortAvg"/>
    <n v="-1.212087562674834E-2"/>
    <s v="CohortAvg"/>
    <n v="0.19102961606181421"/>
    <s v="CohortAvg"/>
    <n v="0"/>
    <s v="CohortAvg_NoData_ERROR"/>
    <n v="3.5345739138342262E-5"/>
    <s v="CohortAvg"/>
    <n v="0"/>
    <s v="Zero"/>
    <n v="0"/>
    <s v="CohortAvg"/>
    <n v="0"/>
    <s v="CohortAvg"/>
    <n v="0"/>
    <n v="-118775.56"/>
    <n v="-72657.38"/>
    <n v="95425.66"/>
    <n v="0"/>
    <n v="211.88"/>
    <n v="0"/>
    <n v="0"/>
    <n v="5898181.1100000003"/>
    <n v="0.103561"/>
    <n v="0.89070000000000005"/>
    <n v="9.2240000000000003E-2"/>
    <s v="CohortTrend+Seasonal(0.891)"/>
    <n v="544048.67000000004"/>
    <n v="545800.29"/>
    <n v="-1751.62"/>
    <x v="0"/>
    <n v="0"/>
    <n v="0.78500000000000003"/>
    <n v="0.24"/>
    <n v="0"/>
    <n v="0"/>
    <n v="0"/>
    <n v="545800.29"/>
    <n v="5994400.2599999998"/>
    <n v="9.1051999999999994E-2"/>
    <n v="-1751.62"/>
    <n v="-1539.74"/>
    <n v="0"/>
    <n v="-1539.74"/>
    <n v="5899720.8499999996"/>
    <s v="Forecast"/>
  </r>
  <r>
    <x v="19"/>
    <x v="2"/>
    <s v="202509"/>
    <n v="20"/>
    <n v="209586.2"/>
    <n v="-0.26474529927283658"/>
    <s v="CohortAvg"/>
    <n v="-3.248299287569213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55486.96"/>
    <n v="-6807.99"/>
    <n v="8732.76"/>
    <n v="0"/>
    <n v="0"/>
    <n v="0"/>
    <n v="0"/>
    <n v="156024.01"/>
    <n v="9.7233E-2"/>
    <n v="0.89070000000000005"/>
    <n v="8.6604E-2"/>
    <s v="CohortTrend+Seasonal(0.891)"/>
    <n v="13512.26"/>
    <n v="18849.45"/>
    <n v="-5337.19"/>
    <x v="0"/>
    <n v="0"/>
    <n v="0.78500000000000003"/>
    <n v="0.24"/>
    <n v="0"/>
    <n v="0"/>
    <n v="0"/>
    <n v="18849.45"/>
    <n v="209586.2"/>
    <n v="8.9937000000000003E-2"/>
    <n v="-5337.19"/>
    <n v="-5337.19"/>
    <n v="0"/>
    <n v="-5337.19"/>
    <n v="161361.20000000001"/>
    <s v="Forecast"/>
  </r>
  <r>
    <x v="19"/>
    <x v="3"/>
    <s v="201912"/>
    <n v="89"/>
    <n v="43577.77"/>
    <n v="-6.8384214087059154E-3"/>
    <s v="CohortAvg"/>
    <n v="-6.4283999620554262E-4"/>
    <s v="CohortAvg"/>
    <n v="0"/>
    <s v="CohortAvg"/>
    <n v="3.0083319030977509E-2"/>
    <s v="CohortAvg_NonZero"/>
    <n v="2.829842234825595E-8"/>
    <s v="CohortAvg"/>
    <n v="0"/>
    <s v="Zero"/>
    <n v="0"/>
    <s v="CohortAvg"/>
    <n v="0"/>
    <s v="CohortAvg"/>
    <n v="0"/>
    <n v="-298"/>
    <n v="-28.01"/>
    <n v="0"/>
    <n v="0"/>
    <n v="0"/>
    <n v="0"/>
    <n v="0"/>
    <n v="43251.75"/>
    <n v="0.98814800000000003"/>
    <n v="0.93030000000000002"/>
    <n v="0.91930900000000004"/>
    <s v="CohortAvg+Seasonal(0.930)"/>
    <n v="39761.72"/>
    <n v="43569.440000000002"/>
    <n v="-3807.73"/>
    <x v="0"/>
    <n v="0"/>
    <n v="0.78500000000000003"/>
    <n v="0.24"/>
    <n v="0"/>
    <n v="0"/>
    <n v="0"/>
    <n v="43569.440000000002"/>
    <n v="43577.77"/>
    <n v="0.99980899999999995"/>
    <n v="-3807.73"/>
    <n v="-3807.73"/>
    <n v="0"/>
    <n v="-3807.73"/>
    <n v="47059.48"/>
    <s v="Forecast"/>
  </r>
  <r>
    <x v="19"/>
    <x v="3"/>
    <s v="202001"/>
    <n v="88"/>
    <n v="0.01"/>
    <n v="-0.5"/>
    <s v="CohortAvg"/>
    <n v="-7.6154636344153115E-7"/>
    <s v="CohortAvg"/>
    <n v="0"/>
    <s v="CohortAvg"/>
    <n v="1.8006829026493129E-2"/>
    <s v="CohortAvg_NonZero"/>
    <n v="0"/>
    <s v="CohortAvg"/>
    <n v="0"/>
    <s v="Zero"/>
    <n v="0"/>
    <s v="CohortAvg"/>
    <n v="0"/>
    <s v="CohortAvg"/>
    <n v="0"/>
    <n v="-0.01"/>
    <n v="0"/>
    <n v="0"/>
    <n v="0"/>
    <n v="0"/>
    <n v="0"/>
    <n v="0"/>
    <n v="0.01"/>
    <n v="0.81942999999999999"/>
    <n v="0.93030000000000002"/>
    <n v="0.76234400000000002"/>
    <s v="CohortAvg+Seasonal(0.930)"/>
    <n v="0"/>
    <n v="0.01"/>
    <n v="-0.01"/>
    <x v="0"/>
    <n v="0"/>
    <n v="0.78500000000000003"/>
    <n v="0.24"/>
    <n v="0"/>
    <n v="0"/>
    <n v="0"/>
    <n v="0.01"/>
    <n v="0.01"/>
    <n v="0.82880299999999996"/>
    <n v="-0.01"/>
    <n v="-0.01"/>
    <n v="0"/>
    <n v="-0.01"/>
    <n v="0.01"/>
    <s v="Forecast"/>
  </r>
  <r>
    <x v="19"/>
    <x v="3"/>
    <s v="202101"/>
    <n v="76"/>
    <n v="258447.61"/>
    <n v="-0.1051825144948373"/>
    <s v="CohortAvg"/>
    <n v="-8.112810336909403E-3"/>
    <s v="CohortAvg"/>
    <n v="0.1089046321477483"/>
    <s v="CohortAvg"/>
    <n v="6.1868118195502657E-3"/>
    <s v="CohortAvg_NonZero"/>
    <n v="0"/>
    <s v="CohortAvg"/>
    <n v="0"/>
    <s v="Zero"/>
    <n v="-6.7696214134758563E-6"/>
    <s v="CohortAvg"/>
    <n v="-7.1844194489988185E-8"/>
    <s v="CohortAvg"/>
    <n v="0"/>
    <n v="-27184.17"/>
    <n v="-2096.7399999999998"/>
    <n v="2345.5100000000002"/>
    <n v="0"/>
    <n v="0"/>
    <n v="-1.75"/>
    <n v="-0.02"/>
    <n v="231512.22"/>
    <n v="0.27619300000000002"/>
    <n v="0.93030000000000002"/>
    <n v="0.25695200000000001"/>
    <s v="CohortAvg+Seasonal(0.930)"/>
    <n v="59487.5"/>
    <n v="72216.399999999994"/>
    <n v="-12728.9"/>
    <x v="0"/>
    <n v="0"/>
    <n v="0.78500000000000003"/>
    <n v="0.24"/>
    <n v="0"/>
    <n v="0"/>
    <n v="0"/>
    <n v="72216.399999999994"/>
    <n v="258447.61"/>
    <n v="0.27942400000000001"/>
    <n v="-12728.9"/>
    <n v="-12728.9"/>
    <n v="0"/>
    <n v="-12728.9"/>
    <n v="244241.12"/>
    <s v="Forecast"/>
  </r>
  <r>
    <x v="19"/>
    <x v="3"/>
    <s v="202201"/>
    <n v="56"/>
    <n v="62681.88"/>
    <n v="-8.882235506718221E-2"/>
    <s v="CohortAvg"/>
    <n v="-1.037058964213552E-2"/>
    <s v="CohortAvg"/>
    <n v="0.1126173133667482"/>
    <s v="CohortAvg"/>
    <n v="3.3664020202407871E-2"/>
    <s v="CohortAvg_NonZero"/>
    <n v="9.0799679785495636E-4"/>
    <s v="CohortAvg"/>
    <n v="0"/>
    <s v="Zero"/>
    <n v="-7.0868996662013483E-6"/>
    <s v="CohortAvg"/>
    <n v="-6.0341063514954555E-8"/>
    <s v="CohortAvg"/>
    <n v="0"/>
    <n v="-5567.55"/>
    <n v="-650.04999999999995"/>
    <n v="588.26"/>
    <n v="0"/>
    <n v="56.91"/>
    <n v="-0.44"/>
    <n v="0"/>
    <n v="56995.62"/>
    <n v="0.304226"/>
    <n v="0.93030000000000002"/>
    <n v="0.28303200000000001"/>
    <s v="CohortAvg+Seasonal(0.930)"/>
    <n v="16131.59"/>
    <n v="19294.48"/>
    <n v="-3162.89"/>
    <x v="0"/>
    <n v="0"/>
    <n v="0.78500000000000003"/>
    <n v="0.24"/>
    <n v="0"/>
    <n v="0"/>
    <n v="0"/>
    <n v="19294.48"/>
    <n v="62681.88"/>
    <n v="0.30781599999999998"/>
    <n v="-3162.89"/>
    <n v="-3105.97"/>
    <n v="0"/>
    <n v="-3105.97"/>
    <n v="60101.599999999999"/>
    <s v="Forecast"/>
  </r>
  <r>
    <x v="19"/>
    <x v="3"/>
    <s v="202301"/>
    <n v="47"/>
    <n v="1032839.88"/>
    <n v="-6.9808972483710735E-2"/>
    <s v="CohortAvg"/>
    <n v="-1.6140554419767729E-2"/>
    <s v="CohortAvg"/>
    <n v="0.1907762509893639"/>
    <s v="CohortAvg"/>
    <n v="2.5288941222330719E-2"/>
    <s v="CohortAvg_NonZero"/>
    <n v="1.6942608519586291E-7"/>
    <s v="CohortAvg"/>
    <n v="0"/>
    <s v="Zero"/>
    <n v="-2.376153060814715E-3"/>
    <s v="CohortAvg"/>
    <n v="-1.3926868440910379E-5"/>
    <s v="CohortAvg"/>
    <n v="0"/>
    <n v="-72101.490000000005"/>
    <n v="-16670.61"/>
    <n v="16420.11"/>
    <n v="0"/>
    <n v="0.17"/>
    <n v="-2454.19"/>
    <n v="-14.38"/>
    <n v="960487.72"/>
    <n v="0.28082400000000002"/>
    <n v="0.93030000000000002"/>
    <n v="0.26125999999999999"/>
    <s v="CohortAvg+Seasonal(0.930)"/>
    <n v="250937.22"/>
    <n v="292458.19"/>
    <n v="-41520.97"/>
    <x v="0"/>
    <n v="0"/>
    <n v="0.78500000000000003"/>
    <n v="0.24"/>
    <n v="0"/>
    <n v="0"/>
    <n v="0"/>
    <n v="292458.19"/>
    <n v="1032839.88"/>
    <n v="0.28315899999999999"/>
    <n v="-41520.97"/>
    <n v="-41520.79"/>
    <n v="0"/>
    <n v="-41520.79"/>
    <n v="1002008.51"/>
    <s v="Forecast"/>
  </r>
  <r>
    <x v="19"/>
    <x v="3"/>
    <s v="202404"/>
    <n v="37"/>
    <n v="282447.09999999998"/>
    <n v="-5.0052324981345757E-2"/>
    <s v="CohortAvg"/>
    <n v="-1.75436248636671E-2"/>
    <s v="CohortAvg"/>
    <n v="0.19118913977769619"/>
    <s v="CohortAvg"/>
    <n v="6.3508403008636916E-2"/>
    <s v="CohortAvg_NonZero"/>
    <n v="8.6467097280500657E-7"/>
    <s v="CohortAvg"/>
    <n v="0"/>
    <s v="Zero"/>
    <n v="-1.056856539497201E-2"/>
    <s v="CohortAvg"/>
    <n v="-1.193241404551791E-4"/>
    <s v="CohortAvg"/>
    <n v="0"/>
    <n v="-14137.13"/>
    <n v="-4955.1499999999996"/>
    <n v="4500.07"/>
    <n v="0"/>
    <n v="0.24"/>
    <n v="-2985.06"/>
    <n v="-33.700000000000003"/>
    <n v="267854.64"/>
    <n v="0.22516900000000001"/>
    <n v="0.93030000000000002"/>
    <n v="0.209483"/>
    <s v="CohortTrend+Seasonal(0.930)"/>
    <n v="56111"/>
    <n v="62912.89"/>
    <n v="-6801.89"/>
    <x v="0"/>
    <n v="0"/>
    <n v="0.78500000000000003"/>
    <n v="0.24"/>
    <n v="0"/>
    <n v="0"/>
    <n v="0"/>
    <n v="62912.89"/>
    <n v="282447.09999999998"/>
    <n v="0.222742"/>
    <n v="-6801.89"/>
    <n v="-6801.65"/>
    <n v="0"/>
    <n v="-6801.65"/>
    <n v="274656.28999999998"/>
    <s v="Forecast"/>
  </r>
  <r>
    <x v="19"/>
    <x v="3"/>
    <s v="202405"/>
    <n v="36"/>
    <n v="267496.03999999998"/>
    <n v="-5.2140147588913388E-2"/>
    <s v="CohortAvg"/>
    <n v="-1.7932261328501901E-2"/>
    <s v="CohortAvg"/>
    <n v="0.19977885263336051"/>
    <s v="CohortAvg"/>
    <n v="4.5798335102517303E-2"/>
    <s v="CohortAvg_NonZero"/>
    <n v="6.6202676427998512E-8"/>
    <s v="CohortAvg"/>
    <n v="0"/>
    <s v="Zero"/>
    <n v="-1.2034283980555709E-2"/>
    <s v="CohortAvg"/>
    <n v="-1.0743686988598041E-4"/>
    <s v="CohortAvg"/>
    <n v="0"/>
    <n v="-13947.28"/>
    <n v="-4796.8100000000004"/>
    <n v="4453.34"/>
    <n v="0"/>
    <n v="0.02"/>
    <n v="-3219.12"/>
    <n v="-28.74"/>
    <n v="253205.27"/>
    <n v="0.17929200000000001"/>
    <n v="0.93030000000000002"/>
    <n v="0.166801"/>
    <s v="CohortTrend+Seasonal(0.930)"/>
    <n v="42234.98"/>
    <n v="47576.63"/>
    <n v="-5341.65"/>
    <x v="0"/>
    <n v="0"/>
    <n v="0.78500000000000003"/>
    <n v="0.24"/>
    <n v="0"/>
    <n v="0"/>
    <n v="0"/>
    <n v="47576.63"/>
    <n v="267496.03999999998"/>
    <n v="0.17785899999999999"/>
    <n v="-5341.65"/>
    <n v="-5341.63"/>
    <n v="0"/>
    <n v="-5341.63"/>
    <n v="258546.9"/>
    <s v="Forecast"/>
  </r>
  <r>
    <x v="19"/>
    <x v="3"/>
    <s v="202406"/>
    <n v="35"/>
    <n v="358210.08"/>
    <n v="-4.7999366754628132E-2"/>
    <s v="CohortAvg"/>
    <n v="-1.810575485955011E-2"/>
    <s v="CohortAvg"/>
    <n v="0.20236436061200791"/>
    <s v="CohortAvg"/>
    <n v="3.954105263974881E-2"/>
    <s v="CohortAvg_NonZero"/>
    <n v="4.7819347006549313E-8"/>
    <s v="CohortAvg"/>
    <n v="0"/>
    <s v="Zero"/>
    <n v="-1.375594164131109E-2"/>
    <s v="CohortAvg"/>
    <n v="-1.0420605272132141E-4"/>
    <s v="CohortAvg"/>
    <n v="0"/>
    <n v="-17193.86"/>
    <n v="-6485.66"/>
    <n v="6040.75"/>
    <n v="0"/>
    <n v="0.02"/>
    <n v="-4927.5200000000004"/>
    <n v="-37.33"/>
    <n v="340571.29"/>
    <n v="0.140463"/>
    <n v="0.93030000000000002"/>
    <n v="0.13067699999999999"/>
    <s v="CohortTrend+Seasonal(0.930)"/>
    <n v="44504.97"/>
    <n v="49946.36"/>
    <n v="-5441.39"/>
    <x v="0"/>
    <n v="0"/>
    <n v="0.78500000000000003"/>
    <n v="0.24"/>
    <n v="0"/>
    <n v="0"/>
    <n v="0"/>
    <n v="49946.36"/>
    <n v="358210.08"/>
    <n v="0.139433"/>
    <n v="-5441.39"/>
    <n v="-5441.37"/>
    <n v="0"/>
    <n v="-5441.37"/>
    <n v="346012.66"/>
    <s v="Forecast"/>
  </r>
  <r>
    <x v="19"/>
    <x v="3"/>
    <s v="202407"/>
    <n v="34"/>
    <n v="267240.64"/>
    <n v="-6.7747962587302216E-2"/>
    <s v="CohortAvg"/>
    <n v="-1.895141982696107E-2"/>
    <s v="CohortAvg"/>
    <n v="0.20662280119096441"/>
    <s v="CohortAvg"/>
    <n v="2.71041110533243E-2"/>
    <s v="CohortAvg_NonZero"/>
    <n v="4.4363494361676138E-6"/>
    <s v="CohortAvg"/>
    <n v="0"/>
    <s v="Zero"/>
    <n v="-1.689785996131813E-2"/>
    <s v="CohortAvg"/>
    <n v="-2.0081027758191801E-4"/>
    <s v="CohortAvg"/>
    <n v="0"/>
    <n v="-18105.009999999998"/>
    <n v="-5064.59"/>
    <n v="4601.5"/>
    <n v="0"/>
    <n v="1.19"/>
    <n v="-4515.79"/>
    <n v="-53.66"/>
    <n v="248671.35999999999"/>
    <n v="0.113078"/>
    <n v="0.93030000000000002"/>
    <n v="0.105201"/>
    <s v="CohortTrend+Seasonal(0.930)"/>
    <n v="26160.35"/>
    <n v="30065.97"/>
    <n v="-3905.62"/>
    <x v="0"/>
    <n v="0"/>
    <n v="0.78500000000000003"/>
    <n v="0.24"/>
    <n v="0"/>
    <n v="0"/>
    <n v="0"/>
    <n v="30065.97"/>
    <n v="267240.64"/>
    <n v="0.11250499999999999"/>
    <n v="-3905.62"/>
    <n v="-3904.43"/>
    <n v="0"/>
    <n v="-3904.43"/>
    <n v="252575.79"/>
    <s v="Forecast"/>
  </r>
  <r>
    <x v="19"/>
    <x v="3"/>
    <s v="202408"/>
    <n v="33"/>
    <n v="403433.11"/>
    <n v="-4.9817151062733378E-2"/>
    <s v="CohortAvg"/>
    <n v="-1.92749296778357E-2"/>
    <s v="CohortAvg"/>
    <n v="0.21379189756755271"/>
    <s v="CohortAvg"/>
    <n v="3.2207747076979237E-2"/>
    <s v="CohortAvg_NonZero"/>
    <n v="8.6906316492467648E-8"/>
    <s v="CohortAvg"/>
    <n v="0"/>
    <s v="Zero"/>
    <n v="-1.139095312816699E-2"/>
    <s v="CohortAvg"/>
    <n v="-9.777853365506267E-5"/>
    <s v="CohortAvg"/>
    <n v="0"/>
    <n v="-20097.89"/>
    <n v="-7776.14"/>
    <n v="7187.56"/>
    <n v="0"/>
    <n v="0.04"/>
    <n v="-4595.49"/>
    <n v="-39.450000000000003"/>
    <n v="382746.6"/>
    <n v="9.5483999999999999E-2"/>
    <n v="0.93030000000000002"/>
    <n v="8.8831999999999994E-2"/>
    <s v="CohortTrend+Seasonal(0.930)"/>
    <n v="34000.29"/>
    <n v="38438.269999999997"/>
    <n v="-4437.9799999999996"/>
    <x v="0"/>
    <n v="0"/>
    <n v="0.78500000000000003"/>
    <n v="0.24"/>
    <n v="0"/>
    <n v="0"/>
    <n v="0"/>
    <n v="38438.269999999997"/>
    <n v="403433.11"/>
    <n v="9.5278000000000002E-2"/>
    <n v="-4437.9799999999996"/>
    <n v="-4437.95"/>
    <n v="0"/>
    <n v="-4437.95"/>
    <n v="387184.55"/>
    <s v="Forecast"/>
  </r>
  <r>
    <x v="19"/>
    <x v="3"/>
    <s v="202409"/>
    <n v="32"/>
    <n v="231362.46"/>
    <n v="-7.3973571762828594E-2"/>
    <s v="CohortAvg"/>
    <n v="-2.01829856218162E-2"/>
    <s v="CohortAvg"/>
    <n v="0.2104261180294387"/>
    <s v="CohortAvg"/>
    <n v="3.5793062845120252E-2"/>
    <s v="CohortAvg_NonZero"/>
    <n v="5.9472761653269177E-8"/>
    <s v="CohortAvg"/>
    <n v="0"/>
    <s v="Zero"/>
    <n v="-1.40580784661491E-2"/>
    <s v="CohortAvg"/>
    <n v="-1.094500875026E-4"/>
    <s v="CohortAvg"/>
    <n v="0"/>
    <n v="-17114.71"/>
    <n v="-4669.59"/>
    <n v="4057.06"/>
    <n v="0"/>
    <n v="0.01"/>
    <n v="-3252.51"/>
    <n v="-25.32"/>
    <n v="213635.22"/>
    <n v="7.7635999999999997E-2"/>
    <n v="0.93030000000000002"/>
    <n v="7.2228000000000001E-2"/>
    <s v="CohortTrend+Seasonal(0.930)"/>
    <n v="15430.36"/>
    <n v="17992.759999999998"/>
    <n v="-2562.4"/>
    <x v="0"/>
    <n v="0"/>
    <n v="0.78500000000000003"/>
    <n v="0.24"/>
    <n v="0"/>
    <n v="0"/>
    <n v="0"/>
    <n v="17992.759999999998"/>
    <n v="231362.46"/>
    <n v="7.7769000000000005E-2"/>
    <n v="-2562.4"/>
    <n v="-2562.38"/>
    <n v="0"/>
    <n v="-2562.38"/>
    <n v="216197.6"/>
    <s v="Forecast"/>
  </r>
  <r>
    <x v="19"/>
    <x v="3"/>
    <s v="202410"/>
    <n v="31"/>
    <n v="339340.99"/>
    <n v="-4.8316723526814369E-2"/>
    <s v="CohortAvg"/>
    <n v="-2.000162908354329E-2"/>
    <s v="CohortAvg"/>
    <n v="0.21309674055901681"/>
    <s v="CohortAvg"/>
    <n v="3.7774674446316298E-2"/>
    <s v="CohortAvg_NonZero"/>
    <n v="8.6749899170102564E-7"/>
    <s v="CohortAvg"/>
    <n v="0"/>
    <s v="Zero"/>
    <n v="-1.9375439330464681E-2"/>
    <s v="CohortAvg"/>
    <n v="-1.5668917321853051E-4"/>
    <s v="CohortAvg"/>
    <n v="0"/>
    <n v="-16395.84"/>
    <n v="-6787.37"/>
    <n v="6026.04"/>
    <n v="0"/>
    <n v="0.28999999999999998"/>
    <n v="-6574.88"/>
    <n v="-53.17"/>
    <n v="322183.51"/>
    <n v="7.1765999999999996E-2"/>
    <n v="0.93030000000000002"/>
    <n v="6.6766000000000006E-2"/>
    <s v="CohortTrend+Seasonal(0.930)"/>
    <n v="21511"/>
    <n v="24410.51"/>
    <n v="-2899.51"/>
    <x v="0"/>
    <n v="0"/>
    <n v="0.78500000000000003"/>
    <n v="0.24"/>
    <n v="0"/>
    <n v="0"/>
    <n v="0"/>
    <n v="24410.51"/>
    <n v="339340.99"/>
    <n v="7.1934999999999999E-2"/>
    <n v="-2899.51"/>
    <n v="-2899.21"/>
    <n v="0"/>
    <n v="-2899.21"/>
    <n v="325082.73"/>
    <s v="Forecast"/>
  </r>
  <r>
    <x v="19"/>
    <x v="3"/>
    <s v="202411"/>
    <n v="30"/>
    <n v="381417.77"/>
    <n v="-5.2227471922320953E-2"/>
    <s v="CohortAvg"/>
    <n v="-2.0126835234674911E-2"/>
    <s v="CohortAvg"/>
    <n v="0.2230142985135066"/>
    <s v="CohortAvg"/>
    <n v="2.8772232366714671E-2"/>
    <s v="CohortAvg_NonZero"/>
    <n v="1.942257718507322E-8"/>
    <s v="CohortAvg"/>
    <n v="0"/>
    <s v="Zero"/>
    <n v="-2.4234729646360829E-2"/>
    <s v="CohortAvg"/>
    <n v="-2.2374154106912059E-4"/>
    <s v="CohortAvg"/>
    <n v="0"/>
    <n v="-19920.490000000002"/>
    <n v="-7676.73"/>
    <n v="7088.47"/>
    <n v="0"/>
    <n v="0.01"/>
    <n v="-9243.56"/>
    <n v="-85.34"/>
    <n v="360909.01"/>
    <n v="6.7137000000000002E-2"/>
    <n v="0.93030000000000002"/>
    <n v="6.2460000000000002E-2"/>
    <s v="CohortTrend+Seasonal(0.930)"/>
    <n v="22542.22"/>
    <n v="25612.36"/>
    <n v="-3070.13"/>
    <x v="0"/>
    <n v="0"/>
    <n v="0.78500000000000003"/>
    <n v="0.24"/>
    <n v="0"/>
    <n v="0"/>
    <n v="0"/>
    <n v="25612.36"/>
    <n v="381417.77"/>
    <n v="6.7150000000000001E-2"/>
    <n v="-3070.13"/>
    <n v="-3070.13"/>
    <n v="0"/>
    <n v="-3070.13"/>
    <n v="363979.14"/>
    <s v="Forecast"/>
  </r>
  <r>
    <x v="19"/>
    <x v="3"/>
    <s v="202412"/>
    <n v="29"/>
    <n v="404859.82"/>
    <n v="-5.0387448656619947E-2"/>
    <s v="CohortAvg"/>
    <n v="-2.0615387076444721E-2"/>
    <s v="CohortAvg"/>
    <n v="0.2219896329403841"/>
    <s v="CohortAvg"/>
    <n v="3.3024780423946382E-2"/>
    <s v="CohortAvg_NonZero"/>
    <n v="8.4908611331102634E-7"/>
    <s v="CohortAvg"/>
    <n v="0"/>
    <s v="Zero"/>
    <n v="-4.4492099156430133E-2"/>
    <s v="CohortAvg"/>
    <n v="-4.61506970525498E-4"/>
    <s v="CohortAvg"/>
    <n v="0"/>
    <n v="-20399.849999999999"/>
    <n v="-8346.34"/>
    <n v="7489.56"/>
    <n v="0"/>
    <n v="0.34"/>
    <n v="-18013.060000000001"/>
    <n v="-186.85"/>
    <n v="383602.84"/>
    <n v="7.0022000000000001E-2"/>
    <n v="0.93030000000000002"/>
    <n v="6.5143999999999994E-2"/>
    <s v="CohortTrend+Seasonal(0.930)"/>
    <n v="24989.55"/>
    <n v="28191.45"/>
    <n v="-3201.9"/>
    <x v="0"/>
    <n v="0"/>
    <n v="0.78500000000000003"/>
    <n v="0.24"/>
    <n v="0"/>
    <n v="0"/>
    <n v="0"/>
    <n v="28191.45"/>
    <n v="404859.82"/>
    <n v="6.9633E-2"/>
    <n v="-3201.9"/>
    <n v="-3201.56"/>
    <n v="0"/>
    <n v="-3201.56"/>
    <n v="386804.39"/>
    <s v="Forecast"/>
  </r>
  <r>
    <x v="19"/>
    <x v="3"/>
    <s v="202501"/>
    <n v="28"/>
    <n v="706053.96"/>
    <n v="-5.2595963537584063E-2"/>
    <s v="CohortAvg"/>
    <n v="-2.0834770633398319E-2"/>
    <s v="CohortAvg"/>
    <n v="0.2249561833837343"/>
    <s v="CohortAvg"/>
    <n v="1.4166085534565409E-2"/>
    <s v="CohortAvg_NonZero"/>
    <n v="1.519565432937824E-5"/>
    <s v="CohortAvg"/>
    <n v="0"/>
    <s v="Zero"/>
    <n v="-4.3287146999735397E-2"/>
    <s v="CohortAvg"/>
    <n v="-4.6033768877049529E-4"/>
    <s v="CohortAvg"/>
    <n v="0"/>
    <n v="-37135.589999999997"/>
    <n v="-14710.47"/>
    <n v="13235.93"/>
    <n v="0"/>
    <n v="10.73"/>
    <n v="-30563.06"/>
    <n v="-325.02"/>
    <n v="667433.1"/>
    <n v="7.4021000000000003E-2"/>
    <n v="0.93030000000000002"/>
    <n v="6.8864999999999996E-2"/>
    <s v="CohortTrend+Seasonal(0.930)"/>
    <n v="45962.53"/>
    <n v="51617.41"/>
    <n v="-5654.88"/>
    <x v="0"/>
    <n v="0"/>
    <n v="0.78500000000000003"/>
    <n v="0.24"/>
    <n v="0"/>
    <n v="0"/>
    <n v="0"/>
    <n v="51617.41"/>
    <n v="706053.96"/>
    <n v="7.3107000000000005E-2"/>
    <n v="-5654.88"/>
    <n v="-5644.15"/>
    <n v="0"/>
    <n v="-5644.15"/>
    <n v="673077.26"/>
    <s v="Forecast"/>
  </r>
  <r>
    <x v="19"/>
    <x v="3"/>
    <s v="202502"/>
    <n v="27"/>
    <n v="752123.19"/>
    <n v="-5.3378381768108267E-2"/>
    <s v="CohortAvg"/>
    <n v="-1.9139576189374629E-2"/>
    <s v="CohortAvg"/>
    <n v="0.22668586382679609"/>
    <s v="CohortAvg"/>
    <n v="1.9525959553964339E-2"/>
    <s v="CohortAvg_NonZero"/>
    <n v="3.9019697376751762E-4"/>
    <s v="CohortAvg"/>
    <n v="0"/>
    <s v="Zero"/>
    <n v="-9.2209966058744486E-2"/>
    <s v="CohortAvg"/>
    <n v="-1.199023292822984E-3"/>
    <s v="CohortAvg"/>
    <n v="0"/>
    <n v="-40147.120000000003"/>
    <n v="-14395.32"/>
    <n v="14207.97"/>
    <n v="0"/>
    <n v="293.48"/>
    <n v="-69353.25"/>
    <n v="-901.81"/>
    <n v="711495.26"/>
    <n v="7.2649000000000005E-2"/>
    <n v="0.93030000000000002"/>
    <n v="6.7587999999999995E-2"/>
    <s v="CohortTrend+Seasonal(0.930)"/>
    <n v="48088.76"/>
    <n v="53814.69"/>
    <n v="-5725.93"/>
    <x v="0"/>
    <n v="0"/>
    <n v="0.78500000000000003"/>
    <n v="0.24"/>
    <n v="0"/>
    <n v="0"/>
    <n v="0"/>
    <n v="53814.69"/>
    <n v="752123.19"/>
    <n v="7.1550000000000002E-2"/>
    <n v="-5725.93"/>
    <n v="-5432.45"/>
    <n v="0"/>
    <n v="-5432.45"/>
    <n v="716927.71"/>
    <s v="Forecast"/>
  </r>
  <r>
    <x v="19"/>
    <x v="3"/>
    <s v="202503"/>
    <n v="26"/>
    <n v="1033609.32"/>
    <n v="-4.5518668041221177E-2"/>
    <s v="CohortAvg"/>
    <n v="-2.195926086002192E-2"/>
    <s v="CohortAvg"/>
    <n v="0.25478702322742341"/>
    <s v="CohortAvg"/>
    <n v="4.6176837495393924E-3"/>
    <s v="CohortAvg_NonZero"/>
    <n v="6.6662227219200569E-9"/>
    <s v="CohortAvg"/>
    <n v="0"/>
    <s v="Zero"/>
    <n v="0"/>
    <s v="CohortAvg"/>
    <n v="0"/>
    <s v="CohortAvg"/>
    <n v="0"/>
    <n v="-47048.52"/>
    <n v="-22697.3"/>
    <n v="21945.85"/>
    <n v="0"/>
    <n v="0.01"/>
    <n v="0"/>
    <n v="0"/>
    <n v="985809.35"/>
    <n v="8.1873000000000001E-2"/>
    <n v="0.93030000000000002"/>
    <n v="7.6170000000000002E-2"/>
    <s v="CohortTrend+Seasonal(0.930)"/>
    <n v="75088.740000000005"/>
    <n v="82472.28"/>
    <n v="-7383.54"/>
    <x v="0"/>
    <n v="0"/>
    <n v="0.78500000000000003"/>
    <n v="0.24"/>
    <n v="0"/>
    <n v="0"/>
    <n v="0"/>
    <n v="82472.28"/>
    <n v="1033609.32"/>
    <n v="7.9791000000000001E-2"/>
    <n v="-7383.54"/>
    <n v="-7383.54"/>
    <n v="0"/>
    <n v="-7383.54"/>
    <n v="993192.89"/>
    <s v="Forecast"/>
  </r>
  <r>
    <x v="19"/>
    <x v="3"/>
    <s v="202504"/>
    <n v="25"/>
    <n v="781001.9"/>
    <n v="-5.5774650807487829E-2"/>
    <s v="CohortAvg"/>
    <n v="-2.2022039139270311E-2"/>
    <s v="CohortAvg"/>
    <n v="0.25069013859665962"/>
    <s v="CohortAvg"/>
    <n v="2.1791689037598898E-3"/>
    <s v="CohortAvg_NonZero"/>
    <n v="5.2600566994982309E-9"/>
    <s v="CohortAvg"/>
    <n v="0"/>
    <s v="Zero"/>
    <n v="0"/>
    <s v="CohortAvg"/>
    <n v="0"/>
    <s v="CohortAvg"/>
    <n v="0"/>
    <n v="-43560.11"/>
    <n v="-17199.25"/>
    <n v="16315.79"/>
    <n v="0"/>
    <n v="0"/>
    <n v="0"/>
    <n v="0"/>
    <n v="736558.32"/>
    <n v="8.1188999999999997E-2"/>
    <n v="0.93030000000000002"/>
    <n v="7.5533000000000003E-2"/>
    <s v="CohortTrend+Seasonal(0.930)"/>
    <n v="55634.35"/>
    <n v="61569.49"/>
    <n v="-5935.14"/>
    <x v="0"/>
    <n v="0"/>
    <n v="0.78500000000000003"/>
    <n v="0.24"/>
    <n v="0"/>
    <n v="0"/>
    <n v="0"/>
    <n v="61569.49"/>
    <n v="781001.9"/>
    <n v="7.8834000000000001E-2"/>
    <n v="-5935.14"/>
    <n v="-5935.13"/>
    <n v="0"/>
    <n v="-5935.13"/>
    <n v="742493.45"/>
    <s v="Forecast"/>
  </r>
  <r>
    <x v="19"/>
    <x v="3"/>
    <s v="202505"/>
    <n v="24"/>
    <n v="1029981.42"/>
    <n v="-4.9415833925715337E-2"/>
    <s v="CohortAvg"/>
    <n v="-2.152532279654196E-2"/>
    <s v="CohortAvg"/>
    <n v="0.24359506350465859"/>
    <s v="CohortAvg"/>
    <n v="0"/>
    <s v="CohortAvg_NoData_ERROR"/>
    <n v="0"/>
    <s v="CohortAvg"/>
    <n v="0"/>
    <s v="Zero"/>
    <n v="0"/>
    <s v="CohortAvg"/>
    <n v="0"/>
    <s v="CohortAvg"/>
    <n v="0"/>
    <n v="-50897.39"/>
    <n v="-22170.68"/>
    <n v="20908.2"/>
    <n v="0"/>
    <n v="0"/>
    <n v="0"/>
    <n v="0"/>
    <n v="977821.54"/>
    <n v="8.5994000000000001E-2"/>
    <n v="0.93030000000000002"/>
    <n v="8.0003000000000005E-2"/>
    <s v="CohortTrend+Seasonal(0.930)"/>
    <n v="78228.67"/>
    <n v="85304.11"/>
    <n v="-7075.44"/>
    <x v="0"/>
    <n v="0"/>
    <n v="0.78500000000000003"/>
    <n v="0.24"/>
    <n v="0"/>
    <n v="0"/>
    <n v="0"/>
    <n v="85304.11"/>
    <n v="1029981.42"/>
    <n v="8.2821000000000006E-2"/>
    <n v="-7075.44"/>
    <n v="-7075.44"/>
    <n v="0"/>
    <n v="-7075.44"/>
    <n v="984896.98"/>
    <s v="Forecast"/>
  </r>
  <r>
    <x v="19"/>
    <x v="3"/>
    <s v="202506"/>
    <n v="23"/>
    <n v="1115206.9099999999"/>
    <n v="-5.3689135278694837E-2"/>
    <s v="CohortAvg"/>
    <n v="-2.2619729744530651E-2"/>
    <s v="CohortAvg"/>
    <n v="0.25604267806471348"/>
    <s v="CohortAvg"/>
    <n v="0"/>
    <s v="CohortAvg_NoData_ERROR"/>
    <n v="0"/>
    <s v="CohortAvg"/>
    <n v="0"/>
    <s v="Zero"/>
    <n v="0"/>
    <s v="CohortAvg"/>
    <n v="0"/>
    <s v="CohortAvg"/>
    <n v="0"/>
    <n v="-59874.49"/>
    <n v="-25225.68"/>
    <n v="23795.05"/>
    <n v="0"/>
    <n v="0"/>
    <n v="0"/>
    <n v="0"/>
    <n v="1053901.78"/>
    <n v="8.4981000000000001E-2"/>
    <n v="0.93030000000000002"/>
    <n v="7.9061000000000006E-2"/>
    <s v="CohortTrend+Seasonal(0.930)"/>
    <n v="83322.720000000001"/>
    <n v="90813.34"/>
    <n v="-7490.63"/>
    <x v="0"/>
    <n v="0"/>
    <n v="0.78500000000000003"/>
    <n v="0.24"/>
    <n v="0"/>
    <n v="0"/>
    <n v="0"/>
    <n v="90813.34"/>
    <n v="1115206.9099999999"/>
    <n v="8.1432000000000004E-2"/>
    <n v="-7490.63"/>
    <n v="-7490.63"/>
    <n v="0"/>
    <n v="-7490.63"/>
    <n v="1061392.4099999999"/>
    <s v="Forecast"/>
  </r>
  <r>
    <x v="19"/>
    <x v="3"/>
    <s v="202507"/>
    <n v="22"/>
    <n v="1634674.69"/>
    <n v="-3.9682887205866858E-2"/>
    <s v="CohortAvg"/>
    <n v="-2.382995325993147E-2"/>
    <s v="CohortAvg"/>
    <n v="0.25784578826380788"/>
    <s v="CohortAvg"/>
    <n v="0"/>
    <s v="CohortAvg_NoData_ERROR"/>
    <n v="0"/>
    <s v="CohortAvg"/>
    <n v="0"/>
    <s v="Zero"/>
    <n v="0"/>
    <s v="CohortAvg"/>
    <n v="0"/>
    <s v="CohortAvg"/>
    <n v="0"/>
    <n v="-64868.61"/>
    <n v="-38954.22"/>
    <n v="35124.5"/>
    <n v="0"/>
    <n v="0"/>
    <n v="0"/>
    <n v="0"/>
    <n v="1565976.36"/>
    <n v="8.0482999999999999E-2"/>
    <n v="0.93030000000000002"/>
    <n v="7.4875999999999998E-2"/>
    <s v="CohortTrend+Seasonal(0.930)"/>
    <n v="117254.13"/>
    <n v="125674.25"/>
    <n v="-8420.1200000000008"/>
    <x v="0"/>
    <n v="0"/>
    <n v="0.78500000000000003"/>
    <n v="0.24"/>
    <n v="0"/>
    <n v="0"/>
    <n v="0"/>
    <n v="125674.25"/>
    <n v="1634674.69"/>
    <n v="7.6880000000000004E-2"/>
    <n v="-8420.1200000000008"/>
    <n v="-8420.1200000000008"/>
    <n v="0"/>
    <n v="-8420.1200000000008"/>
    <n v="1574396.47"/>
    <s v="Forecast"/>
  </r>
  <r>
    <x v="19"/>
    <x v="3"/>
    <s v="202508"/>
    <n v="21"/>
    <n v="1905103.32"/>
    <n v="-3.9788404745723739E-2"/>
    <s v="CohortAvg"/>
    <n v="-1.8247101946077409E-2"/>
    <s v="CohortAvg"/>
    <n v="0.24883632943690581"/>
    <s v="CohortAvg"/>
    <n v="0"/>
    <s v="CohortAvg_NoData_ERROR"/>
    <n v="0"/>
    <s v="CohortAvg"/>
    <n v="0"/>
    <s v="Zero"/>
    <n v="0"/>
    <s v="CohortAvg"/>
    <n v="0"/>
    <s v="CohortAvg"/>
    <n v="0"/>
    <n v="-75801.02"/>
    <n v="-34762.61"/>
    <n v="39504.910000000003"/>
    <n v="0"/>
    <n v="0"/>
    <n v="0"/>
    <n v="0"/>
    <n v="1834044.59"/>
    <n v="7.5983999999999996E-2"/>
    <n v="0.93030000000000002"/>
    <n v="7.0691000000000004E-2"/>
    <s v="CohortTrend+Seasonal(0.930)"/>
    <n v="129650.31"/>
    <n v="137793.69"/>
    <n v="-8143.38"/>
    <x v="0"/>
    <n v="0"/>
    <n v="0.78500000000000003"/>
    <n v="0.24"/>
    <n v="0"/>
    <n v="0"/>
    <n v="0"/>
    <n v="137793.69"/>
    <n v="1905103.32"/>
    <n v="7.2329000000000004E-2"/>
    <n v="-8143.38"/>
    <n v="-8143.38"/>
    <n v="0"/>
    <n v="-8143.38"/>
    <n v="1842187.97"/>
    <s v="Forecast"/>
  </r>
  <r>
    <x v="19"/>
    <x v="3"/>
    <s v="202509"/>
    <n v="20"/>
    <n v="85460.2"/>
    <n v="-0.25564037417882668"/>
    <s v="CohortAvg"/>
    <n v="-3.740016920697125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1847.08"/>
    <n v="-3196.23"/>
    <n v="3560.84"/>
    <n v="0"/>
    <n v="0"/>
    <n v="0"/>
    <n v="0"/>
    <n v="63977.74"/>
    <n v="7.1485999999999994E-2"/>
    <n v="0.93030000000000002"/>
    <n v="6.6505999999999996E-2"/>
    <s v="CohortTrend+Seasonal(0.930)"/>
    <n v="4254.8900000000003"/>
    <n v="6211.5"/>
    <n v="-1956.61"/>
    <x v="0"/>
    <n v="0"/>
    <n v="0.78500000000000003"/>
    <n v="0.24"/>
    <n v="0"/>
    <n v="0"/>
    <n v="0"/>
    <n v="6211.5"/>
    <n v="85460.2"/>
    <n v="7.2682999999999998E-2"/>
    <n v="-1956.61"/>
    <n v="-1956.61"/>
    <n v="0"/>
    <n v="-1956.61"/>
    <n v="65934.350000000006"/>
    <s v="Forecast"/>
  </r>
  <r>
    <x v="19"/>
    <x v="4"/>
    <s v="202101"/>
    <n v="74"/>
    <n v="163468.26"/>
    <n v="-0.13746240959814729"/>
    <s v="CohortAvg"/>
    <n v="-1.153095549829777E-2"/>
    <s v="CohortAvg"/>
    <n v="0.1318998230165904"/>
    <s v="CohortAvg"/>
    <n v="4.6014725449368521E-2"/>
    <s v="CohortAvg_NonZero"/>
    <n v="0"/>
    <s v="CohortAvg"/>
    <n v="0"/>
    <s v="Zero"/>
    <n v="0"/>
    <s v="CohortAvg"/>
    <n v="0"/>
    <s v="CohortAvg"/>
    <n v="0"/>
    <n v="-22470.74"/>
    <n v="-1884.95"/>
    <n v="1796.79"/>
    <n v="0"/>
    <n v="0"/>
    <n v="0"/>
    <n v="0"/>
    <n v="140909.35999999999"/>
    <n v="0.17011699999999999"/>
    <n v="0.91620000000000001"/>
    <n v="0.155862"/>
    <s v="CohortAvg+Seasonal(0.916)"/>
    <n v="21962.36"/>
    <n v="25865.51"/>
    <n v="-3903.15"/>
    <x v="0"/>
    <n v="0"/>
    <n v="0.78500000000000003"/>
    <n v="0.24"/>
    <n v="0"/>
    <n v="0"/>
    <n v="0"/>
    <n v="25865.51"/>
    <n v="163468.26"/>
    <n v="0.15823000000000001"/>
    <n v="-3903.15"/>
    <n v="-3903.15"/>
    <n v="0"/>
    <n v="-3903.15"/>
    <n v="144812.51"/>
    <s v="Forecast"/>
  </r>
  <r>
    <x v="19"/>
    <x v="4"/>
    <s v="202201"/>
    <n v="56"/>
    <n v="13457.62"/>
    <n v="-9.8920061893662689E-2"/>
    <s v="CohortAvg"/>
    <n v="-9.5725776722406595E-3"/>
    <s v="CohortAvg"/>
    <n v="9.9593040542150638E-2"/>
    <s v="CohortAvg"/>
    <n v="3.6324725852852367E-2"/>
    <s v="CohortAvg_NonZero"/>
    <n v="1.6675509258908281E-10"/>
    <s v="CohortAvg"/>
    <n v="0"/>
    <s v="Zero"/>
    <n v="0"/>
    <s v="CohortAvg"/>
    <n v="0"/>
    <s v="CohortAvg"/>
    <n v="0"/>
    <n v="-1331.23"/>
    <n v="-128.82"/>
    <n v="111.69"/>
    <n v="0"/>
    <n v="0"/>
    <n v="0"/>
    <n v="0"/>
    <n v="12109.26"/>
    <n v="3.9078000000000002E-2"/>
    <n v="0.91620000000000001"/>
    <n v="3.5804000000000002E-2"/>
    <s v="CohortAvg+Seasonal(0.916)"/>
    <n v="433.56"/>
    <n v="489.58"/>
    <n v="-56.02"/>
    <x v="0"/>
    <n v="0"/>
    <n v="0.78500000000000003"/>
    <n v="0.24"/>
    <n v="0"/>
    <n v="0"/>
    <n v="0"/>
    <n v="489.58"/>
    <n v="13457.62"/>
    <n v="3.6379000000000002E-2"/>
    <n v="-56.02"/>
    <n v="-56.02"/>
    <n v="0"/>
    <n v="-56.02"/>
    <n v="12165.28"/>
    <s v="Forecast"/>
  </r>
  <r>
    <x v="19"/>
    <x v="4"/>
    <s v="202405"/>
    <n v="36"/>
    <n v="3488.6"/>
    <n v="-1.675206079147739E-2"/>
    <s v="CohortAvg"/>
    <n v="-1.0460576480838779E-2"/>
    <s v="CohortAvg"/>
    <n v="0.1215718926334118"/>
    <s v="CohortAvg"/>
    <n v="0"/>
    <s v="CohortAvg_NoData_ERROR"/>
    <n v="0"/>
    <s v="CohortAvg"/>
    <n v="0"/>
    <s v="Zero"/>
    <n v="0"/>
    <s v="CohortAvg"/>
    <n v="0"/>
    <s v="CohortAvg"/>
    <n v="0"/>
    <n v="-58.44"/>
    <n v="-36.49"/>
    <n v="35.340000000000003"/>
    <n v="0"/>
    <n v="0"/>
    <n v="0"/>
    <n v="0"/>
    <n v="3429.01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3488.6"/>
    <n v="0"/>
    <n v="0"/>
    <n v="0"/>
    <n v="0"/>
    <n v="0"/>
    <n v="3429.01"/>
    <s v="Forecast"/>
  </r>
  <r>
    <x v="19"/>
    <x v="4"/>
    <s v="202407"/>
    <n v="34"/>
    <n v="1093.03"/>
    <n v="-5.3624232164525887E-2"/>
    <s v="CohortAvg"/>
    <n v="-1.049729395109159E-2"/>
    <s v="CohortAvg"/>
    <n v="0.1204577981404187"/>
    <s v="CohortAvg"/>
    <n v="0"/>
    <s v="CohortAvg_NoData_ERROR"/>
    <n v="0"/>
    <s v="CohortAvg"/>
    <n v="0"/>
    <s v="Zero"/>
    <n v="0"/>
    <s v="CohortAvg"/>
    <n v="0"/>
    <s v="CohortAvg"/>
    <n v="0"/>
    <n v="-58.61"/>
    <n v="-11.47"/>
    <n v="10.97"/>
    <n v="0"/>
    <n v="0"/>
    <n v="0"/>
    <n v="0"/>
    <n v="1033.92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1093.03"/>
    <n v="0"/>
    <n v="0"/>
    <n v="0"/>
    <n v="0"/>
    <n v="0"/>
    <n v="1033.92"/>
    <s v="Forecast"/>
  </r>
  <r>
    <x v="19"/>
    <x v="4"/>
    <s v="202409"/>
    <n v="32"/>
    <n v="4394.1400000000003"/>
    <n v="-4.3482160748477952E-2"/>
    <s v="CohortAvg"/>
    <n v="-1.046694551270853E-2"/>
    <s v="CohortAvg"/>
    <n v="0.1208176602173877"/>
    <s v="CohortAvg"/>
    <n v="0"/>
    <s v="CohortAvg_NoData_ERROR"/>
    <n v="0"/>
    <s v="CohortAvg"/>
    <n v="0"/>
    <s v="Zero"/>
    <n v="0"/>
    <s v="CohortAvg"/>
    <n v="0"/>
    <s v="CohortAvg"/>
    <n v="0"/>
    <n v="-191.07"/>
    <n v="-45.99"/>
    <n v="44.24"/>
    <n v="0"/>
    <n v="0"/>
    <n v="0"/>
    <n v="0"/>
    <n v="4201.32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4394.1400000000003"/>
    <n v="0"/>
    <n v="0"/>
    <n v="0"/>
    <n v="0"/>
    <n v="0"/>
    <n v="4201.32"/>
    <s v="Forecast"/>
  </r>
  <r>
    <x v="19"/>
    <x v="4"/>
    <s v="202504"/>
    <n v="25"/>
    <n v="3636.98"/>
    <n v="-1.298300248216468E-2"/>
    <s v="CohortAvg"/>
    <n v="-1.0430269212685439E-2"/>
    <s v="CohortAvg"/>
    <n v="0.12560523217671521"/>
    <s v="CohortAvg"/>
    <n v="0"/>
    <s v="CohortAvg_NoData_ERROR"/>
    <n v="0"/>
    <s v="CohortAvg"/>
    <n v="0"/>
    <s v="Zero"/>
    <n v="0"/>
    <s v="CohortAvg"/>
    <n v="0"/>
    <s v="CohortAvg"/>
    <n v="0"/>
    <n v="-47.22"/>
    <n v="-37.93"/>
    <n v="38.07"/>
    <n v="0"/>
    <n v="0"/>
    <n v="0"/>
    <n v="0"/>
    <n v="3589.89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3636.98"/>
    <n v="0"/>
    <n v="0"/>
    <n v="0"/>
    <n v="0"/>
    <n v="0"/>
    <n v="3589.89"/>
    <s v="Forecast"/>
  </r>
  <r>
    <x v="19"/>
    <x v="4"/>
    <s v="202507"/>
    <n v="22"/>
    <n v="8231.7099999999991"/>
    <n v="-1.166292645450401E-2"/>
    <s v="CohortAvg"/>
    <n v="-1.1528697119718861E-2"/>
    <s v="CohortAvg"/>
    <n v="0.1371823801504265"/>
    <s v="CohortAvg"/>
    <n v="0"/>
    <s v="CohortAvg_NoData_ERROR"/>
    <n v="0"/>
    <s v="CohortAvg"/>
    <n v="0"/>
    <s v="Zero"/>
    <n v="0"/>
    <s v="CohortAvg"/>
    <n v="0"/>
    <s v="CohortAvg"/>
    <n v="0"/>
    <n v="-96.01"/>
    <n v="-94.9"/>
    <n v="94.1"/>
    <n v="0"/>
    <n v="0"/>
    <n v="0"/>
    <n v="0"/>
    <n v="8134.91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8231.7099999999991"/>
    <n v="0"/>
    <n v="0"/>
    <n v="0"/>
    <n v="0"/>
    <n v="0"/>
    <n v="8134.91"/>
    <s v="Forecast"/>
  </r>
  <r>
    <x v="19"/>
    <x v="4"/>
    <s v="202508"/>
    <n v="21"/>
    <n v="29989.93"/>
    <n v="-7.6000287439272184E-3"/>
    <s v="CohortAvg"/>
    <n v="-3.9116282886192859E-3"/>
    <s v="CohortAvg"/>
    <n v="0.1363670042228633"/>
    <s v="CohortAvg"/>
    <n v="0"/>
    <s v="CohortAvg_NoData_ERROR"/>
    <n v="0"/>
    <s v="CohortAvg"/>
    <n v="0"/>
    <s v="Zero"/>
    <n v="0"/>
    <s v="CohortAvg"/>
    <n v="0"/>
    <s v="CohortAvg"/>
    <n v="0"/>
    <n v="-227.92"/>
    <n v="-117.31"/>
    <n v="340.8"/>
    <n v="0"/>
    <n v="0"/>
    <n v="0"/>
    <n v="0"/>
    <n v="29985.49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29989.93"/>
    <n v="0"/>
    <n v="0"/>
    <n v="0"/>
    <n v="0"/>
    <n v="0"/>
    <n v="29985.49"/>
    <s v="Forecast"/>
  </r>
  <r>
    <x v="19"/>
    <x v="4"/>
    <s v="202509"/>
    <n v="20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1620000000000001"/>
    <n v="0"/>
    <s v="Manual+Seasonal(0.916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0"/>
    <x v="0"/>
    <s v="201912"/>
    <n v="90"/>
    <n v="298354.46999999997"/>
    <n v="-5.0613844980526232E-4"/>
    <s v="CohortAvg"/>
    <n v="1.47802225517436E-3"/>
    <s v="CohortAvg"/>
    <n v="0"/>
    <s v="CohortAvg"/>
    <n v="2.893311480851642E-2"/>
    <s v="CohortAvg_NonZero"/>
    <n v="2.521095162692692E-6"/>
    <s v="CohortAvg"/>
    <n v="0"/>
    <s v="Zero"/>
    <n v="0"/>
    <s v="CohortAvg"/>
    <n v="0"/>
    <s v="CohortAvg"/>
    <n v="0"/>
    <n v="-151.01"/>
    <n v="440.97"/>
    <n v="0"/>
    <n v="8632.32"/>
    <n v="0.75"/>
    <n v="0"/>
    <n v="0"/>
    <n v="289129.40999999997"/>
    <n v="0.996695"/>
    <n v="0.92310000000000003"/>
    <n v="0.92004200000000003"/>
    <s v="CohortAvg+Seasonal(0.923)"/>
    <n v="266011.2"/>
    <n v="272252.40000000002"/>
    <n v="-6241.2"/>
    <x v="1"/>
    <n v="8632.32"/>
    <n v="0.78500000000000003"/>
    <n v="0.24"/>
    <n v="6776.37"/>
    <n v="6776.37"/>
    <n v="2071.7600000000002"/>
    <n v="265476.02"/>
    <n v="289722.15000000002"/>
    <n v="0.91631200000000002"/>
    <n v="535.17999999999995"/>
    <n v="535.92999999999995"/>
    <n v="17480.46"/>
    <n v="18016.39"/>
    <n v="271113.03000000003"/>
    <s v="Forecast"/>
  </r>
  <r>
    <x v="20"/>
    <x v="0"/>
    <s v="202001"/>
    <n v="89"/>
    <n v="41439.919999999998"/>
    <n v="3.8571532860658633E-2"/>
    <s v="CohortAvg"/>
    <n v="1.655139045458462E-3"/>
    <s v="CohortAvg"/>
    <n v="0"/>
    <s v="CohortAvg"/>
    <n v="1.307097454596747E-2"/>
    <s v="CohortAvg_NonZero"/>
    <n v="0"/>
    <s v="CohortAvg"/>
    <n v="0"/>
    <s v="Zero"/>
    <n v="0"/>
    <s v="CohortAvg"/>
    <n v="0"/>
    <s v="CohortAvg"/>
    <n v="0"/>
    <n v="1598.4"/>
    <n v="68.59"/>
    <n v="0"/>
    <n v="541.66"/>
    <n v="0"/>
    <n v="0"/>
    <n v="0"/>
    <n v="39231.269999999997"/>
    <n v="0.99839199999999995"/>
    <n v="0.92310000000000003"/>
    <n v="0.92160799999999998"/>
    <s v="CohortAvg+Seasonal(0.923)"/>
    <n v="36155.86"/>
    <n v="37879.199999999997"/>
    <n v="-1723.34"/>
    <x v="1"/>
    <n v="541.66"/>
    <n v="0.78500000000000003"/>
    <n v="0.24"/>
    <n v="425.2"/>
    <n v="425.2"/>
    <n v="130"/>
    <n v="37453.99"/>
    <n v="40898.26"/>
    <n v="0.91578400000000004"/>
    <n v="-1298.1400000000001"/>
    <n v="-1298.1400000000001"/>
    <n v="1096.8599999999999"/>
    <n v="-201.28"/>
    <n v="39432.550000000003"/>
    <s v="Forecast"/>
  </r>
  <r>
    <x v="20"/>
    <x v="0"/>
    <s v="202101"/>
    <n v="77"/>
    <n v="660932.74"/>
    <n v="-5.2620762854075206E-3"/>
    <s v="CohortAvg"/>
    <n v="-2.0573645714190088E-3"/>
    <s v="CohortAvg"/>
    <n v="0"/>
    <s v="CohortAvg"/>
    <n v="1.541902261719095E-2"/>
    <s v="CohortAvg_NonZero"/>
    <n v="2.0816627904901621E-6"/>
    <s v="CohortAvg"/>
    <n v="0"/>
    <s v="Zero"/>
    <n v="0"/>
    <s v="CohortAvg"/>
    <n v="0"/>
    <s v="CohortAvg"/>
    <n v="0"/>
    <n v="-3477.88"/>
    <n v="-1359.78"/>
    <n v="0"/>
    <n v="10190.94"/>
    <n v="1.38"/>
    <n v="0"/>
    <n v="0"/>
    <n v="645902.76"/>
    <n v="0.94492399999999999"/>
    <n v="0.92310000000000003"/>
    <n v="0.87225200000000003"/>
    <s v="CohortAvg+Seasonal(0.923)"/>
    <n v="563389.91"/>
    <n v="571789.93999999994"/>
    <n v="-8400.02"/>
    <x v="1"/>
    <n v="10190.94"/>
    <n v="0.78500000000000003"/>
    <n v="0.24"/>
    <n v="7999.89"/>
    <n v="7999.89"/>
    <n v="2445.8200000000002"/>
    <n v="563790.05000000005"/>
    <n v="650741.80000000005"/>
    <n v="0.86638099999999996"/>
    <n v="-400.14"/>
    <n v="-398.76"/>
    <n v="20636.650000000001"/>
    <n v="20237.89"/>
    <n v="625664.88"/>
    <s v="Forecast"/>
  </r>
  <r>
    <x v="20"/>
    <x v="0"/>
    <s v="202201"/>
    <n v="57"/>
    <n v="71912.639999999999"/>
    <n v="-0.115209857324403"/>
    <s v="CohortAvg"/>
    <n v="-5.9145130298423878E-3"/>
    <s v="CohortAvg"/>
    <n v="2.500810065404609E-2"/>
    <s v="CohortAvg"/>
    <n v="4.2718081428652042E-2"/>
    <s v="CohortAvg_NonZero"/>
    <n v="4.5480275960241767E-3"/>
    <s v="CohortAvg"/>
    <n v="0"/>
    <s v="Zero"/>
    <n v="-3.1470847631868862E-6"/>
    <s v="CohortAvg"/>
    <n v="-6.9337338237271428E-8"/>
    <s v="CohortAvg"/>
    <n v="0"/>
    <n v="-8285.0499999999993"/>
    <n v="-425.33"/>
    <n v="149.87"/>
    <n v="3071.97"/>
    <n v="327.06"/>
    <n v="-0.23"/>
    <n v="0"/>
    <n v="59953.11"/>
    <n v="0.58489000000000002"/>
    <n v="0.92310000000000003"/>
    <n v="0.53990800000000005"/>
    <s v="CohortAvg+Seasonal(0.923)"/>
    <n v="32369.14"/>
    <n v="38510.449999999997"/>
    <n v="-6141.31"/>
    <x v="1"/>
    <n v="3071.97"/>
    <n v="0.78500000000000003"/>
    <n v="0.24"/>
    <n v="2411.5"/>
    <n v="2411.5"/>
    <n v="737.27"/>
    <n v="36098.959999999999"/>
    <n v="68840.67"/>
    <n v="0.52438399999999996"/>
    <n v="-3729.82"/>
    <n v="-3402.76"/>
    <n v="6220.74"/>
    <n v="2817.98"/>
    <n v="57135.12"/>
    <s v="Forecast"/>
  </r>
  <r>
    <x v="20"/>
    <x v="0"/>
    <s v="202301"/>
    <n v="48"/>
    <n v="1098628.6599999999"/>
    <n v="-6.9360612953199077E-2"/>
    <s v="CohortAvg"/>
    <n v="-1.6836086989417409E-2"/>
    <s v="CohortAvg"/>
    <n v="0.20595795444837031"/>
    <s v="CohortAvg"/>
    <n v="6.6404616701501037E-2"/>
    <s v="CohortAvg_NonZero"/>
    <n v="1.106269332054526E-4"/>
    <s v="CohortAvg"/>
    <n v="0"/>
    <s v="Zero"/>
    <n v="-5.1698929583254309E-3"/>
    <s v="CohortAvg"/>
    <n v="-7.0885522475397361E-5"/>
    <s v="CohortAvg"/>
    <n v="0"/>
    <n v="-76201.56"/>
    <n v="-18496.61"/>
    <n v="18855.939999999999"/>
    <n v="72954.02"/>
    <n v="121.54"/>
    <n v="-5679.79"/>
    <n v="-77.88"/>
    <n v="949710.88"/>
    <n v="0.607603"/>
    <n v="0.92310000000000003"/>
    <n v="0.56087399999999998"/>
    <s v="CohortAvg+Seasonal(0.923)"/>
    <n v="532667.80000000005"/>
    <n v="610074.77"/>
    <n v="-77406.97"/>
    <x v="1"/>
    <n v="72954.02"/>
    <n v="0.78500000000000003"/>
    <n v="0.24"/>
    <n v="57268.9"/>
    <n v="57268.9"/>
    <n v="17508.96"/>
    <n v="552805.86"/>
    <n v="1025674.64"/>
    <n v="0.538968"/>
    <n v="-20138.07"/>
    <n v="-20016.53"/>
    <n v="147731.88"/>
    <n v="127715.35"/>
    <n v="821995.53"/>
    <s v="Forecast"/>
  </r>
  <r>
    <x v="20"/>
    <x v="0"/>
    <s v="202404"/>
    <n v="38"/>
    <n v="148720.94"/>
    <n v="-7.2374628755179013E-2"/>
    <s v="CohortAvg"/>
    <n v="-2.4073157998036859E-2"/>
    <s v="CohortAvg"/>
    <n v="0.25293923814630631"/>
    <s v="CohortAvg"/>
    <n v="0.1096709895299726"/>
    <s v="CohortAvg_NonZero"/>
    <n v="9.4712123485401602E-5"/>
    <s v="CohortAvg"/>
    <n v="0"/>
    <s v="Zero"/>
    <n v="-7.6184290912569529E-3"/>
    <s v="CohortAvg"/>
    <n v="-1.6138781831330631E-4"/>
    <s v="CohortAvg"/>
    <n v="0"/>
    <n v="-10763.62"/>
    <n v="-3580.18"/>
    <n v="3134.78"/>
    <n v="16310.37"/>
    <n v="14.09"/>
    <n v="-1133.02"/>
    <n v="-24"/>
    <n v="121187.46"/>
    <n v="0.49056699999999998"/>
    <n v="0.92310000000000003"/>
    <n v="0.45283899999999999"/>
    <s v="CohortTrend+Seasonal(0.923)"/>
    <n v="54878.41"/>
    <n v="65439.59"/>
    <n v="-10561.18"/>
    <x v="1"/>
    <n v="16310.37"/>
    <n v="0.78500000000000003"/>
    <n v="0.24"/>
    <n v="12803.64"/>
    <n v="12803.64"/>
    <n v="3914.49"/>
    <n v="52635.95"/>
    <n v="132410.57"/>
    <n v="0.39752100000000001"/>
    <n v="2242.46"/>
    <n v="2256.5500000000002"/>
    <n v="33028.5"/>
    <n v="35285.050000000003"/>
    <n v="85902.399999999994"/>
    <s v="Forecast"/>
  </r>
  <r>
    <x v="20"/>
    <x v="0"/>
    <s v="202405"/>
    <n v="37"/>
    <n v="236679.24"/>
    <n v="-6.0922554861246148E-2"/>
    <s v="CohortAvg"/>
    <n v="-2.4304905288029172E-2"/>
    <s v="CohortAvg"/>
    <n v="0.26157771214962761"/>
    <s v="CohortAvg"/>
    <n v="0.10592103036931839"/>
    <s v="CohortAvg_NonZero"/>
    <n v="1.5032517599856599E-4"/>
    <s v="CohortAvg"/>
    <n v="0"/>
    <s v="Zero"/>
    <n v="-1.145312797798091E-2"/>
    <s v="CohortAvg"/>
    <n v="-2.0162774776613749E-4"/>
    <s v="CohortAvg"/>
    <n v="0"/>
    <n v="-14419.1"/>
    <n v="-5752.47"/>
    <n v="5159.17"/>
    <n v="25069.31"/>
    <n v="35.58"/>
    <n v="-2710.72"/>
    <n v="-47.72"/>
    <n v="196561.95"/>
    <n v="0.42092400000000002"/>
    <n v="0.92310000000000003"/>
    <n v="0.38855200000000001"/>
    <s v="CohortTrend+Seasonal(0.923)"/>
    <n v="76374.48"/>
    <n v="89600.42"/>
    <n v="-13225.94"/>
    <x v="1"/>
    <n v="25069.31"/>
    <n v="0.78500000000000003"/>
    <n v="0.24"/>
    <n v="19679.41"/>
    <n v="19679.41"/>
    <n v="6016.63"/>
    <n v="69921.009999999995"/>
    <n v="211609.93"/>
    <n v="0.330424"/>
    <n v="6453.47"/>
    <n v="6489.05"/>
    <n v="50765.35"/>
    <n v="57254.400000000001"/>
    <n v="139307.54999999999"/>
    <s v="Forecast"/>
  </r>
  <r>
    <x v="20"/>
    <x v="0"/>
    <s v="202406"/>
    <n v="36"/>
    <n v="455924.89"/>
    <n v="-5.5987467096967537E-2"/>
    <s v="CohortAvg"/>
    <n v="-2.5465185599963958E-2"/>
    <s v="CohortAvg"/>
    <n v="0.28032449901195527"/>
    <s v="CohortAvg"/>
    <n v="6.6244372892597506E-2"/>
    <s v="CohortAvg_NonZero"/>
    <n v="1.428988039856565E-5"/>
    <s v="CohortAvg"/>
    <n v="0"/>
    <s v="Zero"/>
    <n v="-9.5242690990046727E-3"/>
    <s v="CohortAvg"/>
    <n v="-2.072301903309199E-4"/>
    <s v="CohortAvg"/>
    <n v="0"/>
    <n v="-25526.080000000002"/>
    <n v="-11610.21"/>
    <n v="10650.58"/>
    <n v="30202.46"/>
    <n v="6.52"/>
    <n v="-4342.3500000000004"/>
    <n v="-94.48"/>
    <n v="399230.2"/>
    <n v="0.37991399999999997"/>
    <n v="0.92310000000000003"/>
    <n v="0.35069600000000001"/>
    <s v="CohortTrend+Seasonal(0.923)"/>
    <n v="140008.49"/>
    <n v="155521.82"/>
    <n v="-15513.34"/>
    <x v="1"/>
    <n v="30202.46"/>
    <n v="0.78500000000000003"/>
    <n v="0.24"/>
    <n v="23708.93"/>
    <n v="23708.93"/>
    <n v="7248.59"/>
    <n v="131812.89000000001"/>
    <n v="425722.44"/>
    <n v="0.30962200000000001"/>
    <n v="8195.59"/>
    <n v="8202.11"/>
    <n v="61159.98"/>
    <n v="69362.09"/>
    <n v="329868.12"/>
    <s v="Forecast"/>
  </r>
  <r>
    <x v="20"/>
    <x v="0"/>
    <s v="202407"/>
    <n v="35"/>
    <n v="480469.53"/>
    <n v="-5.2827999796584132E-2"/>
    <s v="CohortAvg"/>
    <n v="-2.6783549496288538E-2"/>
    <s v="CohortAvg"/>
    <n v="0.28891299822431532"/>
    <s v="CohortAvg"/>
    <n v="7.3956040840044604E-2"/>
    <s v="CohortAvg_NonZero"/>
    <n v="1.8446805824115561E-5"/>
    <s v="CohortAvg"/>
    <n v="0"/>
    <s v="Zero"/>
    <n v="-1.210753469024204E-2"/>
    <s v="CohortAvg"/>
    <n v="-6.4200548993743276E-5"/>
    <s v="CohortAvg"/>
    <n v="0"/>
    <n v="-25382.240000000002"/>
    <n v="-12868.68"/>
    <n v="11567.82"/>
    <n v="35533.620000000003"/>
    <n v="8.86"/>
    <n v="-5817.3"/>
    <n v="-30.85"/>
    <n v="418243.94"/>
    <n v="0.31623299999999999"/>
    <n v="0.92310000000000003"/>
    <n v="0.291912"/>
    <s v="CohortTrend+Seasonal(0.923)"/>
    <n v="122090.59"/>
    <n v="136839.60999999999"/>
    <n v="-14749.02"/>
    <x v="1"/>
    <n v="35533.620000000003"/>
    <n v="0.78500000000000003"/>
    <n v="0.24"/>
    <n v="27893.89"/>
    <n v="27893.89"/>
    <n v="8528.07"/>
    <n v="108945.71"/>
    <n v="444935.9"/>
    <n v="0.24485699999999999"/>
    <n v="13144.88"/>
    <n v="13153.74"/>
    <n v="71955.59"/>
    <n v="85109.33"/>
    <n v="333134.61"/>
    <s v="Forecast"/>
  </r>
  <r>
    <x v="20"/>
    <x v="0"/>
    <s v="202408"/>
    <n v="34"/>
    <n v="345137.7"/>
    <n v="-6.4849035235282015E-2"/>
    <s v="CohortAvg"/>
    <n v="-2.6135997525939449E-2"/>
    <s v="CohortAvg"/>
    <n v="0.27906351964260723"/>
    <s v="CohortAvg"/>
    <n v="9.7455051378012136E-2"/>
    <s v="CohortAvg_NonZero"/>
    <n v="1.2230967183250659E-4"/>
    <s v="CohortAvg"/>
    <n v="0"/>
    <s v="Zero"/>
    <n v="-1.3536317837482881E-2"/>
    <s v="CohortAvg"/>
    <n v="-3.1003076863734348E-4"/>
    <s v="CohortAvg"/>
    <n v="0"/>
    <n v="-22381.85"/>
    <n v="-9020.52"/>
    <n v="8026.28"/>
    <n v="33635.410000000003"/>
    <n v="42.21"/>
    <n v="-4671.8900000000003"/>
    <n v="-107"/>
    <n v="288083.99"/>
    <n v="0.29044999999999999"/>
    <n v="0.92310000000000003"/>
    <n v="0.26811200000000002"/>
    <s v="CohortTrend+Seasonal(0.923)"/>
    <n v="77238.820000000007"/>
    <n v="90369.279999999999"/>
    <n v="-13130.45"/>
    <x v="1"/>
    <n v="33635.410000000003"/>
    <n v="0.78500000000000003"/>
    <n v="0.24"/>
    <n v="26403.8"/>
    <n v="26403.8"/>
    <n v="8072.5"/>
    <n v="63965.48"/>
    <n v="311502.28999999998"/>
    <n v="0.205345"/>
    <n v="13273.34"/>
    <n v="13315.56"/>
    <n v="68111.710000000006"/>
    <n v="81427.27"/>
    <n v="206656.72"/>
    <s v="Forecast"/>
  </r>
  <r>
    <x v="20"/>
    <x v="0"/>
    <s v="202409"/>
    <n v="33"/>
    <n v="284101.15999999997"/>
    <n v="-7.0464875947349501E-2"/>
    <s v="CohortAvg"/>
    <n v="-2.9373752129285679E-2"/>
    <s v="CohortAvg"/>
    <n v="0.29637275460849211"/>
    <s v="CohortAvg"/>
    <n v="0.1016182419691109"/>
    <s v="CohortAvg_NonZero"/>
    <n v="3.318782058976831E-4"/>
    <s v="CohortAvg"/>
    <n v="0"/>
    <s v="Zero"/>
    <n v="-1.556140594842882E-2"/>
    <s v="CohortAvg"/>
    <n v="9.8666370481259548E-4"/>
    <s v="CohortAvg"/>
    <n v="0"/>
    <n v="-20019.150000000001"/>
    <n v="-8345.1200000000008"/>
    <n v="7016.65"/>
    <n v="28869.86"/>
    <n v="94.29"/>
    <n v="-4421.01"/>
    <n v="280.31"/>
    <n v="233789.39"/>
    <n v="0.272231"/>
    <n v="0.92310000000000003"/>
    <n v="0.25129499999999999"/>
    <s v="CohortTrend+Seasonal(0.923)"/>
    <n v="58750.02"/>
    <n v="69692.37"/>
    <n v="-10942.35"/>
    <x v="1"/>
    <n v="28869.86"/>
    <n v="0.78500000000000003"/>
    <n v="0.24"/>
    <n v="22662.84"/>
    <n v="22662.84"/>
    <n v="6928.77"/>
    <n v="47029.53"/>
    <n v="255231.3"/>
    <n v="0.18426200000000001"/>
    <n v="11720.49"/>
    <n v="11814.77"/>
    <n v="58461.47"/>
    <n v="70276.240000000005"/>
    <n v="163513.16"/>
    <s v="Forecast"/>
  </r>
  <r>
    <x v="20"/>
    <x v="0"/>
    <s v="202410"/>
    <n v="32"/>
    <n v="450539.62"/>
    <n v="-6.4991856600068065E-2"/>
    <s v="CohortAvg"/>
    <n v="-2.9862007006519409E-2"/>
    <s v="CohortAvg"/>
    <n v="0.29585070573705219"/>
    <s v="CohortAvg"/>
    <n v="9.1299296736315941E-2"/>
    <s v="CohortAvg_NonZero"/>
    <n v="8.4057974232156318E-5"/>
    <s v="CohortAvg"/>
    <n v="0"/>
    <s v="Zero"/>
    <n v="-1.9176744256853159E-2"/>
    <s v="CohortAvg"/>
    <n v="-2.8070180054040269E-4"/>
    <s v="CohortAvg"/>
    <n v="0"/>
    <n v="-29281.41"/>
    <n v="-13454.02"/>
    <n v="11107.71"/>
    <n v="41133.949999999997"/>
    <n v="37.869999999999997"/>
    <n v="-8639.8799999999992"/>
    <n v="-126.47"/>
    <n v="377740.08"/>
    <n v="0.255936"/>
    <n v="0.92310000000000003"/>
    <n v="0.23625299999999999"/>
    <s v="CohortTrend+Seasonal(0.923)"/>
    <n v="89242.14"/>
    <n v="104007.19"/>
    <n v="-14765.04"/>
    <x v="1"/>
    <n v="41133.949999999997"/>
    <n v="0.78500000000000003"/>
    <n v="0.24"/>
    <n v="32290.15"/>
    <n v="32290.15"/>
    <n v="9872.15"/>
    <n v="71717.039999999994"/>
    <n v="409405.67"/>
    <n v="0.175174"/>
    <n v="17525.11"/>
    <n v="17562.98"/>
    <n v="83296.25"/>
    <n v="100859.23"/>
    <n v="276880.84999999998"/>
    <s v="Forecast"/>
  </r>
  <r>
    <x v="20"/>
    <x v="0"/>
    <s v="202411"/>
    <n v="31"/>
    <n v="475743.38"/>
    <n v="-6.9604004474422568E-2"/>
    <s v="CohortAvg"/>
    <n v="-3.0860204507950961E-2"/>
    <s v="CohortAvg"/>
    <n v="0.31652603581458322"/>
    <s v="CohortAvg"/>
    <n v="8.1161842929481795E-2"/>
    <s v="CohortAvg_NonZero"/>
    <n v="1.059877326100743E-5"/>
    <s v="CohortAvg"/>
    <n v="0"/>
    <s v="Zero"/>
    <n v="-1.8313224553581808E-2"/>
    <s v="CohortAvg"/>
    <n v="-3.664567385616298E-4"/>
    <s v="CohortAvg"/>
    <n v="0"/>
    <n v="-33113.64"/>
    <n v="-14681.54"/>
    <n v="12548.76"/>
    <n v="38612.21"/>
    <n v="5.04"/>
    <n v="-8712.4"/>
    <n v="-174.34"/>
    <n v="401879.71"/>
    <n v="0.25204399999999999"/>
    <n v="0.92310000000000003"/>
    <n v="0.23266000000000001"/>
    <s v="CohortTrend+Seasonal(0.923)"/>
    <n v="93501.33"/>
    <n v="107968.43"/>
    <n v="-14467.1"/>
    <x v="1"/>
    <n v="38612.21"/>
    <n v="0.78500000000000003"/>
    <n v="0.24"/>
    <n v="30310.58"/>
    <n v="30310.58"/>
    <n v="9266.93"/>
    <n v="77657.84"/>
    <n v="437131.17"/>
    <n v="0.17765300000000001"/>
    <n v="15843.48"/>
    <n v="15848.52"/>
    <n v="78189.72"/>
    <n v="94038.25"/>
    <n v="307841.46000000002"/>
    <s v="Forecast"/>
  </r>
  <r>
    <x v="20"/>
    <x v="0"/>
    <s v="202412"/>
    <n v="30"/>
    <n v="566936.74"/>
    <n v="-6.5995624530038793E-2"/>
    <s v="CohortAvg"/>
    <n v="-3.2055732499120547E-2"/>
    <s v="CohortAvg"/>
    <n v="0.32609629581549909"/>
    <s v="CohortAvg"/>
    <n v="7.7702688955447144E-2"/>
    <s v="CohortAvg_NonZero"/>
    <n v="3.5184483938933198E-5"/>
    <s v="CohortAvg"/>
    <n v="0"/>
    <s v="Zero"/>
    <n v="-3.3062955707148317E-2"/>
    <s v="CohortAvg"/>
    <n v="-4.4000319977909692E-4"/>
    <s v="CohortAvg"/>
    <n v="0"/>
    <n v="-37415.339999999997"/>
    <n v="-18173.57"/>
    <n v="15406.33"/>
    <n v="44052.51"/>
    <n v="19.95"/>
    <n v="-18744.599999999999"/>
    <n v="-249.45"/>
    <n v="482681.69"/>
    <n v="0.26530300000000001"/>
    <n v="0.92310000000000003"/>
    <n v="0.24490000000000001"/>
    <s v="CohortTrend+Seasonal(0.923)"/>
    <n v="118208.53"/>
    <n v="134749.29"/>
    <n v="-16540.759999999998"/>
    <x v="1"/>
    <n v="44052.51"/>
    <n v="0.78500000000000003"/>
    <n v="0.24"/>
    <n v="34581.22"/>
    <n v="34581.22"/>
    <n v="10572.6"/>
    <n v="100168.07"/>
    <n v="522884.23"/>
    <n v="0.19156799999999999"/>
    <n v="18040.46"/>
    <n v="18060.41"/>
    <n v="89206.33"/>
    <n v="107266.74"/>
    <n v="375414.95"/>
    <s v="Forecast"/>
  </r>
  <r>
    <x v="20"/>
    <x v="0"/>
    <s v="202501"/>
    <n v="29"/>
    <n v="734242.49"/>
    <n v="-6.3578968750017339E-2"/>
    <s v="CohortAvg"/>
    <n v="-3.1447184327974699E-2"/>
    <s v="CohortAvg"/>
    <n v="0.33540093412656419"/>
    <s v="CohortAvg"/>
    <n v="6.8113844376202284E-2"/>
    <s v="CohortAvg_NonZero"/>
    <n v="8.2860245009800035E-5"/>
    <s v="CohortAvg"/>
    <n v="0"/>
    <s v="Zero"/>
    <n v="-4.6053631012547218E-2"/>
    <s v="CohortAvg"/>
    <n v="-9.0684219841895329E-4"/>
    <s v="CohortAvg"/>
    <n v="0"/>
    <n v="-46682.38"/>
    <n v="-23089.86"/>
    <n v="20522.13"/>
    <n v="50012.08"/>
    <n v="60.84"/>
    <n v="-33814.53"/>
    <n v="-665.84"/>
    <n v="634919.47"/>
    <n v="0.27141700000000002"/>
    <n v="0.92310000000000003"/>
    <n v="0.25054300000000002"/>
    <s v="CohortTrend+Seasonal(0.923)"/>
    <n v="159074.34"/>
    <n v="177901.67"/>
    <n v="-18827.330000000002"/>
    <x v="1"/>
    <n v="50012.08"/>
    <n v="0.78500000000000003"/>
    <n v="0.24"/>
    <n v="39259.480000000003"/>
    <n v="39259.480000000003"/>
    <n v="12002.9"/>
    <n v="138642.19"/>
    <n v="684230.41"/>
    <n v="0.202625"/>
    <n v="20432.16"/>
    <n v="20492.990000000002"/>
    <n v="101274.46"/>
    <n v="121767.45"/>
    <n v="513152.01"/>
    <s v="Forecast"/>
  </r>
  <r>
    <x v="20"/>
    <x v="0"/>
    <s v="202502"/>
    <n v="28"/>
    <n v="1203643.03"/>
    <n v="-6.474152308825612E-2"/>
    <s v="CohortAvg"/>
    <n v="-3.1800025044783541E-2"/>
    <s v="CohortAvg"/>
    <n v="0.35195767215775869"/>
    <s v="CohortAvg"/>
    <n v="4.0069887302388182E-2"/>
    <s v="CohortAvg_NonZero"/>
    <n v="1.1836449772695611E-4"/>
    <s v="CohortAvg"/>
    <n v="0"/>
    <s v="Zero"/>
    <n v="-0.1006578131632907"/>
    <s v="CohortAvg"/>
    <n v="-2.176449357031522E-3"/>
    <s v="CohortAvg"/>
    <n v="0"/>
    <n v="-77925.679999999993"/>
    <n v="-38275.879999999997"/>
    <n v="35302.620000000003"/>
    <n v="48229.84"/>
    <n v="142.47"/>
    <n v="-121156.08"/>
    <n v="-2619.67"/>
    <n v="1074371.78"/>
    <n v="0.26368999999999998"/>
    <n v="0.92310000000000003"/>
    <n v="0.24340999999999999"/>
    <s v="CohortTrend+Seasonal(0.923)"/>
    <n v="261512.89"/>
    <n v="283090.43"/>
    <n v="-21577.54"/>
    <x v="1"/>
    <n v="48229.84"/>
    <n v="0.78500000000000003"/>
    <n v="0.24"/>
    <n v="37860.42"/>
    <n v="37860.42"/>
    <n v="11575.16"/>
    <n v="245230"/>
    <n v="1155413.19"/>
    <n v="0.21224399999999999"/>
    <n v="16282.89"/>
    <n v="16425.36"/>
    <n v="97665.43"/>
    <n v="114090.78"/>
    <n v="960280.99"/>
    <s v="Forecast"/>
  </r>
  <r>
    <x v="20"/>
    <x v="0"/>
    <s v="202503"/>
    <n v="27"/>
    <n v="2134399.04"/>
    <n v="-5.4848413779929051E-2"/>
    <s v="CohortAvg"/>
    <n v="-3.4952778201939753E-2"/>
    <s v="CohortAvg"/>
    <n v="0.42514856141704488"/>
    <s v="CohortAvg"/>
    <n v="2.337347755521255E-2"/>
    <s v="CohortAvg_NonZero"/>
    <n v="7.074911198142188E-6"/>
    <s v="CohortAvg"/>
    <n v="0"/>
    <s v="Zero"/>
    <n v="0"/>
    <s v="CohortAvg"/>
    <n v="0"/>
    <s v="CohortAvg"/>
    <n v="0"/>
    <n v="-117068.4"/>
    <n v="-74603.179999999993"/>
    <n v="75619.72"/>
    <n v="49888.33"/>
    <n v="15.1"/>
    <n v="0"/>
    <n v="0"/>
    <n v="1968443.76"/>
    <n v="0.262712"/>
    <n v="0.92310000000000003"/>
    <n v="0.242507"/>
    <s v="CohortTrend+Seasonal(0.923)"/>
    <n v="477362.19"/>
    <n v="498944.86"/>
    <n v="-21582.68"/>
    <x v="1"/>
    <n v="49888.33"/>
    <n v="0.78500000000000003"/>
    <n v="0.24"/>
    <n v="39162.339999999997"/>
    <n v="39162.339999999997"/>
    <n v="11973.2"/>
    <n v="459782.53"/>
    <n v="2084510.71"/>
    <n v="0.22057099999999999"/>
    <n v="17579.66"/>
    <n v="17594.759999999998"/>
    <n v="101023.86"/>
    <n v="118618.63"/>
    <n v="1849825.13"/>
    <s v="Forecast"/>
  </r>
  <r>
    <x v="20"/>
    <x v="0"/>
    <s v="202504"/>
    <n v="26"/>
    <n v="2863609.22"/>
    <n v="-5.3663822794174823E-2"/>
    <s v="CohortAvg"/>
    <n v="-3.742448578698182E-2"/>
    <s v="CohortAvg"/>
    <n v="0.43757610446655182"/>
    <s v="CohortAvg"/>
    <n v="1.013329171740706E-2"/>
    <s v="CohortAvg_NonZero"/>
    <n v="1.6337563680269351E-6"/>
    <s v="CohortAvg"/>
    <n v="0"/>
    <s v="Zero"/>
    <n v="0"/>
    <s v="CohortAvg"/>
    <n v="0"/>
    <s v="CohortAvg"/>
    <n v="0"/>
    <n v="-153672.22"/>
    <n v="-107169.1"/>
    <n v="104420.58"/>
    <n v="29017.79"/>
    <n v="4.68"/>
    <n v="0"/>
    <n v="0"/>
    <n v="2678166.02"/>
    <n v="0.26395299999999999"/>
    <n v="0.92310000000000003"/>
    <n v="0.24365300000000001"/>
    <s v="CohortTrend+Seasonal(0.923)"/>
    <n v="652544.04"/>
    <n v="670522.06000000006"/>
    <n v="-17978.02"/>
    <x v="1"/>
    <n v="29017.79"/>
    <n v="0.78500000000000003"/>
    <n v="0.24"/>
    <n v="22778.959999999999"/>
    <n v="22778.959999999999"/>
    <n v="6964.27"/>
    <n v="647743.1"/>
    <n v="2834591.44"/>
    <n v="0.22851399999999999"/>
    <n v="4800.95"/>
    <n v="4805.63"/>
    <n v="58761.02"/>
    <n v="63566.65"/>
    <n v="2614599.37"/>
    <s v="Forecast"/>
  </r>
  <r>
    <x v="20"/>
    <x v="0"/>
    <s v="202505"/>
    <n v="25"/>
    <n v="4307863.75"/>
    <n v="-4.6720346704955763E-2"/>
    <s v="CohortAvg"/>
    <n v="-3.6729905474721297E-2"/>
    <s v="CohortAvg"/>
    <n v="0.44282422662402993"/>
    <s v="CohortAvg"/>
    <n v="0"/>
    <s v="CohortAvg_NoData_ERROR"/>
    <n v="9.2829209225700851E-7"/>
    <s v="CohortAvg"/>
    <n v="0"/>
    <s v="Zero"/>
    <n v="0"/>
    <s v="CohortAvg"/>
    <n v="0"/>
    <s v="CohortAvg"/>
    <n v="0"/>
    <n v="-201264.89"/>
    <n v="-158227.43"/>
    <n v="158968.87"/>
    <n v="0"/>
    <n v="4"/>
    <n v="0"/>
    <n v="0"/>
    <n v="4107336.3"/>
    <n v="0.26514900000000002"/>
    <n v="0.92310000000000003"/>
    <n v="0.244757"/>
    <s v="CohortTrend+Seasonal(0.923)"/>
    <n v="1005297.48"/>
    <n v="1009775.99"/>
    <n v="-4478.51"/>
    <x v="1"/>
    <n v="0"/>
    <n v="0.78500000000000003"/>
    <n v="0.24"/>
    <n v="0"/>
    <n v="0"/>
    <n v="0"/>
    <n v="1009775.99"/>
    <n v="4307863.75"/>
    <n v="0.234403"/>
    <n v="-4478.51"/>
    <n v="-4474.51"/>
    <n v="0"/>
    <n v="-4474.51"/>
    <n v="4111810.81"/>
    <s v="Forecast"/>
  </r>
  <r>
    <x v="20"/>
    <x v="0"/>
    <s v="202506"/>
    <n v="24"/>
    <n v="4985803.41"/>
    <n v="-4.5223371998822592E-2"/>
    <s v="CohortAvg"/>
    <n v="-3.823313849071832E-2"/>
    <s v="CohortAvg"/>
    <n v="0.4596509133351816"/>
    <s v="CohortAvg"/>
    <n v="0"/>
    <s v="CohortAvg_NoData_ERROR"/>
    <n v="0"/>
    <s v="CohortAvg"/>
    <n v="0"/>
    <s v="Zero"/>
    <n v="0"/>
    <s v="CohortAvg"/>
    <n v="0"/>
    <s v="CohortAvg"/>
    <n v="0"/>
    <n v="-225474.84"/>
    <n v="-190622.91"/>
    <n v="190977.42"/>
    <n v="0"/>
    <n v="0"/>
    <n v="0"/>
    <n v="0"/>
    <n v="4760683.08"/>
    <n v="0.26771400000000001"/>
    <n v="0.92310000000000003"/>
    <n v="0.24712500000000001"/>
    <s v="CohortTrend+Seasonal(0.923)"/>
    <n v="1176483.6399999999"/>
    <n v="1174879.05"/>
    <n v="1604.59"/>
    <x v="1"/>
    <n v="0"/>
    <n v="0.78500000000000003"/>
    <n v="0.24"/>
    <n v="0"/>
    <n v="0"/>
    <n v="0"/>
    <n v="1174879.05"/>
    <n v="4985803.41"/>
    <n v="0.23564499999999999"/>
    <n v="1604.59"/>
    <n v="1604.59"/>
    <n v="0"/>
    <n v="1604.59"/>
    <n v="4759078.49"/>
    <s v="Forecast"/>
  </r>
  <r>
    <x v="20"/>
    <x v="0"/>
    <s v="202507"/>
    <n v="23"/>
    <n v="6308998.0199999996"/>
    <n v="-4.3494986564002552E-2"/>
    <s v="CohortAvg"/>
    <n v="-4.0985865756538647E-2"/>
    <s v="CohortAvg"/>
    <n v="0.45903872998262019"/>
    <s v="CohortAvg"/>
    <n v="0"/>
    <s v="CohortAvg_NoData_ERROR"/>
    <n v="1.330835055644291E-5"/>
    <s v="CohortAvg"/>
    <n v="0"/>
    <s v="Zero"/>
    <n v="0"/>
    <s v="CohortAvg"/>
    <n v="0"/>
    <s v="CohortAvg"/>
    <n v="0"/>
    <n v="-274409.78000000003"/>
    <n v="-258579.75"/>
    <n v="241339.54"/>
    <n v="0"/>
    <n v="83.96"/>
    <n v="0"/>
    <n v="0"/>
    <n v="6017264.0700000003"/>
    <n v="0.25738100000000003"/>
    <n v="0.92310000000000003"/>
    <n v="0.23758699999999999"/>
    <s v="CohortTrend+Seasonal(0.923)"/>
    <n v="1429621.89"/>
    <n v="1426998"/>
    <n v="2623.89"/>
    <x v="1"/>
    <n v="0"/>
    <n v="0.78500000000000003"/>
    <n v="0.24"/>
    <n v="0"/>
    <n v="0"/>
    <n v="0"/>
    <n v="1426998"/>
    <n v="6308998.0199999996"/>
    <n v="0.226185"/>
    <n v="2623.89"/>
    <n v="2707.85"/>
    <n v="0"/>
    <n v="2707.85"/>
    <n v="6014556.21"/>
    <s v="Forecast"/>
  </r>
  <r>
    <x v="20"/>
    <x v="0"/>
    <s v="202508"/>
    <n v="22"/>
    <n v="5420185.5700000003"/>
    <n v="-4.9005486988122397E-2"/>
    <s v="CohortAvg"/>
    <n v="-3.2726374374777337E-2"/>
    <s v="CohortAvg"/>
    <n v="0.46058387861999323"/>
    <s v="CohortAvg"/>
    <n v="0"/>
    <s v="CohortAvg_NoData_ERROR"/>
    <n v="1.1419612611809441E-5"/>
    <s v="CohortAvg"/>
    <n v="0"/>
    <s v="Zero"/>
    <n v="0"/>
    <s v="CohortAvg"/>
    <n v="0"/>
    <s v="CohortAvg"/>
    <n v="0"/>
    <n v="-265618.83"/>
    <n v="-177383.02"/>
    <n v="208037.51"/>
    <n v="0"/>
    <n v="61.9"/>
    <n v="0"/>
    <n v="0"/>
    <n v="5185159.33"/>
    <n v="0.24704799999999999"/>
    <n v="0.92310000000000003"/>
    <n v="0.228048"/>
    <s v="CohortTrend+Seasonal(0.923)"/>
    <n v="1182467.44"/>
    <n v="1174685.7"/>
    <n v="7781.74"/>
    <x v="1"/>
    <n v="0"/>
    <n v="0.78500000000000003"/>
    <n v="0.24"/>
    <n v="0"/>
    <n v="0"/>
    <n v="0"/>
    <n v="1174685.7"/>
    <n v="5420185.5700000003"/>
    <n v="0.216724"/>
    <n v="7781.74"/>
    <n v="7843.63"/>
    <n v="0"/>
    <n v="7843.63"/>
    <n v="5177315.6900000004"/>
    <s v="Forecast"/>
  </r>
  <r>
    <x v="20"/>
    <x v="0"/>
    <s v="202509"/>
    <n v="21"/>
    <n v="3282.35"/>
    <n v="-0.40971233658527462"/>
    <s v="CohortAvg"/>
    <n v="-8.5157966629960294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344.82"/>
    <n v="-279.52"/>
    <n v="136.76"/>
    <n v="0"/>
    <n v="0"/>
    <n v="0"/>
    <n v="0"/>
    <n v="1794.78"/>
    <n v="0.23671500000000001"/>
    <n v="0.92310000000000003"/>
    <n v="0.21851000000000001"/>
    <s v="CohortTrend+Seasonal(0.923)"/>
    <n v="392.18"/>
    <n v="680.31"/>
    <n v="-288.14"/>
    <x v="1"/>
    <n v="0"/>
    <n v="0.78500000000000003"/>
    <n v="0.24"/>
    <n v="0"/>
    <n v="0"/>
    <n v="0"/>
    <n v="680.31"/>
    <n v="3282.35"/>
    <n v="0.207264"/>
    <n v="-288.14"/>
    <n v="-288.14"/>
    <n v="0"/>
    <n v="-288.14"/>
    <n v="2082.92"/>
    <s v="Forecast"/>
  </r>
  <r>
    <x v="20"/>
    <x v="1"/>
    <s v="202301"/>
    <n v="43"/>
    <n v="822912.54"/>
    <n v="-8.4338157467916588E-3"/>
    <s v="CohortAvg"/>
    <n v="-4.5522952776147294E-3"/>
    <s v="CohortAvg"/>
    <n v="8.8987822525294372E-2"/>
    <s v="CohortAvg"/>
    <n v="2.3823566687310511E-2"/>
    <s v="CohortAvg_NonZero"/>
    <n v="0"/>
    <s v="CohortAvg"/>
    <n v="0"/>
    <s v="Zero"/>
    <n v="0"/>
    <s v="CohortAvg"/>
    <n v="0"/>
    <s v="CohortAvg"/>
    <n v="0"/>
    <n v="-6940.29"/>
    <n v="-3746.14"/>
    <n v="6102.43"/>
    <n v="19604.71"/>
    <n v="0"/>
    <n v="0"/>
    <n v="0"/>
    <n v="798723.83"/>
    <n v="0.39831499999999997"/>
    <n v="1.169"/>
    <n v="0.46562999999999999"/>
    <s v="CohortAvg+Seasonal(1.169)"/>
    <n v="371909.57"/>
    <n v="331254.48"/>
    <n v="40655.1"/>
    <x v="1"/>
    <n v="19604.71"/>
    <n v="0.78500000000000003"/>
    <n v="0.24"/>
    <n v="15389.7"/>
    <n v="15389.7"/>
    <n v="4705.13"/>
    <n v="315864.78000000003"/>
    <n v="803307.83"/>
    <n v="0.39320500000000003"/>
    <n v="56044.79"/>
    <n v="56044.79"/>
    <n v="39699.54"/>
    <n v="95744.34"/>
    <n v="702979.5"/>
    <s v="Forecast"/>
  </r>
  <r>
    <x v="20"/>
    <x v="1"/>
    <s v="202404"/>
    <n v="38"/>
    <n v="64984.19"/>
    <n v="-6.348487196490965E-2"/>
    <s v="CohortAvg"/>
    <n v="-1.522800690060523E-2"/>
    <s v="CohortAvg"/>
    <n v="0.15653789667948451"/>
    <s v="CohortAvg"/>
    <n v="5.0287955825059398E-2"/>
    <s v="CohortAvg_NonZero"/>
    <n v="0"/>
    <s v="CohortAvg"/>
    <n v="0"/>
    <s v="Zero"/>
    <n v="0"/>
    <s v="CohortAvg"/>
    <n v="0"/>
    <s v="CohortAvg"/>
    <n v="0"/>
    <n v="-4125.51"/>
    <n v="-989.58"/>
    <n v="847.71"/>
    <n v="3267.92"/>
    <n v="0"/>
    <n v="0"/>
    <n v="0"/>
    <n v="57448.88"/>
    <n v="0.24982499999999999"/>
    <n v="1.169"/>
    <n v="0.292045"/>
    <s v="CohortTrend+Seasonal(1.169)"/>
    <n v="16777.63"/>
    <n v="16179.41"/>
    <n v="598.23"/>
    <x v="1"/>
    <n v="3267.92"/>
    <n v="0.78500000000000003"/>
    <n v="0.24"/>
    <n v="2565.3200000000002"/>
    <n v="2565.3200000000002"/>
    <n v="784.3"/>
    <n v="13614.09"/>
    <n v="61716.26"/>
    <n v="0.22059200000000001"/>
    <n v="3163.54"/>
    <n v="3163.54"/>
    <n v="6617.54"/>
    <n v="9781.09"/>
    <n v="47667.79"/>
    <s v="Forecast"/>
  </r>
  <r>
    <x v="20"/>
    <x v="1"/>
    <s v="202405"/>
    <n v="37"/>
    <n v="220671.62"/>
    <n v="-1.16882507903904E-2"/>
    <s v="CohortAvg"/>
    <n v="-1.272559469393314E-2"/>
    <s v="CohortAvg"/>
    <n v="0.1472243794957778"/>
    <s v="CohortAvg"/>
    <n v="6.9881894034288142E-2"/>
    <s v="CohortAvg_NonZero"/>
    <n v="1.2771476483080919E-8"/>
    <s v="CohortAvg"/>
    <n v="0"/>
    <s v="Zero"/>
    <n v="0"/>
    <s v="CohortAvg"/>
    <n v="0"/>
    <s v="CohortAvg"/>
    <n v="0"/>
    <n v="-2579.27"/>
    <n v="-2808.18"/>
    <n v="2707.35"/>
    <n v="15420.95"/>
    <n v="0"/>
    <n v="0"/>
    <n v="0"/>
    <n v="202570.58"/>
    <n v="0.46855599999999997"/>
    <n v="1.169"/>
    <n v="0.54774"/>
    <s v="CohortTrend+Seasonal(1.169)"/>
    <n v="110956.09"/>
    <n v="101742.76"/>
    <n v="9213.33"/>
    <x v="1"/>
    <n v="15420.95"/>
    <n v="0.78500000000000003"/>
    <n v="0.24"/>
    <n v="12105.45"/>
    <n v="12105.45"/>
    <n v="3701.03"/>
    <n v="89637.32"/>
    <n v="205250.67"/>
    <n v="0.43672100000000003"/>
    <n v="21318.77"/>
    <n v="21318.77"/>
    <n v="31227.43"/>
    <n v="52546.2"/>
    <n v="150024.38"/>
    <s v="Forecast"/>
  </r>
  <r>
    <x v="20"/>
    <x v="1"/>
    <s v="202406"/>
    <n v="36"/>
    <n v="128650.24000000001"/>
    <n v="-1.546323830710768E-2"/>
    <s v="CohortAvg"/>
    <n v="-1.487891658312617E-2"/>
    <s v="CohortAvg"/>
    <n v="0.17821440041622011"/>
    <s v="CohortAvg"/>
    <n v="5.620844502272148E-2"/>
    <s v="CohortAvg_NonZero"/>
    <n v="0"/>
    <s v="CohortAvg"/>
    <n v="0"/>
    <s v="Zero"/>
    <n v="0"/>
    <s v="CohortAvg"/>
    <n v="0"/>
    <s v="CohortAvg"/>
    <n v="0"/>
    <n v="-1989.35"/>
    <n v="-1914.18"/>
    <n v="1910.61"/>
    <n v="7231.23"/>
    <n v="0"/>
    <n v="0"/>
    <n v="0"/>
    <n v="119426.1"/>
    <n v="0.32173800000000002"/>
    <n v="1.169"/>
    <n v="0.37611099999999997"/>
    <s v="CohortTrend+Seasonal(1.169)"/>
    <n v="44917.41"/>
    <n v="40806.65"/>
    <n v="4110.76"/>
    <x v="1"/>
    <n v="7231.23"/>
    <n v="0.78500000000000003"/>
    <n v="0.24"/>
    <n v="5676.52"/>
    <n v="5676.52"/>
    <n v="1735.5"/>
    <n v="35130.129999999997"/>
    <n v="121419.01"/>
    <n v="0.28932999999999998"/>
    <n v="9787.27"/>
    <n v="9787.27"/>
    <n v="14643.24"/>
    <n v="24430.51"/>
    <n v="94995.58"/>
    <s v="Forecast"/>
  </r>
  <r>
    <x v="20"/>
    <x v="1"/>
    <s v="202407"/>
    <n v="35"/>
    <n v="115289.29"/>
    <n v="-4.2443288208061959E-2"/>
    <s v="CohortAvg"/>
    <n v="-1.532885684932488E-2"/>
    <s v="CohortAvg"/>
    <n v="0.16902490269500939"/>
    <s v="CohortAvg"/>
    <n v="8.2761551975630079E-2"/>
    <s v="CohortAvg_NonZero"/>
    <n v="0"/>
    <s v="CohortAvg"/>
    <n v="0"/>
    <s v="Zero"/>
    <n v="0"/>
    <s v="CohortAvg"/>
    <n v="0"/>
    <s v="CohortAvg"/>
    <n v="0"/>
    <n v="-4893.26"/>
    <n v="-1767.25"/>
    <n v="1623.9"/>
    <n v="9541.52"/>
    <n v="0"/>
    <n v="0"/>
    <n v="0"/>
    <n v="100711.15"/>
    <n v="0.28439300000000001"/>
    <n v="1.169"/>
    <n v="0.33245400000000003"/>
    <s v="CohortTrend+Seasonal(1.169)"/>
    <n v="33481.870000000003"/>
    <n v="32461.1"/>
    <n v="1020.76"/>
    <x v="1"/>
    <n v="9541.52"/>
    <n v="0.78500000000000003"/>
    <n v="0.24"/>
    <n v="7490.09"/>
    <n v="7490.09"/>
    <n v="2289.96"/>
    <n v="24971.01"/>
    <n v="105747.76"/>
    <n v="0.23613700000000001"/>
    <n v="8510.86"/>
    <n v="8510.86"/>
    <n v="19321.580000000002"/>
    <n v="27832.44"/>
    <n v="72878.720000000001"/>
    <s v="Forecast"/>
  </r>
  <r>
    <x v="20"/>
    <x v="1"/>
    <s v="202408"/>
    <n v="34"/>
    <n v="83942.69"/>
    <n v="-6.2363931090999303E-2"/>
    <s v="CohortAvg"/>
    <n v="-1.6607634211303599E-2"/>
    <s v="CohortAvg"/>
    <n v="0.18294701116934159"/>
    <s v="CohortAvg"/>
    <n v="0.1104761026857973"/>
    <s v="CohortAvg_NonZero"/>
    <n v="4.0823520337604801E-11"/>
    <s v="CohortAvg"/>
    <n v="0"/>
    <s v="Zero"/>
    <n v="0"/>
    <s v="CohortAvg"/>
    <n v="0"/>
    <s v="CohortAvg"/>
    <n v="0"/>
    <n v="-5235"/>
    <n v="-1394.09"/>
    <n v="1279.76"/>
    <n v="9273.66"/>
    <n v="0"/>
    <n v="0"/>
    <n v="0"/>
    <n v="69319.7"/>
    <n v="0.29502800000000001"/>
    <n v="1.169"/>
    <n v="0.344887"/>
    <s v="CohortTrend+Seasonal(1.169)"/>
    <n v="23907.46"/>
    <n v="24489.63"/>
    <n v="-582.16"/>
    <x v="1"/>
    <n v="9273.66"/>
    <n v="0.78500000000000003"/>
    <n v="0.24"/>
    <n v="7279.82"/>
    <n v="7279.82"/>
    <n v="2225.6799999999998"/>
    <n v="17209.8"/>
    <n v="74669.03"/>
    <n v="0.23048099999999999"/>
    <n v="6697.66"/>
    <n v="6697.66"/>
    <n v="18779.16"/>
    <n v="25476.83"/>
    <n v="43842.87"/>
    <s v="Forecast"/>
  </r>
  <r>
    <x v="20"/>
    <x v="1"/>
    <s v="202409"/>
    <n v="33"/>
    <n v="231223.55"/>
    <n v="-4.105056399126758E-2"/>
    <s v="CohortAvg"/>
    <n v="-1.5072104775389341E-2"/>
    <s v="CohortAvg"/>
    <n v="0.18230882981185709"/>
    <s v="CohortAvg"/>
    <n v="3.183487482131344E-2"/>
    <s v="CohortAvg_NonZero"/>
    <n v="0"/>
    <s v="CohortAvg"/>
    <n v="0"/>
    <s v="Zero"/>
    <n v="0"/>
    <s v="CohortAvg"/>
    <n v="0"/>
    <s v="CohortAvg"/>
    <n v="0"/>
    <n v="-9491.86"/>
    <n v="-3485.03"/>
    <n v="3512.84"/>
    <n v="7360.97"/>
    <n v="0"/>
    <n v="0"/>
    <n v="0"/>
    <n v="214398.53"/>
    <n v="0.35038200000000003"/>
    <n v="1.169"/>
    <n v="0.40959499999999999"/>
    <s v="CohortTrend+Seasonal(1.169)"/>
    <n v="87816.63"/>
    <n v="79586.460000000006"/>
    <n v="8230.17"/>
    <x v="1"/>
    <n v="7360.97"/>
    <n v="0.78500000000000003"/>
    <n v="0.24"/>
    <n v="5778.36"/>
    <n v="5778.36"/>
    <n v="1766.63"/>
    <n v="73808.100000000006"/>
    <n v="223862.57"/>
    <n v="0.32970300000000002"/>
    <n v="14008.53"/>
    <n v="14008.53"/>
    <n v="14905.97"/>
    <n v="28914.5"/>
    <n v="185484.03"/>
    <s v="Forecast"/>
  </r>
  <r>
    <x v="20"/>
    <x v="1"/>
    <s v="202410"/>
    <n v="32"/>
    <n v="261805.5"/>
    <n v="-1.2604577440434179E-2"/>
    <s v="CohortAvg"/>
    <n v="-1.828152004275202E-2"/>
    <s v="CohortAvg"/>
    <n v="0.18753855124248689"/>
    <s v="CohortAvg"/>
    <n v="3.5382192343496398E-2"/>
    <s v="CohortAvg_NonZero"/>
    <n v="1.7910799738554681E-8"/>
    <s v="CohortAvg"/>
    <n v="0"/>
    <s v="Zero"/>
    <n v="0"/>
    <s v="CohortAvg"/>
    <n v="0"/>
    <s v="CohortAvg"/>
    <n v="0"/>
    <n v="-3299.95"/>
    <n v="-4786.2"/>
    <n v="4091.55"/>
    <n v="9263.25"/>
    <n v="0"/>
    <n v="0"/>
    <n v="0"/>
    <n v="248547.64"/>
    <n v="0.35103299999999998"/>
    <n v="1.169"/>
    <n v="0.41035700000000003"/>
    <s v="CohortTrend+Seasonal(1.169)"/>
    <n v="101993.29"/>
    <n v="90111.91"/>
    <n v="11881.38"/>
    <x v="1"/>
    <n v="9263.25"/>
    <n v="0.78500000000000003"/>
    <n v="0.24"/>
    <n v="7271.65"/>
    <n v="7271.65"/>
    <n v="2223.1799999999998"/>
    <n v="82840.25"/>
    <n v="252542.24"/>
    <n v="0.32802500000000001"/>
    <n v="19153.03"/>
    <n v="19153.04"/>
    <n v="18758.09"/>
    <n v="37911.120000000003"/>
    <n v="210636.52"/>
    <s v="Forecast"/>
  </r>
  <r>
    <x v="20"/>
    <x v="1"/>
    <s v="202411"/>
    <n v="31"/>
    <n v="204173.7"/>
    <n v="-4.4622564986366992E-2"/>
    <s v="CohortAvg"/>
    <n v="-1.480102225874373E-2"/>
    <s v="CohortAvg"/>
    <n v="0.17334662357247241"/>
    <s v="CohortAvg"/>
    <n v="3.2256550944517473E-2"/>
    <s v="CohortAvg_NonZero"/>
    <n v="0"/>
    <s v="CohortAvg"/>
    <n v="0"/>
    <s v="Zero"/>
    <n v="0"/>
    <s v="CohortAvg"/>
    <n v="0"/>
    <s v="CohortAvg"/>
    <n v="0"/>
    <n v="-9110.75"/>
    <n v="-3021.98"/>
    <n v="2949.4"/>
    <n v="6585.94"/>
    <n v="0"/>
    <n v="0"/>
    <n v="0"/>
    <n v="188404.43"/>
    <n v="0.27022499999999999"/>
    <n v="1.169"/>
    <n v="0.31589299999999998"/>
    <s v="CohortTrend+Seasonal(1.169)"/>
    <n v="59515.62"/>
    <n v="54577.3"/>
    <n v="4938.33"/>
    <x v="1"/>
    <n v="6585.94"/>
    <n v="0.78500000000000003"/>
    <n v="0.24"/>
    <n v="5169.96"/>
    <n v="5169.96"/>
    <n v="1580.63"/>
    <n v="49407.33"/>
    <n v="197587.76"/>
    <n v="0.25005300000000003"/>
    <n v="10108.290000000001"/>
    <n v="10108.290000000001"/>
    <n v="13336.53"/>
    <n v="23444.82"/>
    <n v="164959.60999999999"/>
    <s v="Forecast"/>
  </r>
  <r>
    <x v="20"/>
    <x v="1"/>
    <s v="202412"/>
    <n v="30"/>
    <n v="11560.11"/>
    <n v="-8.5838081261203503E-3"/>
    <s v="CohortAvg"/>
    <n v="-1.241486682277443E-2"/>
    <s v="CohortAvg"/>
    <n v="0.1452214718741166"/>
    <s v="CohortAvg"/>
    <n v="0.2"/>
    <s v="CohortAvg_NonZero"/>
    <n v="0"/>
    <s v="CohortAvg"/>
    <n v="0"/>
    <s v="Zero"/>
    <n v="0"/>
    <s v="CohortAvg"/>
    <n v="0"/>
    <s v="CohortAvg"/>
    <n v="0"/>
    <n v="-99.23"/>
    <n v="-143.52000000000001"/>
    <n v="139.9"/>
    <n v="2312.02"/>
    <n v="0"/>
    <n v="0"/>
    <n v="0"/>
    <n v="9145.24"/>
    <n v="0.24924099999999999"/>
    <n v="1.169"/>
    <n v="0.29136200000000001"/>
    <s v="CohortTrend+Seasonal(1.169)"/>
    <n v="2664.57"/>
    <n v="2854.45"/>
    <n v="-189.88"/>
    <x v="1"/>
    <n v="2312.02"/>
    <n v="0.78500000000000003"/>
    <n v="0.24"/>
    <n v="1814.94"/>
    <n v="1814.94"/>
    <n v="554.89"/>
    <n v="1039.51"/>
    <n v="9248.09"/>
    <n v="0.112403"/>
    <n v="1625.06"/>
    <n v="1625.06"/>
    <n v="4681.84"/>
    <n v="6306.9"/>
    <n v="2838.33"/>
    <s v="Forecast"/>
  </r>
  <r>
    <x v="20"/>
    <x v="1"/>
    <s v="202501"/>
    <n v="29"/>
    <n v="44100.57"/>
    <n v="-1.529351751305634E-2"/>
    <s v="CohortAvg"/>
    <n v="-1.7525015653686971E-2"/>
    <s v="CohortAvg"/>
    <n v="0.20436603758970379"/>
    <s v="CohortAvg"/>
    <n v="0"/>
    <s v="CohortAvg_NoData_ERROR"/>
    <n v="0"/>
    <s v="CohortAvg"/>
    <n v="0"/>
    <s v="Zero"/>
    <n v="0"/>
    <s v="CohortAvg"/>
    <n v="0"/>
    <s v="CohortAvg"/>
    <n v="0"/>
    <n v="-674.45"/>
    <n v="-772.86"/>
    <n v="751.05"/>
    <n v="0"/>
    <n v="0"/>
    <n v="0"/>
    <n v="0"/>
    <n v="43404.31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44100.57"/>
    <n v="0"/>
    <n v="0"/>
    <n v="0"/>
    <n v="0"/>
    <n v="0"/>
    <n v="43404.31"/>
    <s v="Forecast"/>
  </r>
  <r>
    <x v="20"/>
    <x v="1"/>
    <s v="202502"/>
    <n v="28"/>
    <n v="92477.3"/>
    <n v="-1.3860769711435411E-2"/>
    <s v="CohortAvg"/>
    <n v="-1.8944697727353039E-2"/>
    <s v="CohortAvg"/>
    <n v="0.1940821084359669"/>
    <s v="CohortAvg"/>
    <n v="0"/>
    <s v="CohortAvg_NoData_ERROR"/>
    <n v="0"/>
    <s v="CohortAvg"/>
    <n v="0"/>
    <s v="Zero"/>
    <n v="0"/>
    <s v="CohortAvg"/>
    <n v="0"/>
    <s v="CohortAvg"/>
    <n v="0"/>
    <n v="-1281.81"/>
    <n v="-1751.95"/>
    <n v="1495.68"/>
    <n v="0"/>
    <n v="0"/>
    <n v="0"/>
    <n v="0"/>
    <n v="90939.22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92477.3"/>
    <n v="0"/>
    <n v="0"/>
    <n v="0"/>
    <n v="0"/>
    <n v="0"/>
    <n v="90939.22"/>
    <s v="Forecast"/>
  </r>
  <r>
    <x v="20"/>
    <x v="1"/>
    <s v="202503"/>
    <n v="27"/>
    <n v="73011.41"/>
    <n v="-9.8304736090213726E-3"/>
    <s v="CohortAvg"/>
    <n v="-1.376179793394189E-2"/>
    <s v="CohortAvg"/>
    <n v="0.2083692574763033"/>
    <s v="CohortAvg"/>
    <n v="0"/>
    <s v="CohortAvg_NoData_ERROR"/>
    <n v="0"/>
    <s v="CohortAvg"/>
    <n v="0"/>
    <s v="Zero"/>
    <n v="0"/>
    <s v="CohortAvg"/>
    <n v="0"/>
    <s v="CohortAvg"/>
    <n v="0"/>
    <n v="-717.74"/>
    <n v="-1004.77"/>
    <n v="1267.78"/>
    <n v="0"/>
    <n v="0"/>
    <n v="0"/>
    <n v="0"/>
    <n v="72556.679999999993"/>
    <n v="0.30401600000000001"/>
    <n v="1.169"/>
    <n v="0.35539399999999999"/>
    <s v="CohortTrend+Seasonal(1.169)"/>
    <n v="25786.23"/>
    <n v="21613.439999999999"/>
    <n v="4172.78"/>
    <x v="1"/>
    <n v="0"/>
    <n v="0.78500000000000003"/>
    <n v="0.24"/>
    <n v="0"/>
    <n v="0"/>
    <n v="0"/>
    <n v="21613.439999999999"/>
    <n v="73011.41"/>
    <n v="0.29602800000000001"/>
    <n v="4172.78"/>
    <n v="4172.78"/>
    <n v="0"/>
    <n v="4172.78"/>
    <n v="68383.899999999994"/>
    <s v="Forecast"/>
  </r>
  <r>
    <x v="20"/>
    <x v="1"/>
    <s v="202504"/>
    <n v="26"/>
    <n v="41415.94"/>
    <n v="-2.0712784030051959E-2"/>
    <s v="CohortAvg"/>
    <n v="-1.674737266187952E-2"/>
    <s v="CohortAvg"/>
    <n v="0.20222237733642359"/>
    <s v="CohortAvg"/>
    <n v="0"/>
    <s v="CohortAvg_NoData_ERROR"/>
    <n v="0"/>
    <s v="CohortAvg"/>
    <n v="0"/>
    <s v="Zero"/>
    <n v="0"/>
    <s v="CohortAvg"/>
    <n v="0"/>
    <s v="CohortAvg"/>
    <n v="0"/>
    <n v="-857.84"/>
    <n v="-693.61"/>
    <n v="697.94"/>
    <n v="0"/>
    <n v="0"/>
    <n v="0"/>
    <n v="0"/>
    <n v="40562.43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41415.94"/>
    <n v="0"/>
    <n v="0"/>
    <n v="0"/>
    <n v="0"/>
    <n v="0"/>
    <n v="40562.43"/>
    <s v="Forecast"/>
  </r>
  <r>
    <x v="20"/>
    <x v="1"/>
    <s v="202505"/>
    <n v="25"/>
    <n v="13735.26"/>
    <n v="-1.024398593095498E-2"/>
    <s v="CohortAvg"/>
    <n v="-1.672797091434312E-2"/>
    <s v="CohortAvg"/>
    <n v="0.202234594673597"/>
    <s v="CohortAvg"/>
    <n v="0"/>
    <s v="CohortAvg_NoData_ERROR"/>
    <n v="0"/>
    <s v="CohortAvg"/>
    <n v="0"/>
    <s v="Zero"/>
    <n v="0"/>
    <s v="CohortAvg"/>
    <n v="0"/>
    <s v="CohortAvg"/>
    <n v="0"/>
    <n v="-140.69999999999999"/>
    <n v="-229.76"/>
    <n v="231.48"/>
    <n v="0"/>
    <n v="0"/>
    <n v="0"/>
    <n v="0"/>
    <n v="13596.27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13735.26"/>
    <n v="0"/>
    <n v="0"/>
    <n v="0"/>
    <n v="0"/>
    <n v="0"/>
    <n v="13596.27"/>
    <s v="Forecast"/>
  </r>
  <r>
    <x v="20"/>
    <x v="1"/>
    <s v="202506"/>
    <n v="24"/>
    <n v="23207.26"/>
    <n v="-1.4311685003564041E-2"/>
    <s v="CohortAvg"/>
    <n v="-1.691974815676639E-2"/>
    <s v="CohortAvg"/>
    <n v="0.1965760942378561"/>
    <s v="CohortAvg"/>
    <n v="0"/>
    <s v="CohortAvg_NoData_ERROR"/>
    <n v="0"/>
    <s v="CohortAvg"/>
    <n v="0"/>
    <s v="Zero"/>
    <n v="0"/>
    <s v="CohortAvg"/>
    <n v="0"/>
    <s v="CohortAvg"/>
    <n v="0"/>
    <n v="-332.13"/>
    <n v="-392.66"/>
    <n v="380.17"/>
    <n v="0"/>
    <n v="0"/>
    <n v="0"/>
    <n v="0"/>
    <n v="22862.63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23207.26"/>
    <n v="0"/>
    <n v="0"/>
    <n v="0"/>
    <n v="0"/>
    <n v="0"/>
    <n v="22862.63"/>
    <s v="Forecast"/>
  </r>
  <r>
    <x v="20"/>
    <x v="1"/>
    <s v="202507"/>
    <n v="23"/>
    <n v="92697.279999999999"/>
    <n v="-1.144998818188229E-2"/>
    <s v="CohortAvg"/>
    <n v="-1.8480390511337361E-2"/>
    <s v="CohortAvg"/>
    <n v="0.20472268956307119"/>
    <s v="CohortAvg"/>
    <n v="0"/>
    <s v="CohortAvg_NoData_ERROR"/>
    <n v="0"/>
    <s v="CohortAvg"/>
    <n v="0"/>
    <s v="Zero"/>
    <n v="0"/>
    <s v="CohortAvg"/>
    <n v="0"/>
    <s v="CohortAvg"/>
    <n v="0"/>
    <n v="-1061.3800000000001"/>
    <n v="-1713.08"/>
    <n v="1581.44"/>
    <n v="0"/>
    <n v="0"/>
    <n v="0"/>
    <n v="0"/>
    <n v="91504.25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92697.279999999999"/>
    <n v="0"/>
    <n v="0"/>
    <n v="0"/>
    <n v="0"/>
    <n v="0"/>
    <n v="91504.25"/>
    <s v="Forecast"/>
  </r>
  <r>
    <x v="20"/>
    <x v="1"/>
    <s v="202508"/>
    <n v="22"/>
    <n v="37505.18"/>
    <n v="-1.502990594639482E-2"/>
    <s v="CohortAvg"/>
    <n v="-1.510646500174866E-2"/>
    <s v="CohortAvg"/>
    <n v="0.18596291775445839"/>
    <s v="CohortAvg"/>
    <n v="0"/>
    <s v="CohortAvg_NoData_ERROR"/>
    <n v="0"/>
    <s v="CohortAvg"/>
    <n v="0"/>
    <s v="Zero"/>
    <n v="0"/>
    <s v="CohortAvg"/>
    <n v="0"/>
    <s v="CohortAvg"/>
    <n v="0"/>
    <n v="-563.70000000000005"/>
    <n v="-566.57000000000005"/>
    <n v="581.21"/>
    <n v="0"/>
    <n v="0"/>
    <n v="0"/>
    <n v="0"/>
    <n v="36956.129999999997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37505.18"/>
    <n v="0"/>
    <n v="0"/>
    <n v="0"/>
    <n v="0"/>
    <n v="0"/>
    <n v="36956.129999999997"/>
    <s v="Forecast"/>
  </r>
  <r>
    <x v="20"/>
    <x v="1"/>
    <s v="202509"/>
    <n v="21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169"/>
    <n v="0"/>
    <s v="Manual+Seasonal(1.169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20"/>
    <x v="2"/>
    <s v="202101"/>
    <n v="77"/>
    <n v="45463.48"/>
    <n v="-0.1932151642901499"/>
    <s v="CohortAvg"/>
    <n v="-1.430280755688937E-2"/>
    <s v="CohortAvg"/>
    <n v="0.15658993682834171"/>
    <s v="CohortAvg"/>
    <n v="1.7900135607304291E-2"/>
    <s v="CohortAvg_NonZero"/>
    <n v="0"/>
    <s v="CohortAvg"/>
    <n v="0"/>
    <s v="Zero"/>
    <n v="0"/>
    <s v="CohortAvg"/>
    <n v="0"/>
    <s v="CohortAvg"/>
    <n v="0"/>
    <n v="-8784.23"/>
    <n v="-650.26"/>
    <n v="593.26"/>
    <n v="813.8"/>
    <n v="0"/>
    <n v="0"/>
    <n v="0"/>
    <n v="35808.449999999997"/>
    <n v="0.26070700000000002"/>
    <n v="0.94869999999999999"/>
    <n v="0.24732699999999999"/>
    <s v="CohortAvg+Seasonal(0.949)"/>
    <n v="8856.4"/>
    <n v="10556.91"/>
    <n v="-1700.52"/>
    <x v="1"/>
    <n v="813.8"/>
    <n v="0.78500000000000003"/>
    <n v="0.24"/>
    <n v="638.83000000000004"/>
    <n v="638.83000000000004"/>
    <n v="195.31"/>
    <n v="9918.08"/>
    <n v="44649.68"/>
    <n v="0.222131"/>
    <n v="-1061.68"/>
    <n v="-1061.68"/>
    <n v="1647.95"/>
    <n v="586.27"/>
    <n v="35222.18"/>
    <s v="Forecast"/>
  </r>
  <r>
    <x v="20"/>
    <x v="2"/>
    <s v="202201"/>
    <n v="57"/>
    <n v="38486.71"/>
    <n v="-6.4354749193312147E-2"/>
    <s v="CohortAvg"/>
    <n v="-1.346832516082676E-2"/>
    <s v="CohortAvg"/>
    <n v="0.1498698351059787"/>
    <s v="CohortAvg"/>
    <n v="3.442876891477023E-2"/>
    <s v="CohortAvg_NonZero"/>
    <n v="4.025064117073006E-7"/>
    <s v="CohortAvg"/>
    <n v="0"/>
    <s v="Zero"/>
    <n v="-5.3676718173019952E-7"/>
    <s v="CohortAvg"/>
    <n v="-2.4234076255129799E-9"/>
    <s v="CohortAvg"/>
    <n v="0"/>
    <n v="-2476.8000000000002"/>
    <n v="-518.35"/>
    <n v="480.67"/>
    <n v="1325.05"/>
    <n v="0.02"/>
    <n v="-0.02"/>
    <n v="0"/>
    <n v="34647.160000000003"/>
    <n v="0.18621799999999999"/>
    <n v="0.94869999999999999"/>
    <n v="0.17666100000000001"/>
    <s v="CohortAvg+Seasonal(0.949)"/>
    <n v="6120.8"/>
    <n v="6384.5"/>
    <n v="-263.70999999999998"/>
    <x v="1"/>
    <n v="1325.05"/>
    <n v="0.78500000000000003"/>
    <n v="0.24"/>
    <n v="1040.1600000000001"/>
    <n v="1040.1600000000001"/>
    <n v="318.01"/>
    <n v="5344.34"/>
    <n v="37161.660000000003"/>
    <n v="0.143813"/>
    <n v="776.46"/>
    <n v="776.47"/>
    <n v="2683.23"/>
    <n v="3459.7"/>
    <n v="31187.46"/>
    <s v="Forecast"/>
  </r>
  <r>
    <x v="20"/>
    <x v="2"/>
    <s v="202301"/>
    <n v="48"/>
    <n v="4779311.1500000004"/>
    <n v="-3.5834409610952023E-2"/>
    <s v="CohortAvg"/>
    <n v="-1.5327964245255701E-2"/>
    <s v="CohortAvg"/>
    <n v="0.1743579594722425"/>
    <s v="CohortAvg"/>
    <n v="1.8575529898801669E-2"/>
    <s v="CohortAvg_NonZero"/>
    <n v="3.7566669414945326E-9"/>
    <s v="CohortAvg"/>
    <n v="0"/>
    <s v="Zero"/>
    <n v="-1.091854204336359E-5"/>
    <s v="CohortAvg"/>
    <n v="-2.7109974061196E-8"/>
    <s v="CohortAvg"/>
    <n v="0"/>
    <n v="-171263.79"/>
    <n v="-73257.11"/>
    <n v="69442.58"/>
    <n v="88778.240000000005"/>
    <n v="0.02"/>
    <n v="-52.18"/>
    <n v="-0.13"/>
    <n v="4515454.57"/>
    <n v="0.21934999999999999"/>
    <n v="0.94869999999999999"/>
    <n v="0.208093"/>
    <s v="CohortAvg+Seasonal(0.949)"/>
    <n v="939633.62"/>
    <n v="931928.91"/>
    <n v="7704.71"/>
    <x v="1"/>
    <n v="88778.240000000005"/>
    <n v="0.78500000000000003"/>
    <n v="0.24"/>
    <n v="69690.92"/>
    <n v="69690.92"/>
    <n v="21306.78"/>
    <n v="862237.99"/>
    <n v="4690532.91"/>
    <n v="0.18382499999999999"/>
    <n v="77395.62"/>
    <n v="77395.64"/>
    <n v="179775.93"/>
    <n v="257171.57"/>
    <n v="4258282.99"/>
    <s v="Forecast"/>
  </r>
  <r>
    <x v="20"/>
    <x v="2"/>
    <s v="202404"/>
    <n v="38"/>
    <n v="1086061.94"/>
    <n v="-4.2822678146840397E-2"/>
    <s v="CohortAvg"/>
    <n v="-1.6117957699213079E-2"/>
    <s v="CohortAvg"/>
    <n v="0.17588729233694941"/>
    <s v="CohortAvg"/>
    <n v="2.1298323317399809E-2"/>
    <s v="CohortAvg_NonZero"/>
    <n v="4.8563536523149573E-8"/>
    <s v="CohortAvg"/>
    <n v="0"/>
    <s v="Zero"/>
    <n v="-2.3977205912432981E-3"/>
    <s v="CohortAvg"/>
    <n v="-1.082776484642484E-5"/>
    <s v="CohortAvg"/>
    <n v="0"/>
    <n v="-46508.08"/>
    <n v="-17505.099999999999"/>
    <n v="15918.71"/>
    <n v="23131.3"/>
    <n v="0.05"/>
    <n v="-2604.0700000000002"/>
    <n v="-11.76"/>
    <n v="1014836.11"/>
    <n v="0.219919"/>
    <n v="0.94869999999999999"/>
    <n v="0.20863200000000001"/>
    <s v="CohortTrend+Seasonal(0.949)"/>
    <n v="211727.52"/>
    <n v="207623.17"/>
    <n v="4104.3500000000004"/>
    <x v="1"/>
    <n v="23131.3"/>
    <n v="0.78500000000000003"/>
    <n v="0.24"/>
    <n v="18158.07"/>
    <n v="18158.07"/>
    <n v="5551.51"/>
    <n v="189465.1"/>
    <n v="1062930.6399999999"/>
    <n v="0.17824799999999999"/>
    <n v="22262.42"/>
    <n v="22262.47"/>
    <n v="46840.88"/>
    <n v="69103.350000000006"/>
    <n v="945732.76"/>
    <s v="Forecast"/>
  </r>
  <r>
    <x v="20"/>
    <x v="2"/>
    <s v="202405"/>
    <n v="37"/>
    <n v="1463846.02"/>
    <n v="-1.905726470628491E-2"/>
    <s v="CohortAvg"/>
    <n v="-1.511607111476289E-2"/>
    <s v="CohortAvg"/>
    <n v="0.17320996573652289"/>
    <s v="CohortAvg"/>
    <n v="3.1715244129339633E-2"/>
    <s v="CohortAvg_NonZero"/>
    <n v="1.8009465258441599E-8"/>
    <s v="CohortAvg"/>
    <n v="0"/>
    <s v="Zero"/>
    <n v="-5.6521219796715691E-3"/>
    <s v="CohortAvg"/>
    <n v="-3.3975528137963693E-5"/>
    <s v="CohortAvg"/>
    <n v="0"/>
    <n v="-27896.9"/>
    <n v="-22127.599999999999"/>
    <n v="21129.39"/>
    <n v="46426.23"/>
    <n v="0.03"/>
    <n v="-8273.84"/>
    <n v="-49.73"/>
    <n v="1388524.65"/>
    <n v="0.18674099999999999"/>
    <n v="0.94869999999999999"/>
    <n v="0.17715700000000001"/>
    <s v="CohortTrend+Seasonal(0.949)"/>
    <n v="245987.5"/>
    <n v="237616.29"/>
    <n v="8371.2099999999991"/>
    <x v="1"/>
    <n v="46426.23"/>
    <n v="0.78500000000000003"/>
    <n v="0.24"/>
    <n v="36444.589999999997"/>
    <n v="36444.589999999997"/>
    <n v="11142.3"/>
    <n v="201171.69"/>
    <n v="1417419.79"/>
    <n v="0.141928"/>
    <n v="44815.8"/>
    <n v="44815.83"/>
    <n v="94013.119999999995"/>
    <n v="138828.95000000001"/>
    <n v="1249695.7"/>
    <s v="Forecast"/>
  </r>
  <r>
    <x v="20"/>
    <x v="2"/>
    <s v="202406"/>
    <n v="36"/>
    <n v="980120.98"/>
    <n v="-2.7597905394389971E-2"/>
    <s v="CohortAvg"/>
    <n v="-1.5148452819168901E-2"/>
    <s v="CohortAvg"/>
    <n v="0.17182844379809931"/>
    <s v="CohortAvg"/>
    <n v="6.2895687916567578E-2"/>
    <s v="CohortAvg_NonZero"/>
    <n v="1.5628122371445969E-8"/>
    <s v="CohortAvg"/>
    <n v="0"/>
    <s v="Zero"/>
    <n v="-3.4639194823633951E-3"/>
    <s v="CohortAvg"/>
    <n v="-5.4410075307584749E-5"/>
    <s v="CohortAvg"/>
    <n v="0"/>
    <n v="-27049.29"/>
    <n v="-14847.32"/>
    <n v="14034.39"/>
    <n v="61645.38"/>
    <n v="0.02"/>
    <n v="-3395.06"/>
    <n v="-53.33"/>
    <n v="890613.37"/>
    <n v="0.190304"/>
    <n v="0.94869999999999999"/>
    <n v="0.180537"/>
    <s v="CohortTrend+Seasonal(0.949)"/>
    <n v="160789.04"/>
    <n v="162348.54"/>
    <n v="-1559.5"/>
    <x v="1"/>
    <n v="61645.38"/>
    <n v="0.78500000000000003"/>
    <n v="0.24"/>
    <n v="48391.63"/>
    <n v="48391.63"/>
    <n v="14794.89"/>
    <n v="113956.91"/>
    <n v="918475.59"/>
    <n v="0.124072"/>
    <n v="46832.12"/>
    <n v="46832.14"/>
    <n v="124831.9"/>
    <n v="171664.04"/>
    <n v="718949.33"/>
    <s v="Forecast"/>
  </r>
  <r>
    <x v="20"/>
    <x v="2"/>
    <s v="202407"/>
    <n v="35"/>
    <n v="2027092.08"/>
    <n v="-2.7276479327745989E-2"/>
    <s v="CohortAvg"/>
    <n v="-1.565522840042748E-2"/>
    <s v="CohortAvg"/>
    <n v="0.17582288694363701"/>
    <s v="CohortAvg"/>
    <n v="3.180272265508792E-2"/>
    <s v="CohortAvg_NonZero"/>
    <n v="6.5665646270459376E-6"/>
    <s v="CohortAvg"/>
    <n v="0"/>
    <s v="Zero"/>
    <n v="-4.8838578003610944E-3"/>
    <s v="CohortAvg"/>
    <n v="-4.0852722285234513E-5"/>
    <s v="CohortAvg"/>
    <n v="0"/>
    <n v="-55291.94"/>
    <n v="-31734.59"/>
    <n v="29700.77"/>
    <n v="64467.05"/>
    <n v="13.31"/>
    <n v="-9900.0300000000007"/>
    <n v="-82.81"/>
    <n v="1905285.97"/>
    <n v="0.16617299999999999"/>
    <n v="0.94869999999999999"/>
    <n v="0.15764500000000001"/>
    <s v="CohortTrend+Seasonal(0.949)"/>
    <n v="300358.63"/>
    <n v="292537.69"/>
    <n v="7820.95"/>
    <x v="1"/>
    <n v="64467.05"/>
    <n v="0.78500000000000003"/>
    <n v="0.24"/>
    <n v="50606.63"/>
    <n v="50606.63"/>
    <n v="15472.09"/>
    <n v="241931.06"/>
    <n v="1962625.04"/>
    <n v="0.123269"/>
    <n v="58427.58"/>
    <n v="58440.89"/>
    <n v="130545.77"/>
    <n v="188986.66"/>
    <n v="1716299.31"/>
    <s v="Forecast"/>
  </r>
  <r>
    <x v="20"/>
    <x v="2"/>
    <s v="202408"/>
    <n v="34"/>
    <n v="1565783.13"/>
    <n v="-2.3929511247079229E-2"/>
    <s v="CohortAvg"/>
    <n v="-1.6488494607389138E-2"/>
    <s v="CohortAvg"/>
    <n v="0.18797100965293601"/>
    <s v="CohortAvg"/>
    <n v="2.1727425393384379E-2"/>
    <s v="CohortAvg_NonZero"/>
    <n v="6.3081489565414258E-9"/>
    <s v="CohortAvg"/>
    <n v="0"/>
    <s v="Zero"/>
    <n v="-2.0818299707000862E-3"/>
    <s v="CohortAvg"/>
    <n v="-2.2652067885960572E-5"/>
    <s v="CohortAvg"/>
    <n v="0"/>
    <n v="-37468.42"/>
    <n v="-25817.41"/>
    <n v="24526.82"/>
    <n v="34020.44"/>
    <n v="0.01"/>
    <n v="-3259.69"/>
    <n v="-35.47"/>
    <n v="1493003.67"/>
    <n v="0.17195199999999999"/>
    <n v="0.94869999999999999"/>
    <n v="0.163128"/>
    <s v="CohortTrend+Seasonal(0.949)"/>
    <n v="243550.05"/>
    <n v="232929.21"/>
    <n v="10620.84"/>
    <x v="1"/>
    <n v="34020.44"/>
    <n v="0.78500000000000003"/>
    <n v="0.24"/>
    <n v="26706.04"/>
    <n v="26706.04"/>
    <n v="8164.9"/>
    <n v="206223.16"/>
    <n v="1531762.69"/>
    <n v="0.134631"/>
    <n v="37326.89"/>
    <n v="37326.9"/>
    <n v="68891.38"/>
    <n v="106218.28"/>
    <n v="1386785.39"/>
    <s v="Forecast"/>
  </r>
  <r>
    <x v="20"/>
    <x v="2"/>
    <s v="202409"/>
    <n v="33"/>
    <n v="1246383.3600000001"/>
    <n v="-3.2623507603115998E-2"/>
    <s v="CohortAvg"/>
    <n v="-1.6766584174058741E-2"/>
    <s v="CohortAvg"/>
    <n v="0.18511398358371639"/>
    <s v="CohortAvg"/>
    <n v="3.523508309113111E-2"/>
    <s v="CohortAvg_NonZero"/>
    <n v="7.2949159667394809E-6"/>
    <s v="CohortAvg"/>
    <n v="0"/>
    <s v="Zero"/>
    <n v="-1.159750200446669E-2"/>
    <s v="CohortAvg"/>
    <n v="-9.3556609545788704E-5"/>
    <s v="CohortAvg"/>
    <n v="0"/>
    <n v="-40661.4"/>
    <n v="-20897.59"/>
    <n v="19226.919999999998"/>
    <n v="43916.42"/>
    <n v="9.09"/>
    <n v="-14454.93"/>
    <n v="-116.61"/>
    <n v="1160125.77"/>
    <n v="0.150781"/>
    <n v="0.94869999999999999"/>
    <n v="0.143042"/>
    <s v="CohortTrend+Seasonal(0.949)"/>
    <n v="165947.13"/>
    <n v="162586.45000000001"/>
    <n v="3360.68"/>
    <x v="1"/>
    <n v="43916.42"/>
    <n v="0.78500000000000003"/>
    <n v="0.24"/>
    <n v="34474.39"/>
    <n v="34474.39"/>
    <n v="10539.94"/>
    <n v="128112.06"/>
    <n v="1202466.93"/>
    <n v="0.106541"/>
    <n v="37835.07"/>
    <n v="37844.160000000003"/>
    <n v="88930.75"/>
    <n v="126774.91"/>
    <n v="1033350.86"/>
    <s v="Forecast"/>
  </r>
  <r>
    <x v="20"/>
    <x v="2"/>
    <s v="202410"/>
    <n v="32"/>
    <n v="1094359.8400000001"/>
    <n v="-4.0705703006268093E-2"/>
    <s v="CohortAvg"/>
    <n v="-1.6724444093567131E-2"/>
    <s v="CohortAvg"/>
    <n v="0.1819389185098324"/>
    <s v="CohortAvg"/>
    <n v="2.954630566882371E-2"/>
    <s v="CohortAvg_NonZero"/>
    <n v="2.8983323381901781E-8"/>
    <s v="CohortAvg"/>
    <n v="0"/>
    <s v="Zero"/>
    <n v="-7.1715503622511454E-3"/>
    <s v="CohortAvg"/>
    <n v="-1.104706677210367E-4"/>
    <s v="CohortAvg"/>
    <n v="0"/>
    <n v="-44546.69"/>
    <n v="-18302.560000000001"/>
    <n v="16592.22"/>
    <n v="32334.29"/>
    <n v="0.03"/>
    <n v="-7848.26"/>
    <n v="-120.89"/>
    <n v="1015768.49"/>
    <n v="0.13534199999999999"/>
    <n v="0.94869999999999999"/>
    <n v="0.12839600000000001"/>
    <s v="CohortTrend+Seasonal(0.949)"/>
    <n v="130420.76"/>
    <n v="128482.92"/>
    <n v="1937.84"/>
    <x v="1"/>
    <n v="32334.29"/>
    <n v="0.78500000000000003"/>
    <n v="0.24"/>
    <n v="25382.42"/>
    <n v="25382.42"/>
    <n v="7760.23"/>
    <n v="103100.5"/>
    <n v="1062025.55"/>
    <n v="9.7078999999999999E-2"/>
    <n v="27320.26"/>
    <n v="27320.29"/>
    <n v="65476.94"/>
    <n v="92797.23"/>
    <n v="922971.26"/>
    <s v="Forecast"/>
  </r>
  <r>
    <x v="20"/>
    <x v="2"/>
    <s v="202411"/>
    <n v="31"/>
    <n v="1331990.21"/>
    <n v="-3.7064347976900273E-2"/>
    <s v="CohortAvg"/>
    <n v="-1.7568230754655349E-2"/>
    <s v="CohortAvg"/>
    <n v="0.1900252903570159"/>
    <s v="CohortAvg"/>
    <n v="2.1734599252082602E-2"/>
    <s v="CohortAvg_NonZero"/>
    <n v="1.7055835745424191E-6"/>
    <s v="CohortAvg"/>
    <n v="0"/>
    <s v="Zero"/>
    <n v="-1.081989433194643E-2"/>
    <s v="CohortAvg"/>
    <n v="-9.4702228927164432E-5"/>
    <s v="CohortAvg"/>
    <n v="0"/>
    <n v="-49369.35"/>
    <n v="-23400.71"/>
    <n v="21092.65"/>
    <n v="28950.27"/>
    <n v="2.27"/>
    <n v="-14411.99"/>
    <n v="-126.14"/>
    <n v="1251360.26"/>
    <n v="0.141621"/>
    <n v="0.94869999999999999"/>
    <n v="0.134353"/>
    <s v="CohortTrend+Seasonal(0.949)"/>
    <n v="168123.44"/>
    <n v="162619.04"/>
    <n v="5504.39"/>
    <x v="1"/>
    <n v="28950.27"/>
    <n v="0.78500000000000003"/>
    <n v="0.24"/>
    <n v="22725.96"/>
    <n v="22725.96"/>
    <n v="6948.07"/>
    <n v="139893.07999999999"/>
    <n v="1303039.94"/>
    <n v="0.107359"/>
    <n v="28230.36"/>
    <n v="28232.63"/>
    <n v="58624.3"/>
    <n v="86856.93"/>
    <n v="1164503.33"/>
    <s v="Forecast"/>
  </r>
  <r>
    <x v="20"/>
    <x v="2"/>
    <s v="202412"/>
    <n v="30"/>
    <n v="1462975.48"/>
    <n v="-1.9972757838687748E-2"/>
    <s v="CohortAvg"/>
    <n v="-1.6656662031449131E-2"/>
    <s v="CohortAvg"/>
    <n v="0.18941554181297379"/>
    <s v="CohortAvg"/>
    <n v="2.8235058889527109E-2"/>
    <s v="CohortAvg_NonZero"/>
    <n v="1.8310571522351921E-8"/>
    <s v="CohortAvg"/>
    <n v="0"/>
    <s v="Zero"/>
    <n v="-1.0154291626000501E-2"/>
    <s v="CohortAvg"/>
    <n v="-6.8671962269944398E-5"/>
    <s v="CohortAvg"/>
    <n v="0"/>
    <n v="-29219.66"/>
    <n v="-24368.29"/>
    <n v="23092.52"/>
    <n v="41307.199999999997"/>
    <n v="0.03"/>
    <n v="-14855.48"/>
    <n v="-100.47"/>
    <n v="1391172.84"/>
    <n v="0.109614"/>
    <n v="0.94869999999999999"/>
    <n v="0.103988"/>
    <s v="CohortTrend+Seasonal(0.949)"/>
    <n v="144665.28"/>
    <n v="139335.23000000001"/>
    <n v="5330.05"/>
    <x v="1"/>
    <n v="41307.199999999997"/>
    <n v="0.78500000000000003"/>
    <n v="0.24"/>
    <n v="32426.15"/>
    <n v="32426.15"/>
    <n v="9913.73"/>
    <n v="106909.08"/>
    <n v="1421668.29"/>
    <n v="7.5200000000000003E-2"/>
    <n v="37756.199999999997"/>
    <n v="37756.230000000003"/>
    <n v="83647.08"/>
    <n v="121403.31"/>
    <n v="1269769.53"/>
    <s v="Forecast"/>
  </r>
  <r>
    <x v="20"/>
    <x v="2"/>
    <s v="202501"/>
    <n v="29"/>
    <n v="2382960.61"/>
    <n v="-3.04609630152851E-2"/>
    <s v="CohortAvg"/>
    <n v="-1.7546279653121329E-2"/>
    <s v="CohortAvg"/>
    <n v="0.19072913136545711"/>
    <s v="CohortAvg"/>
    <n v="1.5588978437609769E-2"/>
    <s v="CohortAvg_NonZero"/>
    <n v="7.7018747508947732E-7"/>
    <s v="CohortAvg"/>
    <n v="0"/>
    <s v="Zero"/>
    <n v="-1.8917395992879522E-2"/>
    <s v="CohortAvg"/>
    <n v="-1.543066996927323E-4"/>
    <s v="CohortAvg"/>
    <n v="0"/>
    <n v="-72587.27"/>
    <n v="-41812.089999999997"/>
    <n v="37875"/>
    <n v="37147.919999999998"/>
    <n v="1.84"/>
    <n v="-45079.41"/>
    <n v="-367.71"/>
    <n v="2269286.48"/>
    <n v="0.120904"/>
    <n v="0.94869999999999999"/>
    <n v="0.114699"/>
    <s v="CohortTrend+Seasonal(0.949)"/>
    <n v="260284.95"/>
    <n v="248475.89"/>
    <n v="11809.07"/>
    <x v="1"/>
    <n v="37147.919999999998"/>
    <n v="0.78500000000000003"/>
    <n v="0.24"/>
    <n v="29161.119999999999"/>
    <n v="29161.119999999999"/>
    <n v="8915.5"/>
    <n v="219314.77"/>
    <n v="2345812.6800000002"/>
    <n v="9.3492000000000006E-2"/>
    <n v="40970.18"/>
    <n v="40972.019999999997"/>
    <n v="75224.539999999994"/>
    <n v="116196.56"/>
    <n v="2153089.92"/>
    <s v="Forecast"/>
  </r>
  <r>
    <x v="20"/>
    <x v="2"/>
    <s v="202502"/>
    <n v="28"/>
    <n v="2415310.83"/>
    <n v="-3.4075767864335971E-2"/>
    <s v="CohortAvg"/>
    <n v="-1.7641394615346129E-2"/>
    <s v="CohortAvg"/>
    <n v="0.1971611817821709"/>
    <s v="CohortAvg"/>
    <n v="7.9645373695133598E-3"/>
    <s v="CohortAvg_NonZero"/>
    <n v="0"/>
    <s v="CohortAvg"/>
    <n v="0"/>
    <s v="Zero"/>
    <n v="-3.481213901429301E-2"/>
    <s v="CohortAvg"/>
    <n v="-3.182570475548153E-4"/>
    <s v="CohortAvg"/>
    <n v="0"/>
    <n v="-82303.570000000007"/>
    <n v="-42609.45"/>
    <n v="39683.79"/>
    <n v="19236.830000000002"/>
    <n v="0"/>
    <n v="-84082.14"/>
    <n v="-768.69"/>
    <n v="2310844.77"/>
    <n v="0.130027"/>
    <n v="0.94869999999999999"/>
    <n v="0.12335400000000001"/>
    <s v="CohortTrend+Seasonal(0.949)"/>
    <n v="285052.09999999998"/>
    <n v="269127.98"/>
    <n v="15924.12"/>
    <x v="1"/>
    <n v="19236.830000000002"/>
    <n v="0.78500000000000003"/>
    <n v="0.24"/>
    <n v="15100.91"/>
    <n v="15100.91"/>
    <n v="4616.84"/>
    <n v="254027.06"/>
    <n v="2396074"/>
    <n v="0.106018"/>
    <n v="31025.040000000001"/>
    <n v="31025.040000000001"/>
    <n v="38954.589999999997"/>
    <n v="69979.62"/>
    <n v="2240865.15"/>
    <s v="Forecast"/>
  </r>
  <r>
    <x v="20"/>
    <x v="2"/>
    <s v="202503"/>
    <n v="27"/>
    <n v="3702521.83"/>
    <n v="-2.2744846199078281E-2"/>
    <s v="CohortAvg"/>
    <n v="-1.698567836750027E-2"/>
    <s v="CohortAvg"/>
    <n v="0.20120736529347569"/>
    <s v="CohortAvg"/>
    <n v="7.1848262480383477E-3"/>
    <s v="CohortAvg_NonZero"/>
    <n v="1.07711951939071E-9"/>
    <s v="CohortAvg"/>
    <n v="0"/>
    <s v="Zero"/>
    <n v="0"/>
    <s v="CohortAvg"/>
    <n v="0"/>
    <s v="CohortAvg"/>
    <n v="0"/>
    <n v="-84213.29"/>
    <n v="-62889.85"/>
    <n v="62081.22"/>
    <n v="26601.98"/>
    <n v="0"/>
    <n v="0"/>
    <n v="0"/>
    <n v="3590897.94"/>
    <n v="0.12718099999999999"/>
    <n v="0.94869999999999999"/>
    <n v="0.120654"/>
    <s v="CohortTrend+Seasonal(0.949)"/>
    <n v="433255.32"/>
    <n v="402418.05"/>
    <n v="30837.26"/>
    <x v="1"/>
    <n v="26601.98"/>
    <n v="0.78500000000000003"/>
    <n v="0.24"/>
    <n v="20882.55"/>
    <n v="20882.55"/>
    <n v="6384.47"/>
    <n v="381535.5"/>
    <n v="3675919.86"/>
    <n v="0.103793"/>
    <n v="51719.81"/>
    <n v="51719.82"/>
    <n v="53869"/>
    <n v="105588.82"/>
    <n v="3485309.12"/>
    <s v="Forecast"/>
  </r>
  <r>
    <x v="20"/>
    <x v="2"/>
    <s v="202504"/>
    <n v="26"/>
    <n v="4611830.37"/>
    <n v="-2.4625779290126069E-2"/>
    <s v="CohortAvg"/>
    <n v="-1.690937584447378E-2"/>
    <s v="CohortAvg"/>
    <n v="0.19642242059152301"/>
    <s v="CohortAvg"/>
    <n v="3.260907177009143E-3"/>
    <s v="CohortAvg_NonZero"/>
    <n v="0"/>
    <s v="CohortAvg"/>
    <n v="0"/>
    <s v="Zero"/>
    <n v="0"/>
    <s v="CohortAvg"/>
    <n v="0"/>
    <s v="CohortAvg"/>
    <n v="0"/>
    <n v="-113569.92"/>
    <n v="-77983.17"/>
    <n v="75488.91"/>
    <n v="15038.75"/>
    <n v="0"/>
    <n v="0"/>
    <n v="0"/>
    <n v="4480727.43"/>
    <n v="0.126883"/>
    <n v="0.94869999999999999"/>
    <n v="0.12037100000000001"/>
    <s v="CohortTrend+Seasonal(0.949)"/>
    <n v="539351.81000000006"/>
    <n v="498192.27"/>
    <n v="41159.54"/>
    <x v="1"/>
    <n v="15038.75"/>
    <n v="0.78500000000000003"/>
    <n v="0.24"/>
    <n v="11805.42"/>
    <n v="11805.42"/>
    <n v="3609.3"/>
    <n v="486386.85"/>
    <n v="4596791.62"/>
    <n v="0.10581"/>
    <n v="52964.959999999999"/>
    <n v="52964.959999999999"/>
    <n v="30453.47"/>
    <n v="83418.429999999993"/>
    <n v="4397309"/>
    <s v="Forecast"/>
  </r>
  <r>
    <x v="20"/>
    <x v="2"/>
    <s v="202505"/>
    <n v="25"/>
    <n v="4421270.5"/>
    <n v="-2.7468813117077009E-2"/>
    <s v="CohortAvg"/>
    <n v="-1.6595562040677001E-2"/>
    <s v="CohortAvg"/>
    <n v="0.1941453951072809"/>
    <s v="CohortAvg"/>
    <n v="0"/>
    <s v="CohortAvg_NoData_ERROR"/>
    <n v="0"/>
    <s v="CohortAvg"/>
    <n v="0"/>
    <s v="Zero"/>
    <n v="0"/>
    <s v="CohortAvg"/>
    <n v="0"/>
    <s v="CohortAvg"/>
    <n v="0"/>
    <n v="-121447.05"/>
    <n v="-73373.47"/>
    <n v="71530.78"/>
    <n v="0"/>
    <n v="0"/>
    <n v="0"/>
    <n v="0"/>
    <n v="4297980.75"/>
    <n v="0.123739"/>
    <n v="0.94869999999999999"/>
    <n v="0.11738800000000001"/>
    <s v="CohortTrend+Seasonal(0.949)"/>
    <n v="504532.75"/>
    <n v="464252.92"/>
    <n v="40279.83"/>
    <x v="1"/>
    <n v="0"/>
    <n v="0.78500000000000003"/>
    <n v="0.24"/>
    <n v="0"/>
    <n v="0"/>
    <n v="0"/>
    <n v="464252.92"/>
    <n v="4421270.5"/>
    <n v="0.105004"/>
    <n v="40279.83"/>
    <n v="40279.83"/>
    <n v="0"/>
    <n v="40279.83"/>
    <n v="4257700.93"/>
    <s v="Forecast"/>
  </r>
  <r>
    <x v="20"/>
    <x v="2"/>
    <s v="202506"/>
    <n v="24"/>
    <n v="5026625.42"/>
    <n v="-2.0093579748903651E-2"/>
    <s v="CohortAvg"/>
    <n v="-1.6273480836389159E-2"/>
    <s v="CohortAvg"/>
    <n v="0.1978285486935325"/>
    <s v="CohortAvg"/>
    <n v="0"/>
    <s v="CohortAvg_NoData_ERROR"/>
    <n v="0"/>
    <s v="CohortAvg"/>
    <n v="0"/>
    <s v="Zero"/>
    <n v="0"/>
    <s v="CohortAvg"/>
    <n v="0"/>
    <s v="CohortAvg"/>
    <n v="0"/>
    <n v="-101002.9"/>
    <n v="-81800.69"/>
    <n v="82867.5"/>
    <n v="0"/>
    <n v="0"/>
    <n v="0"/>
    <n v="0"/>
    <n v="4926689.33"/>
    <n v="0.122545"/>
    <n v="0.94869999999999999"/>
    <n v="0.116256"/>
    <s v="CohortTrend+Seasonal(0.949)"/>
    <n v="572758.11"/>
    <n v="520319.73"/>
    <n v="52438.37"/>
    <x v="1"/>
    <n v="0"/>
    <n v="0.78500000000000003"/>
    <n v="0.24"/>
    <n v="0"/>
    <n v="0"/>
    <n v="0"/>
    <n v="520319.73"/>
    <n v="5026625.42"/>
    <n v="0.10351299999999999"/>
    <n v="52438.37"/>
    <n v="52438.37"/>
    <n v="0"/>
    <n v="52438.37"/>
    <n v="4874250.95"/>
    <s v="Forecast"/>
  </r>
  <r>
    <x v="20"/>
    <x v="2"/>
    <s v="202507"/>
    <n v="23"/>
    <n v="6508736.0599999996"/>
    <n v="-1.6318043933639829E-2"/>
    <s v="CohortAvg"/>
    <n v="-1.7150165814152931E-2"/>
    <s v="CohortAvg"/>
    <n v="0.18896521191325591"/>
    <s v="CohortAvg"/>
    <n v="0"/>
    <s v="CohortAvg_NoData_ERROR"/>
    <n v="0"/>
    <s v="CohortAvg"/>
    <n v="0"/>
    <s v="Zero"/>
    <n v="0"/>
    <s v="CohortAvg"/>
    <n v="0"/>
    <s v="CohortAvg"/>
    <n v="0"/>
    <n v="-106209.84"/>
    <n v="-111625.9"/>
    <n v="102493.72"/>
    <n v="0"/>
    <n v="0"/>
    <n v="0"/>
    <n v="0"/>
    <n v="6393394.04"/>
    <n v="0.116217"/>
    <n v="0.94869999999999999"/>
    <n v="0.110253"/>
    <s v="CohortTrend+Seasonal(0.949)"/>
    <n v="704889.93"/>
    <n v="637051.68000000005"/>
    <n v="67838.25"/>
    <x v="1"/>
    <n v="0"/>
    <n v="0.78500000000000003"/>
    <n v="0.24"/>
    <n v="0"/>
    <n v="0"/>
    <n v="0"/>
    <n v="637051.68000000005"/>
    <n v="6508736.0599999996"/>
    <n v="9.7876000000000005E-2"/>
    <n v="67838.25"/>
    <n v="67838.25"/>
    <n v="0"/>
    <n v="67838.25"/>
    <n v="6325555.7800000003"/>
    <s v="Forecast"/>
  </r>
  <r>
    <x v="20"/>
    <x v="2"/>
    <s v="202508"/>
    <n v="22"/>
    <n v="5898181.1100000003"/>
    <n v="-1.9830457118959619E-2"/>
    <s v="CohortAvg"/>
    <n v="-1.213068627715993E-2"/>
    <s v="CohortAvg"/>
    <n v="0.19118423564864551"/>
    <s v="CohortAvg"/>
    <n v="0"/>
    <s v="CohortAvg_NoData_ERROR"/>
    <n v="3.5374348019491098E-5"/>
    <s v="CohortAvg"/>
    <n v="0"/>
    <s v="Zero"/>
    <n v="0"/>
    <s v="CohortAvg"/>
    <n v="0"/>
    <s v="CohortAvg"/>
    <n v="0"/>
    <n v="-116963.63"/>
    <n v="-71548.98"/>
    <n v="93969.94"/>
    <n v="0"/>
    <n v="208.64"/>
    <n v="0"/>
    <n v="0"/>
    <n v="5803429.79"/>
    <n v="0.109889"/>
    <n v="0.94869999999999999"/>
    <n v="0.10425"/>
    <s v="CohortTrend+Seasonal(0.949)"/>
    <n v="605004.77"/>
    <n v="544048.67000000004"/>
    <n v="60956.1"/>
    <x v="1"/>
    <n v="0"/>
    <n v="0.78500000000000003"/>
    <n v="0.24"/>
    <n v="0"/>
    <n v="0"/>
    <n v="0"/>
    <n v="544048.67000000004"/>
    <n v="5898181.1100000003"/>
    <n v="9.2240000000000003E-2"/>
    <n v="60956.1"/>
    <n v="61164.75"/>
    <n v="0"/>
    <n v="61164.75"/>
    <n v="5742265.04"/>
    <s v="Forecast"/>
  </r>
  <r>
    <x v="20"/>
    <x v="2"/>
    <s v="202509"/>
    <n v="21"/>
    <n v="156024.01"/>
    <n v="-0.26504238871273078"/>
    <s v="CohortAvg"/>
    <n v="-3.251944434125558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1352.980000000003"/>
    <n v="-5073.8100000000004"/>
    <n v="6501"/>
    <n v="0"/>
    <n v="0"/>
    <n v="0"/>
    <n v="0"/>
    <n v="116098.22"/>
    <n v="0.103561"/>
    <n v="0.94869999999999999"/>
    <n v="9.8246E-2"/>
    <s v="CohortTrend+Seasonal(0.949)"/>
    <n v="11406.21"/>
    <n v="13512.26"/>
    <n v="-2106.06"/>
    <x v="1"/>
    <n v="0"/>
    <n v="0.78500000000000003"/>
    <n v="0.24"/>
    <n v="0"/>
    <n v="0"/>
    <n v="0"/>
    <n v="13512.26"/>
    <n v="156024.01"/>
    <n v="8.6604E-2"/>
    <n v="-2106.06"/>
    <n v="-2106.06"/>
    <n v="0"/>
    <n v="-2106.06"/>
    <n v="118204.28"/>
    <s v="Forecast"/>
  </r>
  <r>
    <x v="20"/>
    <x v="3"/>
    <s v="201912"/>
    <n v="90"/>
    <n v="43251.75"/>
    <n v="-6.8366055728966736E-3"/>
    <s v="CohortAvg"/>
    <n v="-6.4280372750781989E-4"/>
    <s v="CohortAvg"/>
    <n v="0"/>
    <s v="CohortAvg"/>
    <n v="3.008713593064612E-2"/>
    <s v="CohortAvg_NonZero"/>
    <n v="2.038560177763204E-8"/>
    <s v="CohortAvg"/>
    <n v="0"/>
    <s v="Zero"/>
    <n v="0"/>
    <s v="CohortAvg"/>
    <n v="0"/>
    <s v="CohortAvg"/>
    <n v="0"/>
    <n v="-295.7"/>
    <n v="-27.8"/>
    <n v="0"/>
    <n v="1301.32"/>
    <n v="0"/>
    <n v="0"/>
    <n v="0"/>
    <n v="41626.93"/>
    <n v="0.988151"/>
    <n v="0.95760000000000001"/>
    <n v="0.94621599999999995"/>
    <s v="CohortAvg+Seasonal(0.958)"/>
    <n v="39388.080000000002"/>
    <n v="39761.72"/>
    <n v="-373.64"/>
    <x v="1"/>
    <n v="1301.32"/>
    <n v="0.78500000000000003"/>
    <n v="0.24"/>
    <n v="1021.54"/>
    <n v="1021.54"/>
    <n v="312.32"/>
    <n v="38740.18"/>
    <n v="41950.43"/>
    <n v="0.92347500000000005"/>
    <n v="647.9"/>
    <n v="647.9"/>
    <n v="2635.18"/>
    <n v="3283.08"/>
    <n v="38343.85"/>
    <s v="Forecast"/>
  </r>
  <r>
    <x v="20"/>
    <x v="3"/>
    <s v="202001"/>
    <n v="89"/>
    <n v="0.01"/>
    <n v="-0.5"/>
    <s v="CohortAvg"/>
    <n v="-5.4864397471813209E-7"/>
    <s v="CohortAvg"/>
    <n v="0"/>
    <s v="CohortAvg"/>
    <n v="1.8007713693322599E-2"/>
    <s v="CohortAvg_NonZero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0"/>
    <n v="0.81945000000000001"/>
    <n v="0.95760000000000001"/>
    <n v="0.78467399999999998"/>
    <s v="CohortAvg+Seasonal(0.958)"/>
    <n v="0"/>
    <n v="0"/>
    <n v="0"/>
    <x v="1"/>
    <n v="0"/>
    <n v="0.78500000000000003"/>
    <n v="0.24"/>
    <n v="0"/>
    <n v="0"/>
    <n v="0"/>
    <n v="0"/>
    <n v="0.01"/>
    <n v="0.76192899999999997"/>
    <n v="0"/>
    <n v="0"/>
    <n v="0"/>
    <n v="0"/>
    <n v="0.01"/>
    <s v="Forecast"/>
  </r>
  <r>
    <x v="20"/>
    <x v="3"/>
    <s v="202101"/>
    <n v="77"/>
    <n v="231512.22"/>
    <n v="-0.1051792499370597"/>
    <s v="CohortAvg"/>
    <n v="-8.1112353251912139E-3"/>
    <s v="CohortAvg"/>
    <n v="0.1088978592045791"/>
    <s v="CohortAvg"/>
    <n v="6.185134507253348E-3"/>
    <s v="CohortAvg_NonZero"/>
    <n v="0"/>
    <s v="CohortAvg"/>
    <n v="0"/>
    <s v="Zero"/>
    <n v="-4.8745825339490182E-6"/>
    <s v="CohortAvg"/>
    <n v="-5.1734741382495078E-8"/>
    <s v="CohortAvg"/>
    <n v="0"/>
    <n v="-24350.28"/>
    <n v="-1877.85"/>
    <n v="2100.9299999999998"/>
    <n v="1431.93"/>
    <n v="0"/>
    <n v="-1.1299999999999999"/>
    <n v="-0.01"/>
    <n v="205953.08"/>
    <n v="0.27619300000000002"/>
    <n v="0.95760000000000001"/>
    <n v="0.26447199999999998"/>
    <s v="CohortAvg+Seasonal(0.958)"/>
    <n v="54468.76"/>
    <n v="59487.5"/>
    <n v="-5018.74"/>
    <x v="1"/>
    <n v="1431.93"/>
    <n v="0.78500000000000003"/>
    <n v="0.24"/>
    <n v="1124.07"/>
    <n v="1124.07"/>
    <n v="343.66"/>
    <n v="58363.43"/>
    <n v="230080.28"/>
    <n v="0.25366499999999997"/>
    <n v="-3894.67"/>
    <n v="-3894.67"/>
    <n v="2899.67"/>
    <n v="-995.01"/>
    <n v="206948.09"/>
    <s v="Forecast"/>
  </r>
  <r>
    <x v="20"/>
    <x v="3"/>
    <s v="202201"/>
    <n v="57"/>
    <n v="56995.62"/>
    <n v="-8.8822418365768305E-2"/>
    <s v="CohortAvg"/>
    <n v="-1.037019882015203E-2"/>
    <s v="CohortAvg"/>
    <n v="0.1126133023112077"/>
    <s v="CohortAvg"/>
    <n v="3.3674657987713748E-2"/>
    <s v="CohortAvg_NonZero"/>
    <n v="9.0829902881676917E-4"/>
    <s v="CohortAvg"/>
    <n v="0"/>
    <s v="Zero"/>
    <n v="-5.1006689573255191E-6"/>
    <s v="CohortAvg"/>
    <n v="-4.342227463070668E-8"/>
    <s v="CohortAvg"/>
    <n v="0"/>
    <n v="-5062.49"/>
    <n v="-591.05999999999995"/>
    <n v="534.87"/>
    <n v="1919.31"/>
    <n v="51.77"/>
    <n v="-0.28999999999999998"/>
    <n v="0"/>
    <n v="49905.87"/>
    <n v="0.30420900000000001"/>
    <n v="0.95760000000000001"/>
    <n v="0.29129899999999997"/>
    <s v="CohortAvg+Seasonal(0.958)"/>
    <n v="14537.53"/>
    <n v="16131.59"/>
    <n v="-1594.06"/>
    <x v="1"/>
    <n v="1919.31"/>
    <n v="0.78500000000000003"/>
    <n v="0.24"/>
    <n v="1506.66"/>
    <n v="1506.66"/>
    <n v="460.63"/>
    <n v="14624.93"/>
    <n v="55076.32"/>
    <n v="0.26553900000000003"/>
    <n v="-87.41"/>
    <n v="-35.64"/>
    <n v="3886.6"/>
    <n v="3850.96"/>
    <n v="46054.91"/>
    <s v="Forecast"/>
  </r>
  <r>
    <x v="20"/>
    <x v="3"/>
    <s v="202301"/>
    <n v="48"/>
    <n v="960487.72"/>
    <n v="-6.9807400659051652E-2"/>
    <s v="CohortAvg"/>
    <n v="-1.614056883249446E-2"/>
    <s v="CohortAvg"/>
    <n v="0.19077470951460279"/>
    <s v="CohortAvg"/>
    <n v="2.529365287914926E-2"/>
    <s v="CohortAvg_NonZero"/>
    <n v="1.2198578374216169E-7"/>
    <s v="CohortAvg"/>
    <n v="0"/>
    <s v="Zero"/>
    <n v="-2.3751364441616111E-3"/>
    <s v="CohortAvg"/>
    <n v="-1.390731329372978E-5"/>
    <s v="CohortAvg"/>
    <n v="0"/>
    <n v="-67049.149999999994"/>
    <n v="-15502.82"/>
    <n v="15269.73"/>
    <n v="24294.240000000002"/>
    <n v="0.12"/>
    <n v="-2281.29"/>
    <n v="-13.36"/>
    <n v="868911.12"/>
    <n v="0.28135300000000002"/>
    <n v="0.95760000000000001"/>
    <n v="0.26941300000000001"/>
    <s v="CohortAvg+Seasonal(0.958)"/>
    <n v="234095.84"/>
    <n v="250937.22"/>
    <n v="-16841.38"/>
    <x v="1"/>
    <n v="24294.240000000002"/>
    <n v="0.78500000000000003"/>
    <n v="0.24"/>
    <n v="19070.98"/>
    <n v="19070.98"/>
    <n v="5830.62"/>
    <n v="231866.23999999999"/>
    <n v="936193.48"/>
    <n v="0.247669"/>
    <n v="2229.6"/>
    <n v="2229.7199999999998"/>
    <n v="49195.839999999997"/>
    <n v="51425.56"/>
    <n v="817485.56"/>
    <s v="Forecast"/>
  </r>
  <r>
    <x v="20"/>
    <x v="3"/>
    <s v="202404"/>
    <n v="38"/>
    <n v="267854.64"/>
    <n v="-5.0053598206391471E-2"/>
    <s v="CohortAvg"/>
    <n v="-1.7543726558093539E-2"/>
    <s v="CohortAvg"/>
    <n v="0.191184779922423"/>
    <s v="CohortAvg"/>
    <n v="6.3521416447752874E-2"/>
    <s v="CohortAvg_NonZero"/>
    <n v="8.5325407121188602E-7"/>
    <s v="CohortAvg"/>
    <n v="0"/>
    <s v="Zero"/>
    <n v="-1.056746687575608E-2"/>
    <s v="CohortAvg"/>
    <n v="-1.193190781408943E-4"/>
    <s v="CohortAvg"/>
    <n v="0"/>
    <n v="-13407.09"/>
    <n v="-4699.17"/>
    <n v="4267.4799999999996"/>
    <n v="17014.509999999998"/>
    <n v="0.23"/>
    <n v="-2830.55"/>
    <n v="-31.96"/>
    <n v="237001.13"/>
    <n v="0.23019200000000001"/>
    <n v="0.95760000000000001"/>
    <n v="0.22042300000000001"/>
    <s v="CohortTrend+Seasonal(0.958)"/>
    <n v="52240.6"/>
    <n v="56111"/>
    <n v="-3870.39"/>
    <x v="1"/>
    <n v="17014.509999999998"/>
    <n v="0.78500000000000003"/>
    <n v="0.24"/>
    <n v="13356.39"/>
    <n v="13356.39"/>
    <n v="4083.48"/>
    <n v="42754.61"/>
    <n v="250840.13"/>
    <n v="0.17044599999999999"/>
    <n v="9485.99"/>
    <n v="9486.2199999999993"/>
    <n v="34454.379999999997"/>
    <n v="43940.6"/>
    <n v="193060.53"/>
    <s v="Forecast"/>
  </r>
  <r>
    <x v="20"/>
    <x v="3"/>
    <s v="202405"/>
    <n v="37"/>
    <n v="253205.27"/>
    <n v="-5.2140951412564918E-2"/>
    <s v="CohortAvg"/>
    <n v="-1.7932237899779591E-2"/>
    <s v="CohortAvg"/>
    <n v="0.1997750499628563"/>
    <s v="CohortAvg"/>
    <n v="4.5804765270051208E-2"/>
    <s v="CohortAvg_NonZero"/>
    <n v="4.7693745768700649E-8"/>
    <s v="CohortAvg"/>
    <n v="0"/>
    <s v="Zero"/>
    <n v="-1.203342291648077E-2"/>
    <s v="CohortAvg"/>
    <n v="-1.074266561606652E-4"/>
    <s v="CohortAvg"/>
    <n v="0"/>
    <n v="-13202.36"/>
    <n v="-4540.54"/>
    <n v="4215.34"/>
    <n v="11598.01"/>
    <n v="0.01"/>
    <n v="-3046.93"/>
    <n v="-27.2"/>
    <n v="228079.69"/>
    <n v="0.18279699999999999"/>
    <n v="0.95760000000000001"/>
    <n v="0.175039"/>
    <s v="CohortTrend+Seasonal(0.958)"/>
    <n v="39922.92"/>
    <n v="42234.98"/>
    <n v="-2312.06"/>
    <x v="1"/>
    <n v="11598.01"/>
    <n v="0.78500000000000003"/>
    <n v="0.24"/>
    <n v="9104.44"/>
    <n v="9104.44"/>
    <n v="2783.52"/>
    <n v="33130.550000000003"/>
    <n v="241607.26"/>
    <n v="0.137126"/>
    <n v="6792.37"/>
    <n v="6792.38"/>
    <n v="23485.97"/>
    <n v="30278.35"/>
    <n v="197801.34"/>
    <s v="Forecast"/>
  </r>
  <r>
    <x v="20"/>
    <x v="3"/>
    <s v="202406"/>
    <n v="36"/>
    <n v="340571.29"/>
    <n v="-4.7997892382242557E-2"/>
    <s v="CohortAvg"/>
    <n v="-1.8105644583076969E-2"/>
    <s v="CohortAvg"/>
    <n v="0.20235944905073941"/>
    <s v="CohortAvg"/>
    <n v="3.9547256416215093E-2"/>
    <s v="CohortAvg_NonZero"/>
    <n v="3.4442926907428807E-8"/>
    <s v="CohortAvg"/>
    <n v="0"/>
    <s v="Zero"/>
    <n v="-1.375310695892118E-2"/>
    <s v="CohortAvg"/>
    <n v="-1.041557669799409E-4"/>
    <s v="CohortAvg"/>
    <n v="0"/>
    <n v="-16346.7"/>
    <n v="-6166.26"/>
    <n v="5743.15"/>
    <n v="13468.66"/>
    <n v="0.01"/>
    <n v="-4683.91"/>
    <n v="-35.47"/>
    <n v="310332.79999999999"/>
    <n v="0.14311699999999999"/>
    <n v="0.95760000000000001"/>
    <n v="0.137044"/>
    <s v="CohortTrend+Seasonal(0.958)"/>
    <n v="42529.120000000003"/>
    <n v="44504.97"/>
    <n v="-1975.86"/>
    <x v="1"/>
    <n v="13468.66"/>
    <n v="0.78500000000000003"/>
    <n v="0.24"/>
    <n v="10572.9"/>
    <n v="10572.9"/>
    <n v="3232.48"/>
    <n v="33932.07"/>
    <n v="327102.63"/>
    <n v="0.10373499999999999"/>
    <n v="8597.0400000000009"/>
    <n v="8597.0499999999993"/>
    <n v="27274.04"/>
    <n v="35871.089999999997"/>
    <n v="274461.71000000002"/>
    <s v="Forecast"/>
  </r>
  <r>
    <x v="20"/>
    <x v="3"/>
    <s v="202407"/>
    <n v="35"/>
    <n v="248671.35999999999"/>
    <n v="-6.7754693827863657E-2"/>
    <s v="CohortAvg"/>
    <n v="-1.895173485741556E-2"/>
    <s v="CohortAvg"/>
    <n v="0.20661824403333601"/>
    <s v="CohortAvg"/>
    <n v="2.7107046743969861E-2"/>
    <s v="CohortAvg_NonZero"/>
    <n v="4.4204948588145476E-6"/>
    <s v="CohortAvg"/>
    <n v="0"/>
    <s v="Zero"/>
    <n v="-1.6896246498979309E-2"/>
    <s v="CohortAvg"/>
    <n v="-2.0079976353806021E-4"/>
    <s v="CohortAvg"/>
    <n v="0"/>
    <n v="-16848.650000000001"/>
    <n v="-4712.75"/>
    <n v="4281.67"/>
    <n v="6740.75"/>
    <n v="1.1000000000000001"/>
    <n v="-4201.6099999999997"/>
    <n v="-49.93"/>
    <n v="224649.78"/>
    <n v="0.11496199999999999"/>
    <n v="0.95760000000000001"/>
    <n v="0.110083"/>
    <s v="CohortTrend+Seasonal(0.958)"/>
    <n v="24730.18"/>
    <n v="26160.35"/>
    <n v="-1430.18"/>
    <x v="1"/>
    <n v="6740.75"/>
    <n v="0.78500000000000003"/>
    <n v="0.24"/>
    <n v="5291.49"/>
    <n v="5291.49"/>
    <n v="1617.78"/>
    <n v="20868.87"/>
    <n v="241930.61"/>
    <n v="8.6260000000000003E-2"/>
    <n v="3861.31"/>
    <n v="3862.41"/>
    <n v="13650.01"/>
    <n v="17512.419999999998"/>
    <n v="207137.36"/>
    <s v="Forecast"/>
  </r>
  <r>
    <x v="20"/>
    <x v="3"/>
    <s v="202408"/>
    <n v="34"/>
    <n v="382746.6"/>
    <n v="-4.9819180515533017E-2"/>
    <s v="CohortAvg"/>
    <n v="-1.9275141760070721E-2"/>
    <s v="CohortAvg"/>
    <n v="0.21378900165997269"/>
    <s v="CohortAvg"/>
    <n v="3.2212949231459259E-2"/>
    <s v="CohortAvg_NonZero"/>
    <n v="6.257806658717848E-8"/>
    <s v="CohortAvg"/>
    <n v="0"/>
    <s v="Zero"/>
    <n v="-1.1385329645794241E-2"/>
    <s v="CohortAvg"/>
    <n v="-9.7703825911403473E-5"/>
    <s v="CohortAvg"/>
    <n v="0"/>
    <n v="-19068.12"/>
    <n v="-7377.49"/>
    <n v="6818.92"/>
    <n v="12329.4"/>
    <n v="0.02"/>
    <n v="-4357.7"/>
    <n v="-37.4"/>
    <n v="350790.48"/>
    <n v="9.6800999999999998E-2"/>
    <n v="0.95760000000000001"/>
    <n v="9.2692999999999998E-2"/>
    <s v="CohortTrend+Seasonal(0.958)"/>
    <n v="32515.79"/>
    <n v="34000.29"/>
    <n v="-1484.5"/>
    <x v="1"/>
    <n v="12329.4"/>
    <n v="0.78500000000000003"/>
    <n v="0.24"/>
    <n v="9678.58"/>
    <n v="9678.58"/>
    <n v="2959.06"/>
    <n v="24321.71"/>
    <n v="370417.2"/>
    <n v="6.5659999999999996E-2"/>
    <n v="8194.08"/>
    <n v="8194.1"/>
    <n v="24967.03"/>
    <n v="33161.129999999997"/>
    <n v="317629.34999999998"/>
    <s v="Forecast"/>
  </r>
  <r>
    <x v="20"/>
    <x v="3"/>
    <s v="202409"/>
    <n v="33"/>
    <n v="213635.22"/>
    <n v="-7.3985745607279982E-2"/>
    <s v="CohortAvg"/>
    <n v="-2.0183644680533609E-2"/>
    <s v="CohortAvg"/>
    <n v="0.21042285713208181"/>
    <s v="CohortAvg"/>
    <n v="3.5800781077108657E-2"/>
    <s v="CohortAvg_NonZero"/>
    <n v="4.2838032390245952E-8"/>
    <s v="CohortAvg"/>
    <n v="0"/>
    <s v="Zero"/>
    <n v="-1.405054435420989E-2"/>
    <s v="CohortAvg"/>
    <n v="-1.09349700555701E-4"/>
    <s v="CohortAvg"/>
    <n v="0"/>
    <n v="-15805.96"/>
    <n v="-4311.9399999999996"/>
    <n v="3746.14"/>
    <n v="7648.31"/>
    <n v="0.01"/>
    <n v="-3001.69"/>
    <n v="-23.36"/>
    <n v="189615.15"/>
    <n v="7.8409999999999994E-2"/>
    <n v="0.95760000000000001"/>
    <n v="7.5081999999999996E-2"/>
    <s v="CohortTrend+Seasonal(0.958)"/>
    <n v="14236.74"/>
    <n v="15430.36"/>
    <n v="-1193.6300000000001"/>
    <x v="1"/>
    <n v="7648.31"/>
    <n v="0.78500000000000003"/>
    <n v="0.24"/>
    <n v="6003.92"/>
    <n v="6003.92"/>
    <n v="1835.59"/>
    <n v="9426.44"/>
    <n v="205986.91"/>
    <n v="4.5761999999999997E-2"/>
    <n v="4810.3"/>
    <n v="4810.3"/>
    <n v="15487.82"/>
    <n v="20298.13"/>
    <n v="169317.02"/>
    <s v="Forecast"/>
  </r>
  <r>
    <x v="20"/>
    <x v="3"/>
    <s v="202410"/>
    <n v="32"/>
    <n v="322183.51"/>
    <n v="-4.8315184635379337E-2"/>
    <s v="CohortAvg"/>
    <n v="-2.0002200691015371E-2"/>
    <s v="CohortAvg"/>
    <n v="0.21309266901779789"/>
    <s v="CohortAvg"/>
    <n v="3.778396687607951E-2"/>
    <s v="CohortAvg_NonZero"/>
    <n v="8.5942966099385605E-7"/>
    <s v="CohortAvg"/>
    <n v="0"/>
    <s v="Zero"/>
    <n v="-1.9364267603406409E-2"/>
    <s v="CohortAvg"/>
    <n v="-1.5653392941741251E-4"/>
    <s v="CohortAvg"/>
    <n v="0"/>
    <n v="-15566.36"/>
    <n v="-6444.38"/>
    <n v="5721.25"/>
    <n v="12173.37"/>
    <n v="0.28000000000000003"/>
    <n v="-6238.85"/>
    <n v="-50.43"/>
    <n v="293720.37"/>
    <n v="7.2434999999999999E-2"/>
    <n v="0.95760000000000001"/>
    <n v="6.9361000000000006E-2"/>
    <s v="CohortTrend+Seasonal(0.958)"/>
    <n v="20372.73"/>
    <n v="21511"/>
    <n v="-1138.27"/>
    <x v="1"/>
    <n v="12173.37"/>
    <n v="0.78500000000000003"/>
    <n v="0.24"/>
    <n v="9556.1"/>
    <n v="9556.1"/>
    <n v="2921.61"/>
    <n v="11954.91"/>
    <n v="310010.14"/>
    <n v="3.8563E-2"/>
    <n v="8417.83"/>
    <n v="8418.1"/>
    <n v="24651.08"/>
    <n v="33069.18"/>
    <n v="260651.19"/>
    <s v="Forecast"/>
  </r>
  <r>
    <x v="20"/>
    <x v="3"/>
    <s v="202411"/>
    <n v="31"/>
    <n v="360909.01"/>
    <n v="-5.2228444709648297E-2"/>
    <s v="CohortAvg"/>
    <n v="-2.0127233327633751E-2"/>
    <s v="CohortAvg"/>
    <n v="0.22301127119320269"/>
    <s v="CohortAvg"/>
    <n v="2.877586979943781E-2"/>
    <s v="CohortAvg_NonZero"/>
    <n v="1.3989201368816849E-8"/>
    <s v="CohortAvg"/>
    <n v="0"/>
    <s v="Zero"/>
    <n v="-2.4223774888229761E-2"/>
    <s v="CohortAvg"/>
    <n v="-2.236014004575276E-4"/>
    <s v="CohortAvg"/>
    <n v="0"/>
    <n v="-18849.72"/>
    <n v="-7264.1"/>
    <n v="6707.23"/>
    <n v="10385.469999999999"/>
    <n v="0.01"/>
    <n v="-8742.58"/>
    <n v="-80.7"/>
    <n v="331116.95"/>
    <n v="6.7904999999999993E-2"/>
    <n v="0.95760000000000001"/>
    <n v="6.5023999999999998E-2"/>
    <s v="CohortTrend+Seasonal(0.958)"/>
    <n v="21530.43"/>
    <n v="22542.22"/>
    <n v="-1011.79"/>
    <x v="1"/>
    <n v="10385.469999999999"/>
    <n v="0.78500000000000003"/>
    <n v="0.24"/>
    <n v="8152.59"/>
    <n v="8152.59"/>
    <n v="2492.5100000000002"/>
    <n v="14389.63"/>
    <n v="350523.54"/>
    <n v="4.1051999999999998E-2"/>
    <n v="7140.8"/>
    <n v="7140.81"/>
    <n v="21030.58"/>
    <n v="28171.39"/>
    <n v="302945.57"/>
    <s v="Forecast"/>
  </r>
  <r>
    <x v="20"/>
    <x v="3"/>
    <s v="202412"/>
    <n v="30"/>
    <n v="383602.84"/>
    <n v="-5.0386632864934333E-2"/>
    <s v="CohortAvg"/>
    <n v="-2.061567333388354E-2"/>
    <s v="CohortAvg"/>
    <n v="0.22198252312662289"/>
    <s v="CohortAvg"/>
    <n v="3.3032801426001873E-2"/>
    <s v="CohortAvg_NonZero"/>
    <n v="8.3773878100672958E-7"/>
    <s v="CohortAvg"/>
    <n v="0"/>
    <s v="Zero"/>
    <n v="-4.4491875462542567E-2"/>
    <s v="CohortAvg"/>
    <n v="-4.6146914220698842E-4"/>
    <s v="CohortAvg"/>
    <n v="0"/>
    <n v="-19328.46"/>
    <n v="-7908.23"/>
    <n v="7096.09"/>
    <n v="12671.48"/>
    <n v="0.32"/>
    <n v="-17067.21"/>
    <n v="-177.02"/>
    <n v="350790.45"/>
    <n v="7.1223999999999996E-2"/>
    <n v="0.95760000000000001"/>
    <n v="6.8200999999999998E-2"/>
    <s v="CohortTrend+Seasonal(0.958)"/>
    <n v="23924.3"/>
    <n v="24989.55"/>
    <n v="-1065.25"/>
    <x v="1"/>
    <n v="12671.48"/>
    <n v="0.78500000000000003"/>
    <n v="0.24"/>
    <n v="9947.11"/>
    <n v="9947.11"/>
    <n v="3041.15"/>
    <n v="15042.44"/>
    <n v="370931.36"/>
    <n v="4.0552999999999999E-2"/>
    <n v="8881.86"/>
    <n v="8882.18"/>
    <n v="25659.74"/>
    <n v="34541.919999999998"/>
    <n v="316248.53000000003"/>
    <s v="Forecast"/>
  </r>
  <r>
    <x v="20"/>
    <x v="3"/>
    <s v="202501"/>
    <n v="29"/>
    <n v="667433.1"/>
    <n v="-5.2598805136089777E-2"/>
    <s v="CohortAvg"/>
    <n v="-2.0835151277209321E-2"/>
    <s v="CohortAvg"/>
    <n v="0.22495072405783181"/>
    <s v="CohortAvg"/>
    <n v="1.416902579542521E-2"/>
    <s v="CohortAvg_NonZero"/>
    <n v="1.518986419299416E-5"/>
    <s v="CohortAvg"/>
    <n v="0"/>
    <s v="Zero"/>
    <n v="-4.3286069105522268E-2"/>
    <s v="CohortAvg"/>
    <n v="-4.6029124931450512E-4"/>
    <s v="CohortAvg"/>
    <n v="0"/>
    <n v="-35106.18"/>
    <n v="-13906.07"/>
    <n v="12511.63"/>
    <n v="9456.8799999999992"/>
    <n v="10.14"/>
    <n v="-28890.560000000001"/>
    <n v="-307.20999999999998"/>
    <n v="621465.46"/>
    <n v="7.5787999999999994E-2"/>
    <n v="0.95760000000000001"/>
    <n v="7.2570999999999997E-2"/>
    <s v="CohortTrend+Seasonal(0.958)"/>
    <n v="45100.61"/>
    <n v="45962.53"/>
    <n v="-861.91"/>
    <x v="1"/>
    <n v="9456.8799999999992"/>
    <n v="0.78500000000000003"/>
    <n v="0.24"/>
    <n v="7423.65"/>
    <n v="7423.65"/>
    <n v="2269.65"/>
    <n v="38538.879999999997"/>
    <n v="657976.22"/>
    <n v="5.8571999999999999E-2"/>
    <n v="6561.74"/>
    <n v="6571.87"/>
    <n v="19150.18"/>
    <n v="25722.05"/>
    <n v="595743.41"/>
    <s v="Forecast"/>
  </r>
  <r>
    <x v="20"/>
    <x v="3"/>
    <s v="202502"/>
    <n v="28"/>
    <n v="711495.26"/>
    <n v="-5.3380482605871311E-2"/>
    <s v="CohortAvg"/>
    <n v="-1.9138621807169069E-2"/>
    <s v="CohortAvg"/>
    <n v="0.2266738997054227"/>
    <s v="CohortAvg"/>
    <n v="1.9531660892569101E-2"/>
    <s v="CohortAvg_NonZero"/>
    <n v="3.9036331610202391E-4"/>
    <s v="CohortAvg"/>
    <n v="0"/>
    <s v="Zero"/>
    <n v="-9.2249959962217035E-2"/>
    <s v="CohortAvg"/>
    <n v="-1.1995433409683651E-3"/>
    <s v="CohortAvg"/>
    <n v="0"/>
    <n v="-37979.96"/>
    <n v="-13617.04"/>
    <n v="13439.78"/>
    <n v="13896.68"/>
    <n v="277.74"/>
    <n v="-65635.41"/>
    <n v="-853.47"/>
    <n v="659163.61"/>
    <n v="7.4581999999999996E-2"/>
    <n v="0.95760000000000001"/>
    <n v="7.1416999999999994E-2"/>
    <s v="CohortTrend+Seasonal(0.958)"/>
    <n v="47075.6"/>
    <n v="48088.76"/>
    <n v="-1013.16"/>
    <x v="1"/>
    <n v="13896.68"/>
    <n v="0.78500000000000003"/>
    <n v="0.24"/>
    <n v="10908.9"/>
    <n v="10908.9"/>
    <n v="3335.2"/>
    <n v="37179.86"/>
    <n v="697598.57"/>
    <n v="5.3296999999999997E-2"/>
    <n v="9895.74"/>
    <n v="10173.48"/>
    <n v="28140.79"/>
    <n v="38314.26"/>
    <n v="620849.35"/>
    <s v="Forecast"/>
  </r>
  <r>
    <x v="20"/>
    <x v="3"/>
    <s v="202503"/>
    <n v="27"/>
    <n v="985809.35"/>
    <n v="-4.5516969278231227E-2"/>
    <s v="CohortAvg"/>
    <n v="-2.1959446521445051E-2"/>
    <s v="CohortAvg"/>
    <n v="0.25478778741709318"/>
    <s v="CohortAvg"/>
    <n v="4.6176837495393924E-3"/>
    <s v="CohortAvg_NonZero"/>
    <n v="4.7998219093048458E-9"/>
    <s v="CohortAvg"/>
    <n v="0"/>
    <s v="Zero"/>
    <n v="0"/>
    <s v="CohortAvg"/>
    <n v="0"/>
    <s v="CohortAvg"/>
    <n v="0"/>
    <n v="-44871.05"/>
    <n v="-21647.83"/>
    <n v="20931.02"/>
    <n v="4552.16"/>
    <n v="0"/>
    <n v="0"/>
    <n v="0"/>
    <n v="935669.32"/>
    <n v="8.4886000000000003E-2"/>
    <n v="0.95760000000000001"/>
    <n v="8.1283999999999995E-2"/>
    <s v="CohortTrend+Seasonal(0.958)"/>
    <n v="76054.509999999995"/>
    <n v="75088.740000000005"/>
    <n v="965.77"/>
    <x v="1"/>
    <n v="4552.16"/>
    <n v="0.78500000000000003"/>
    <n v="0.24"/>
    <n v="3573.44"/>
    <n v="3573.44"/>
    <n v="1092.52"/>
    <n v="71515.289999999994"/>
    <n v="981257.2"/>
    <n v="7.2881000000000001E-2"/>
    <n v="4539.22"/>
    <n v="4539.22"/>
    <n v="9218.1200000000008"/>
    <n v="13757.34"/>
    <n v="921911.99"/>
    <s v="Forecast"/>
  </r>
  <r>
    <x v="20"/>
    <x v="3"/>
    <s v="202504"/>
    <n v="26"/>
    <n v="736558.32"/>
    <n v="-5.5776512975084402E-2"/>
    <s v="CohortAvg"/>
    <n v="-2.2022365562118291E-2"/>
    <s v="CohortAvg"/>
    <n v="0.25068868381367898"/>
    <s v="CohortAvg"/>
    <n v="2.1791689037598898E-3"/>
    <s v="CohortAvg_NonZero"/>
    <n v="3.7860363245315969E-9"/>
    <s v="CohortAvg"/>
    <n v="0"/>
    <s v="Zero"/>
    <n v="0"/>
    <s v="CohortAvg"/>
    <n v="0"/>
    <s v="CohortAvg"/>
    <n v="0"/>
    <n v="-41082.65"/>
    <n v="-16220.76"/>
    <n v="15387.24"/>
    <n v="1605.08"/>
    <n v="0"/>
    <n v="0"/>
    <n v="0"/>
    <n v="693037.06"/>
    <n v="8.4461999999999995E-2"/>
    <n v="0.95760000000000001"/>
    <n v="8.0878000000000005E-2"/>
    <s v="CohortTrend+Seasonal(0.958)"/>
    <n v="56051.47"/>
    <n v="55634.35"/>
    <n v="417.12"/>
    <x v="1"/>
    <n v="1605.08"/>
    <n v="0.78500000000000003"/>
    <n v="0.24"/>
    <n v="1259.99"/>
    <n v="1259.99"/>
    <n v="385.22"/>
    <n v="54374.36"/>
    <n v="734953.23"/>
    <n v="7.3982999999999993E-2"/>
    <n v="1677.11"/>
    <n v="1677.11"/>
    <n v="3250.3"/>
    <n v="4927.41"/>
    <n v="688109.65"/>
    <s v="Forecast"/>
  </r>
  <r>
    <x v="20"/>
    <x v="3"/>
    <s v="202505"/>
    <n v="25"/>
    <n v="977821.54"/>
    <n v="-4.9431788148649063E-2"/>
    <s v="CohortAvg"/>
    <n v="-2.1532272386811602E-2"/>
    <s v="CohortAvg"/>
    <n v="0.24367370975303621"/>
    <s v="CohortAvg"/>
    <n v="0"/>
    <s v="CohortAvg_NoData_ERROR"/>
    <n v="0"/>
    <s v="CohortAvg"/>
    <n v="0"/>
    <s v="Zero"/>
    <n v="0"/>
    <s v="CohortAvg"/>
    <n v="0"/>
    <s v="CohortAvg"/>
    <n v="0"/>
    <n v="-48335.47"/>
    <n v="-21054.720000000001"/>
    <n v="19855.78"/>
    <n v="0"/>
    <n v="0"/>
    <n v="0"/>
    <n v="0"/>
    <n v="928287.14"/>
    <n v="9.0132000000000004E-2"/>
    <n v="0.95760000000000001"/>
    <n v="8.6306999999999995E-2"/>
    <s v="CohortTrend+Seasonal(0.958)"/>
    <n v="80117.350000000006"/>
    <n v="78228.67"/>
    <n v="1888.68"/>
    <x v="1"/>
    <n v="0"/>
    <n v="0.78500000000000003"/>
    <n v="0.24"/>
    <n v="0"/>
    <n v="0"/>
    <n v="0"/>
    <n v="78228.67"/>
    <n v="977821.54"/>
    <n v="8.0003000000000005E-2"/>
    <n v="1888.68"/>
    <n v="1888.68"/>
    <n v="0"/>
    <n v="1888.68"/>
    <n v="926398.46"/>
    <s v="Forecast"/>
  </r>
  <r>
    <x v="20"/>
    <x v="3"/>
    <s v="202506"/>
    <n v="24"/>
    <n v="1053901.78"/>
    <n v="-5.3711588068221107E-2"/>
    <s v="CohortAvg"/>
    <n v="-2.2629189312624989E-2"/>
    <s v="CohortAvg"/>
    <n v="0.25614975508002558"/>
    <s v="CohortAvg"/>
    <n v="0"/>
    <s v="CohortAvg_NoData_ERROR"/>
    <n v="0"/>
    <s v="CohortAvg"/>
    <n v="0"/>
    <s v="Zero"/>
    <n v="0"/>
    <s v="CohortAvg"/>
    <n v="0"/>
    <s v="CohortAvg"/>
    <n v="0"/>
    <n v="-56606.74"/>
    <n v="-23848.94"/>
    <n v="22496.39"/>
    <n v="0"/>
    <n v="0"/>
    <n v="0"/>
    <n v="0"/>
    <n v="995942.49"/>
    <n v="8.9480000000000004E-2"/>
    <n v="0.95760000000000001"/>
    <n v="8.5682999999999995E-2"/>
    <s v="CohortTrend+Seasonal(0.958)"/>
    <n v="85334.92"/>
    <n v="83322.720000000001"/>
    <n v="2012.21"/>
    <x v="1"/>
    <n v="0"/>
    <n v="0.78500000000000003"/>
    <n v="0.24"/>
    <n v="0"/>
    <n v="0"/>
    <n v="0"/>
    <n v="83322.720000000001"/>
    <n v="1053901.78"/>
    <n v="7.9061000000000006E-2"/>
    <n v="2012.21"/>
    <n v="2012.21"/>
    <n v="0"/>
    <n v="2012.21"/>
    <n v="993930.29"/>
    <s v="Forecast"/>
  </r>
  <r>
    <x v="20"/>
    <x v="3"/>
    <s v="202507"/>
    <n v="23"/>
    <n v="1565976.36"/>
    <n v="-3.9705978933191631E-2"/>
    <s v="CohortAvg"/>
    <n v="-2.38438200630193E-2"/>
    <s v="CohortAvg"/>
    <n v="0.25799583038658852"/>
    <s v="CohortAvg"/>
    <n v="0"/>
    <s v="CohortAvg_NoData_ERROR"/>
    <n v="0"/>
    <s v="CohortAvg"/>
    <n v="0"/>
    <s v="Zero"/>
    <n v="0"/>
    <s v="CohortAvg"/>
    <n v="0"/>
    <s v="CohortAvg"/>
    <n v="0"/>
    <n v="-62178.62"/>
    <n v="-37338.86"/>
    <n v="33667.949999999997"/>
    <n v="0"/>
    <n v="0"/>
    <n v="0"/>
    <n v="0"/>
    <n v="1500126.82"/>
    <n v="8.4981000000000001E-2"/>
    <n v="0.95760000000000001"/>
    <n v="8.1375000000000003E-2"/>
    <s v="CohortTrend+Seasonal(0.958)"/>
    <n v="122072.78"/>
    <n v="117254.13"/>
    <n v="4818.6499999999996"/>
    <x v="1"/>
    <n v="0"/>
    <n v="0.78500000000000003"/>
    <n v="0.24"/>
    <n v="0"/>
    <n v="0"/>
    <n v="0"/>
    <n v="117254.13"/>
    <n v="1565976.36"/>
    <n v="7.4875999999999998E-2"/>
    <n v="4818.6499999999996"/>
    <n v="4818.6499999999996"/>
    <n v="0"/>
    <n v="4818.6499999999996"/>
    <n v="1495308.17"/>
    <s v="Forecast"/>
  </r>
  <r>
    <x v="20"/>
    <x v="3"/>
    <s v="202508"/>
    <n v="22"/>
    <n v="1834044.59"/>
    <n v="-3.9820609525429061E-2"/>
    <s v="CohortAvg"/>
    <n v="-1.8261871170985759E-2"/>
    <s v="CohortAvg"/>
    <n v="0.2490377378427821"/>
    <s v="CohortAvg"/>
    <n v="0"/>
    <s v="CohortAvg_NoData_ERROR"/>
    <n v="0"/>
    <s v="CohortAvg"/>
    <n v="0"/>
    <s v="Zero"/>
    <n v="0"/>
    <s v="CohortAvg"/>
    <n v="0"/>
    <s v="CohortAvg"/>
    <n v="0"/>
    <n v="-73032.77"/>
    <n v="-33493.089999999997"/>
    <n v="38062.19"/>
    <n v="0"/>
    <n v="0"/>
    <n v="0"/>
    <n v="0"/>
    <n v="1765580.92"/>
    <n v="8.0482999999999999E-2"/>
    <n v="0.95760000000000001"/>
    <n v="7.7066999999999997E-2"/>
    <s v="CohortTrend+Seasonal(0.958)"/>
    <n v="136068.67000000001"/>
    <n v="129650.31"/>
    <n v="6418.36"/>
    <x v="1"/>
    <n v="0"/>
    <n v="0.78500000000000003"/>
    <n v="0.24"/>
    <n v="0"/>
    <n v="0"/>
    <n v="0"/>
    <n v="129650.31"/>
    <n v="1834044.59"/>
    <n v="7.0691000000000004E-2"/>
    <n v="6418.36"/>
    <n v="6418.36"/>
    <n v="0"/>
    <n v="6418.36"/>
    <n v="1759162.56"/>
    <s v="Forecast"/>
  </r>
  <r>
    <x v="20"/>
    <x v="3"/>
    <s v="202509"/>
    <n v="21"/>
    <n v="63977.74"/>
    <n v="-0.25592724633779512"/>
    <s v="CohortAvg"/>
    <n v="-3.744213858415061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6373.65"/>
    <n v="-2395.46"/>
    <n v="2665.74"/>
    <n v="0"/>
    <n v="0"/>
    <n v="0"/>
    <n v="0"/>
    <n v="47874.37"/>
    <n v="7.5983999999999996E-2"/>
    <n v="0.95760000000000001"/>
    <n v="7.2760000000000005E-2"/>
    <s v="CohortTrend+Seasonal(0.958)"/>
    <n v="3483.33"/>
    <n v="4254.8900000000003"/>
    <n v="-771.56"/>
    <x v="1"/>
    <n v="0"/>
    <n v="0.78500000000000003"/>
    <n v="0.24"/>
    <n v="0"/>
    <n v="0"/>
    <n v="0"/>
    <n v="4254.8900000000003"/>
    <n v="63977.74"/>
    <n v="6.6505999999999996E-2"/>
    <n v="-771.56"/>
    <n v="-771.56"/>
    <n v="0"/>
    <n v="-771.56"/>
    <n v="48645.93"/>
    <s v="Forecast"/>
  </r>
  <r>
    <x v="20"/>
    <x v="4"/>
    <s v="202101"/>
    <n v="75"/>
    <n v="140909.35999999999"/>
    <n v="-0.13747498344160961"/>
    <s v="CohortAvg"/>
    <n v="-1.153323132962049E-2"/>
    <s v="CohortAvg"/>
    <n v="0.13192996506867211"/>
    <s v="CohortAvg"/>
    <n v="4.6061968851786338E-2"/>
    <s v="CohortAvg_NonZero"/>
    <n v="0"/>
    <s v="CohortAvg"/>
    <n v="0"/>
    <s v="Zero"/>
    <n v="0"/>
    <s v="CohortAvg"/>
    <n v="0"/>
    <s v="CohortAvg"/>
    <n v="0"/>
    <n v="-19371.509999999998"/>
    <n v="-1625.14"/>
    <n v="1549.18"/>
    <n v="6490.56"/>
    <n v="0"/>
    <n v="0"/>
    <n v="0"/>
    <n v="114971.33"/>
    <n v="0.17011499999999999"/>
    <n v="1.0209999999999999"/>
    <n v="0.173683"/>
    <s v="CohortAvg+Seasonal(1.021)"/>
    <n v="19968.55"/>
    <n v="21962.36"/>
    <n v="-1993.81"/>
    <x v="1"/>
    <n v="6490.56"/>
    <n v="0.78500000000000003"/>
    <n v="0.24"/>
    <n v="5095.09"/>
    <n v="5095.09"/>
    <n v="1557.74"/>
    <n v="16867.27"/>
    <n v="134418.79999999999"/>
    <n v="0.12548300000000001"/>
    <n v="3101.28"/>
    <n v="3101.28"/>
    <n v="13143.39"/>
    <n v="16244.67"/>
    <n v="98726.66"/>
    <s v="Forecast"/>
  </r>
  <r>
    <x v="20"/>
    <x v="4"/>
    <s v="202201"/>
    <n v="57"/>
    <n v="12109.26"/>
    <n v="-9.8934085679767456E-2"/>
    <s v="CohortAvg"/>
    <n v="-9.5727024563869115E-3"/>
    <s v="CohortAvg"/>
    <n v="9.9589695280438026E-2"/>
    <s v="CohortAvg"/>
    <n v="3.6316509891875758E-2"/>
    <s v="CohortAvg_NonZero"/>
    <n v="1.2013605631193951E-10"/>
    <s v="CohortAvg"/>
    <n v="0"/>
    <s v="Zero"/>
    <n v="0"/>
    <s v="CohortAvg"/>
    <n v="0"/>
    <s v="CohortAvg"/>
    <n v="0"/>
    <n v="-1198.02"/>
    <n v="-115.92"/>
    <n v="100.5"/>
    <n v="439.77"/>
    <n v="0"/>
    <n v="0"/>
    <n v="0"/>
    <n v="10456.049999999999"/>
    <n v="3.9066999999999998E-2"/>
    <n v="1.0209999999999999"/>
    <n v="3.9885999999999998E-2"/>
    <s v="CohortAvg+Seasonal(1.021)"/>
    <n v="417.05"/>
    <n v="433.56"/>
    <n v="-16.510000000000002"/>
    <x v="1"/>
    <n v="439.77"/>
    <n v="0.78500000000000003"/>
    <n v="0.24"/>
    <n v="345.22"/>
    <n v="345.22"/>
    <n v="105.54"/>
    <n v="88.34"/>
    <n v="11669.49"/>
    <n v="7.5700000000000003E-3"/>
    <n v="328.71"/>
    <n v="328.71"/>
    <n v="890.53"/>
    <n v="1219.24"/>
    <n v="9236.82"/>
    <s v="Forecast"/>
  </r>
  <r>
    <x v="20"/>
    <x v="4"/>
    <s v="202405"/>
    <n v="37"/>
    <n v="3429.01"/>
    <n v="-1.6752458982063859E-2"/>
    <s v="CohortAvg"/>
    <n v="-1.046062257733062E-2"/>
    <s v="CohortAvg"/>
    <n v="0.1215718496463714"/>
    <s v="CohortAvg"/>
    <n v="0"/>
    <s v="CohortAvg_NoData_ERROR"/>
    <n v="0"/>
    <s v="CohortAvg"/>
    <n v="0"/>
    <s v="Zero"/>
    <n v="0"/>
    <s v="CohortAvg"/>
    <n v="0"/>
    <s v="CohortAvg"/>
    <n v="0"/>
    <n v="-57.44"/>
    <n v="-35.869999999999997"/>
    <n v="34.74"/>
    <n v="0"/>
    <n v="0"/>
    <n v="0"/>
    <n v="0"/>
    <n v="3370.43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3429.01"/>
    <n v="0"/>
    <n v="0"/>
    <n v="0"/>
    <n v="0"/>
    <n v="0"/>
    <n v="3370.43"/>
    <s v="Forecast"/>
  </r>
  <r>
    <x v="20"/>
    <x v="4"/>
    <s v="202407"/>
    <n v="35"/>
    <n v="1033.92"/>
    <n v="-5.3627214557140673E-2"/>
    <s v="CohortAvg"/>
    <n v="-1.049734050048313E-2"/>
    <s v="CohortAvg"/>
    <n v="0.12045763858244379"/>
    <s v="CohortAvg"/>
    <n v="0"/>
    <s v="CohortAvg_NoData_ERROR"/>
    <n v="0"/>
    <s v="CohortAvg"/>
    <n v="0"/>
    <s v="Zero"/>
    <n v="0"/>
    <s v="CohortAvg"/>
    <n v="0"/>
    <s v="CohortAvg"/>
    <n v="0"/>
    <n v="-55.45"/>
    <n v="-10.85"/>
    <n v="10.38"/>
    <n v="0"/>
    <n v="0"/>
    <n v="0"/>
    <n v="0"/>
    <n v="977.99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1033.92"/>
    <n v="0"/>
    <n v="0"/>
    <n v="0"/>
    <n v="0"/>
    <n v="0"/>
    <n v="977.99"/>
    <s v="Forecast"/>
  </r>
  <r>
    <x v="20"/>
    <x v="4"/>
    <s v="202409"/>
    <n v="33"/>
    <n v="4201.32"/>
    <n v="-4.3484233666445833E-2"/>
    <s v="CohortAvg"/>
    <n v="-1.046699179060522E-2"/>
    <s v="CohortAvg"/>
    <n v="0.1208175660650229"/>
    <s v="CohortAvg"/>
    <n v="0"/>
    <s v="CohortAvg_NoData_ERROR"/>
    <n v="0"/>
    <s v="CohortAvg"/>
    <n v="0"/>
    <s v="Zero"/>
    <n v="0"/>
    <s v="CohortAvg"/>
    <n v="0"/>
    <s v="CohortAvg"/>
    <n v="0"/>
    <n v="-182.69"/>
    <n v="-43.98"/>
    <n v="42.3"/>
    <n v="0"/>
    <n v="0"/>
    <n v="0"/>
    <n v="0"/>
    <n v="4016.95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4201.32"/>
    <n v="0"/>
    <n v="0"/>
    <n v="0"/>
    <n v="0"/>
    <n v="0"/>
    <n v="4016.95"/>
    <s v="Forecast"/>
  </r>
  <r>
    <x v="20"/>
    <x v="4"/>
    <s v="202504"/>
    <n v="26"/>
    <n v="3589.89"/>
    <n v="-1.2983093960348909E-2"/>
    <s v="CohortAvg"/>
    <n v="-1.04302701503856E-2"/>
    <s v="CohortAvg"/>
    <n v="0.1256076417656794"/>
    <s v="CohortAvg"/>
    <n v="0"/>
    <s v="CohortAvg_NoData_ERROR"/>
    <n v="0"/>
    <s v="CohortAvg"/>
    <n v="0"/>
    <s v="Zero"/>
    <n v="0"/>
    <s v="CohortAvg"/>
    <n v="0"/>
    <s v="CohortAvg"/>
    <n v="0"/>
    <n v="-46.61"/>
    <n v="-37.44"/>
    <n v="37.58"/>
    <n v="0"/>
    <n v="0"/>
    <n v="0"/>
    <n v="0"/>
    <n v="3543.42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3589.89"/>
    <n v="0"/>
    <n v="0"/>
    <n v="0"/>
    <n v="0"/>
    <n v="0"/>
    <n v="3543.42"/>
    <s v="Forecast"/>
  </r>
  <r>
    <x v="20"/>
    <x v="4"/>
    <s v="202507"/>
    <n v="23"/>
    <n v="8134.91"/>
    <n v="-1.1669713186429511E-2"/>
    <s v="CohortAvg"/>
    <n v="-1.1535405742731019E-2"/>
    <s v="CohortAvg"/>
    <n v="0.1372622074598599"/>
    <s v="CohortAvg"/>
    <n v="0"/>
    <s v="CohortAvg_NoData_ERROR"/>
    <n v="0"/>
    <s v="CohortAvg"/>
    <n v="0"/>
    <s v="Zero"/>
    <n v="0"/>
    <s v="CohortAvg"/>
    <n v="0"/>
    <s v="CohortAvg"/>
    <n v="0"/>
    <n v="-94.93"/>
    <n v="-93.84"/>
    <n v="93.05"/>
    <n v="0"/>
    <n v="0"/>
    <n v="0"/>
    <n v="0"/>
    <n v="8039.19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8134.91"/>
    <n v="0"/>
    <n v="0"/>
    <n v="0"/>
    <n v="0"/>
    <n v="0"/>
    <n v="8039.19"/>
    <s v="Forecast"/>
  </r>
  <r>
    <x v="20"/>
    <x v="4"/>
    <s v="202508"/>
    <n v="22"/>
    <n v="29985.49"/>
    <n v="-7.6061802157697421E-3"/>
    <s v="CohortAvg"/>
    <n v="-3.9147943649706527E-3"/>
    <s v="CohortAvg"/>
    <n v="0.13647737982998151"/>
    <s v="CohortAvg"/>
    <n v="0"/>
    <s v="CohortAvg_NoData_ERROR"/>
    <n v="0"/>
    <s v="CohortAvg"/>
    <n v="0"/>
    <s v="Zero"/>
    <n v="0"/>
    <s v="CohortAvg"/>
    <n v="0"/>
    <s v="CohortAvg"/>
    <n v="0"/>
    <n v="-228.08"/>
    <n v="-117.39"/>
    <n v="341.03"/>
    <n v="0"/>
    <n v="0"/>
    <n v="0"/>
    <n v="0"/>
    <n v="29981.06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29985.49"/>
    <n v="0"/>
    <n v="0"/>
    <n v="0"/>
    <n v="0"/>
    <n v="0"/>
    <n v="29981.06"/>
    <s v="Forecast"/>
  </r>
  <r>
    <x v="20"/>
    <x v="4"/>
    <s v="202509"/>
    <n v="21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0209999999999999"/>
    <n v="0"/>
    <s v="Manual+Seasonal(1.021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1"/>
    <x v="0"/>
    <s v="201912"/>
    <n v="91"/>
    <n v="289129.40999999997"/>
    <n v="-5.1188702822221822E-4"/>
    <s v="CohortAvg"/>
    <n v="1.4776463733750861E-3"/>
    <s v="CohortAvg"/>
    <n v="0"/>
    <s v="CohortAvg"/>
    <n v="2.8923469480148341E-2"/>
    <s v="CohortAvg_NonZero"/>
    <n v="1.8145994029107219E-6"/>
    <s v="CohortAvg"/>
    <n v="0"/>
    <s v="Zero"/>
    <n v="0"/>
    <s v="CohortAvg"/>
    <n v="0"/>
    <s v="CohortAvg"/>
    <n v="0"/>
    <n v="-148"/>
    <n v="427.23"/>
    <n v="0"/>
    <n v="0"/>
    <n v="0.52"/>
    <n v="0"/>
    <n v="0"/>
    <n v="288553.65999999997"/>
    <n v="0.99670099999999995"/>
    <n v="0.89859999999999995"/>
    <n v="0.89558800000000005"/>
    <s v="CohortAvg+Seasonal(0.899)"/>
    <n v="258425.27"/>
    <n v="266011.2"/>
    <n v="-7585.94"/>
    <x v="0"/>
    <n v="0"/>
    <n v="0.78500000000000003"/>
    <n v="0.24"/>
    <n v="0"/>
    <n v="0"/>
    <n v="0"/>
    <n v="266011.2"/>
    <n v="289129.40999999997"/>
    <n v="0.92004200000000003"/>
    <n v="-7585.94"/>
    <n v="-7585.41"/>
    <n v="0"/>
    <n v="-7585.41"/>
    <n v="296139.07"/>
    <s v="Forecast"/>
  </r>
  <r>
    <x v="21"/>
    <x v="0"/>
    <s v="202001"/>
    <n v="90"/>
    <n v="39231.269999999997"/>
    <n v="3.8574863495598237E-2"/>
    <s v="CohortAvg"/>
    <n v="1.6552592171670359E-3"/>
    <s v="CohortAvg"/>
    <n v="0"/>
    <s v="CohortAvg"/>
    <n v="1.307964870169495E-2"/>
    <s v="CohortAvg_NonZero"/>
    <n v="0"/>
    <s v="CohortAvg"/>
    <n v="0"/>
    <s v="Zero"/>
    <n v="0"/>
    <s v="CohortAvg"/>
    <n v="0"/>
    <s v="CohortAvg"/>
    <n v="0"/>
    <n v="1513.34"/>
    <n v="64.94"/>
    <n v="0"/>
    <n v="0"/>
    <n v="0"/>
    <n v="0"/>
    <n v="0"/>
    <n v="37653"/>
    <n v="0.99839299999999997"/>
    <n v="0.89859999999999995"/>
    <n v="0.89710900000000005"/>
    <s v="CohortAvg+Seasonal(0.899)"/>
    <n v="33778.83"/>
    <n v="36155.86"/>
    <n v="-2377.0300000000002"/>
    <x v="0"/>
    <n v="0"/>
    <n v="0.78500000000000003"/>
    <n v="0.24"/>
    <n v="0"/>
    <n v="0"/>
    <n v="0"/>
    <n v="36155.86"/>
    <n v="39231.269999999997"/>
    <n v="0.92160799999999998"/>
    <n v="-2377.0300000000002"/>
    <n v="-2377.0300000000002"/>
    <n v="0"/>
    <n v="-2377.0300000000002"/>
    <n v="40030.03"/>
    <s v="Forecast"/>
  </r>
  <r>
    <x v="21"/>
    <x v="0"/>
    <s v="202101"/>
    <n v="78"/>
    <n v="645902.76"/>
    <n v="-5.2697281029192118E-3"/>
    <s v="CohortAvg"/>
    <n v="-2.058208220426818E-3"/>
    <s v="CohortAvg"/>
    <n v="0"/>
    <s v="CohortAvg"/>
    <n v="1.5415976641785799E-2"/>
    <s v="CohortAvg_NonZero"/>
    <n v="1.4989014144869209E-6"/>
    <s v="CohortAvg"/>
    <n v="0"/>
    <s v="Zero"/>
    <n v="0"/>
    <s v="CohortAvg"/>
    <n v="0"/>
    <s v="CohortAvg"/>
    <n v="0"/>
    <n v="-3403.73"/>
    <n v="-1329.4"/>
    <n v="0"/>
    <n v="0"/>
    <n v="0.97"/>
    <n v="0"/>
    <n v="0"/>
    <n v="641168.66"/>
    <n v="0.94488899999999998"/>
    <n v="0.89859999999999995"/>
    <n v="0.84903300000000004"/>
    <s v="CohortAvg+Seasonal(0.899)"/>
    <n v="544373.09"/>
    <n v="563389.91"/>
    <n v="-19016.830000000002"/>
    <x v="0"/>
    <n v="0"/>
    <n v="0.78500000000000003"/>
    <n v="0.24"/>
    <n v="0"/>
    <n v="0"/>
    <n v="0"/>
    <n v="563389.91"/>
    <n v="645902.76"/>
    <n v="0.87225200000000003"/>
    <n v="-19016.830000000002"/>
    <n v="-19015.86"/>
    <n v="0"/>
    <n v="-19015.86"/>
    <n v="660184.52"/>
    <s v="Forecast"/>
  </r>
  <r>
    <x v="21"/>
    <x v="0"/>
    <s v="202201"/>
    <n v="58"/>
    <n v="59953.11"/>
    <n v="-0.1152109923907166"/>
    <s v="CohortAvg"/>
    <n v="-5.9113440964581711E-3"/>
    <s v="CohortAvg"/>
    <n v="2.4975487850871531E-2"/>
    <s v="CohortAvg"/>
    <n v="4.2725198508250052E-2"/>
    <s v="CohortAvg_NonZero"/>
    <n v="4.5493776655616226E-3"/>
    <s v="CohortAvg"/>
    <n v="0"/>
    <s v="Zero"/>
    <n v="-2.2654695060703032E-6"/>
    <s v="CohortAvg"/>
    <n v="-4.9910263208626468E-8"/>
    <s v="CohortAvg"/>
    <n v="0"/>
    <n v="-6907.26"/>
    <n v="-354.4"/>
    <n v="124.78"/>
    <n v="0"/>
    <n v="272.75"/>
    <n v="-0.14000000000000001"/>
    <n v="0"/>
    <n v="52543.48"/>
    <n v="0.58488399999999996"/>
    <n v="0.89859999999999995"/>
    <n v="0.52554900000000004"/>
    <s v="CohortAvg+Seasonal(0.899)"/>
    <n v="27614.18"/>
    <n v="32369.14"/>
    <n v="-4754.96"/>
    <x v="0"/>
    <n v="0"/>
    <n v="0.78500000000000003"/>
    <n v="0.24"/>
    <n v="0"/>
    <n v="0"/>
    <n v="0"/>
    <n v="32369.14"/>
    <n v="59953.11"/>
    <n v="0.53990800000000005"/>
    <n v="-4754.96"/>
    <n v="-4482.21"/>
    <n v="0"/>
    <n v="-4482.21"/>
    <n v="57025.68"/>
    <s v="Forecast"/>
  </r>
  <r>
    <x v="21"/>
    <x v="0"/>
    <s v="202301"/>
    <n v="49"/>
    <n v="949710.88"/>
    <n v="-6.935799639352451E-2"/>
    <s v="CohortAvg"/>
    <n v="-1.683528720632764E-2"/>
    <s v="CohortAvg"/>
    <n v="0.20595764768554919"/>
    <s v="CohortAvg"/>
    <n v="6.6417431686289094E-2"/>
    <s v="CohortAvg_NonZero"/>
    <n v="1.105432358686363E-4"/>
    <s v="CohortAvg"/>
    <n v="0"/>
    <s v="Zero"/>
    <n v="-5.1696584993672703E-3"/>
    <s v="CohortAvg"/>
    <n v="-7.0864011626004661E-5"/>
    <s v="CohortAvg"/>
    <n v="0"/>
    <n v="-65870.039999999994"/>
    <n v="-15988.66"/>
    <n v="16300.02"/>
    <n v="0"/>
    <n v="104.98"/>
    <n v="-4909.68"/>
    <n v="-67.3"/>
    <n v="884047.22"/>
    <n v="0.60792900000000005"/>
    <n v="0.89859999999999995"/>
    <n v="0.54625599999999996"/>
    <s v="CohortAvg+Seasonal(0.899)"/>
    <n v="482916.25"/>
    <n v="532667.80000000005"/>
    <n v="-49751.55"/>
    <x v="0"/>
    <n v="0"/>
    <n v="0.78500000000000003"/>
    <n v="0.24"/>
    <n v="0"/>
    <n v="0"/>
    <n v="0"/>
    <n v="532667.80000000005"/>
    <n v="949710.88"/>
    <n v="0.56087399999999998"/>
    <n v="-49751.55"/>
    <n v="-49646.559999999998"/>
    <n v="0"/>
    <n v="-49646.559999999998"/>
    <n v="933693.78"/>
    <s v="Forecast"/>
  </r>
  <r>
    <x v="21"/>
    <x v="0"/>
    <s v="202404"/>
    <n v="39"/>
    <n v="121187.46"/>
    <n v="-7.2376973188661181E-2"/>
    <s v="CohortAvg"/>
    <n v="-2.407290424555622E-2"/>
    <s v="CohortAvg"/>
    <n v="0.25293044713146873"/>
    <s v="CohortAvg"/>
    <n v="0.1096830462621944"/>
    <s v="CohortAvg_NonZero"/>
    <n v="9.469014792604689E-5"/>
    <s v="CohortAvg"/>
    <n v="0"/>
    <s v="Zero"/>
    <n v="-7.6168613891157014E-3"/>
    <s v="CohortAvg"/>
    <n v="-1.6174061330241391E-4"/>
    <s v="CohortAvg"/>
    <n v="0"/>
    <n v="-8771.18"/>
    <n v="-2917.33"/>
    <n v="2554.33"/>
    <n v="0"/>
    <n v="11.48"/>
    <n v="-923.07"/>
    <n v="-19.600000000000001"/>
    <n v="112041.8"/>
    <n v="0.50053099999999995"/>
    <n v="0.89859999999999995"/>
    <n v="0.44975300000000001"/>
    <s v="CohortTrend+Seasonal(0.899)"/>
    <n v="50391.17"/>
    <n v="54878.41"/>
    <n v="-4487.24"/>
    <x v="0"/>
    <n v="0"/>
    <n v="0.78500000000000003"/>
    <n v="0.24"/>
    <n v="0"/>
    <n v="0"/>
    <n v="0"/>
    <n v="54878.41"/>
    <n v="121187.46"/>
    <n v="0.45283899999999999"/>
    <n v="-4487.24"/>
    <n v="-4475.7700000000004"/>
    <n v="0"/>
    <n v="-4475.7700000000004"/>
    <n v="116517.57"/>
    <s v="Forecast"/>
  </r>
  <r>
    <x v="21"/>
    <x v="0"/>
    <s v="202405"/>
    <n v="38"/>
    <n v="196561.95"/>
    <n v="-6.0923906382983208E-2"/>
    <s v="CohortAvg"/>
    <n v="-2.430478412199152E-2"/>
    <s v="CohortAvg"/>
    <n v="0.26157008943952509"/>
    <s v="CohortAvg"/>
    <n v="0.10593025266766121"/>
    <s v="CohortAvg_NonZero"/>
    <n v="1.5031584309283829E-4"/>
    <s v="CohortAvg"/>
    <n v="0"/>
    <s v="Zero"/>
    <n v="-1.145110331537889E-2"/>
    <s v="CohortAvg"/>
    <n v="-2.0158030610458721E-4"/>
    <s v="CohortAvg"/>
    <n v="0"/>
    <n v="-11975.32"/>
    <n v="-4777.3999999999996"/>
    <n v="4284.5600000000004"/>
    <n v="0"/>
    <n v="29.55"/>
    <n v="-2250.85"/>
    <n v="-39.619999999999997"/>
    <n v="184064.25"/>
    <n v="0.42835400000000001"/>
    <n v="0.89859999999999995"/>
    <n v="0.38489899999999999"/>
    <s v="CohortTrend+Seasonal(0.899)"/>
    <n v="70846.12"/>
    <n v="76374.48"/>
    <n v="-5528.35"/>
    <x v="0"/>
    <n v="0"/>
    <n v="0.78500000000000003"/>
    <n v="0.24"/>
    <n v="0"/>
    <n v="0"/>
    <n v="0"/>
    <n v="76374.48"/>
    <n v="196561.95"/>
    <n v="0.38855200000000001"/>
    <n v="-5528.35"/>
    <n v="-5498.81"/>
    <n v="0"/>
    <n v="-5498.81"/>
    <n v="189563.06"/>
    <s v="Forecast"/>
  </r>
  <r>
    <x v="21"/>
    <x v="0"/>
    <s v="202406"/>
    <n v="37"/>
    <n v="399230.2"/>
    <n v="-5.5987055481779208E-2"/>
    <s v="CohortAvg"/>
    <n v="-2.5464913613254338E-2"/>
    <s v="CohortAvg"/>
    <n v="0.28031727188279681"/>
    <s v="CohortAvg"/>
    <n v="6.6246954392944216E-2"/>
    <s v="CohortAvg_NonZero"/>
    <n v="1.4260316031604111E-5"/>
    <s v="CohortAvg"/>
    <n v="0"/>
    <s v="Zero"/>
    <n v="-9.5208880749430101E-3"/>
    <s v="CohortAvg"/>
    <n v="-2.0718044774776649E-4"/>
    <s v="CohortAvg"/>
    <n v="0"/>
    <n v="-22351.72"/>
    <n v="-10166.36"/>
    <n v="9325.93"/>
    <n v="0"/>
    <n v="5.69"/>
    <n v="-3801.03"/>
    <n v="-82.71"/>
    <n v="376032.35"/>
    <n v="0.38725100000000001"/>
    <n v="0.89859999999999995"/>
    <n v="0.347966"/>
    <s v="CohortTrend+Seasonal(0.899)"/>
    <n v="130846.29"/>
    <n v="140008.49"/>
    <n v="-9162.2000000000007"/>
    <x v="0"/>
    <n v="0"/>
    <n v="0.78500000000000003"/>
    <n v="0.24"/>
    <n v="0"/>
    <n v="0"/>
    <n v="0"/>
    <n v="140008.49"/>
    <n v="399230.2"/>
    <n v="0.35069600000000001"/>
    <n v="-9162.2000000000007"/>
    <n v="-9156.51"/>
    <n v="0"/>
    <n v="-9156.51"/>
    <n v="385188.86"/>
    <s v="Forecast"/>
  </r>
  <r>
    <x v="21"/>
    <x v="0"/>
    <s v="202407"/>
    <n v="36"/>
    <n v="418243.94"/>
    <n v="-5.2824692408592229E-2"/>
    <s v="CohortAvg"/>
    <n v="-2.6783535584509029E-2"/>
    <s v="CohortAvg"/>
    <n v="0.28890587882405588"/>
    <s v="CohortAvg"/>
    <n v="7.3959775410488857E-2"/>
    <s v="CohortAvg_NonZero"/>
    <n v="1.8404034951460639E-5"/>
    <s v="CohortAvg"/>
    <n v="0"/>
    <s v="Zero"/>
    <n v="-1.210422548880929E-2"/>
    <s v="CohortAvg"/>
    <n v="-6.4087946165778049E-5"/>
    <s v="CohortAvg"/>
    <n v="0"/>
    <n v="-22093.61"/>
    <n v="-11202.05"/>
    <n v="10069.43"/>
    <n v="0"/>
    <n v="7.7"/>
    <n v="-5062.5200000000004"/>
    <n v="-26.8"/>
    <n v="395010.01"/>
    <n v="0.32139099999999998"/>
    <n v="0.89859999999999995"/>
    <n v="0.28878700000000002"/>
    <s v="CohortTrend+Seasonal(0.899)"/>
    <n v="114073.8"/>
    <n v="122090.59"/>
    <n v="-8016.79"/>
    <x v="0"/>
    <n v="0"/>
    <n v="0.78500000000000003"/>
    <n v="0.24"/>
    <n v="0"/>
    <n v="0"/>
    <n v="0"/>
    <n v="122090.59"/>
    <n v="418243.94"/>
    <n v="0.291912"/>
    <n v="-8016.79"/>
    <n v="-8009.09"/>
    <n v="0"/>
    <n v="-8009.09"/>
    <n v="403019.11"/>
    <s v="Forecast"/>
  </r>
  <r>
    <x v="21"/>
    <x v="0"/>
    <s v="202408"/>
    <n v="35"/>
    <n v="288083.99"/>
    <n v="-6.484876740733074E-2"/>
    <s v="CohortAvg"/>
    <n v="-2.6135591730258891E-2"/>
    <s v="CohortAvg"/>
    <n v="0.27905287305602727"/>
    <s v="CohortAvg"/>
    <n v="9.7469872045238881E-2"/>
    <s v="CohortAvg_NonZero"/>
    <n v="1.222947174151439E-4"/>
    <s v="CohortAvg"/>
    <n v="0"/>
    <s v="Zero"/>
    <n v="-1.3531250227057239E-2"/>
    <s v="CohortAvg"/>
    <n v="-3.0997107695811119E-4"/>
    <s v="CohortAvg"/>
    <n v="0"/>
    <n v="-18681.89"/>
    <n v="-7529.25"/>
    <n v="6699.22"/>
    <n v="0"/>
    <n v="35.229999999999997"/>
    <n v="-3898.14"/>
    <n v="-89.3"/>
    <n v="268536.84000000003"/>
    <n v="0.29491200000000001"/>
    <n v="0.89859999999999995"/>
    <n v="0.26499400000000001"/>
    <s v="CohortTrend+Seasonal(0.899)"/>
    <n v="71160.710000000006"/>
    <n v="77238.820000000007"/>
    <n v="-6078.11"/>
    <x v="0"/>
    <n v="0"/>
    <n v="0.78500000000000003"/>
    <n v="0.24"/>
    <n v="0"/>
    <n v="0"/>
    <n v="0"/>
    <n v="77238.820000000007"/>
    <n v="288083.99"/>
    <n v="0.26811200000000002"/>
    <n v="-6078.11"/>
    <n v="-6042.88"/>
    <n v="0"/>
    <n v="-6042.88"/>
    <n v="274579.71999999997"/>
    <s v="Forecast"/>
  </r>
  <r>
    <x v="21"/>
    <x v="0"/>
    <s v="202409"/>
    <n v="34"/>
    <n v="233789.39"/>
    <n v="-7.0466883346292128E-2"/>
    <s v="CohortAvg"/>
    <n v="-2.937442428581408E-2"/>
    <s v="CohortAvg"/>
    <n v="0.29636437881644973"/>
    <s v="CohortAvg"/>
    <n v="0.1016304357162441"/>
    <s v="CohortAvg_NonZero"/>
    <n v="3.318808709575538E-4"/>
    <s v="CohortAvg"/>
    <n v="0"/>
    <s v="Zero"/>
    <n v="-1.5552902913267601E-2"/>
    <s v="CohortAvg"/>
    <n v="9.8722769758085422E-4"/>
    <s v="CohortAvg"/>
    <n v="0"/>
    <n v="-16474.41"/>
    <n v="-6867.43"/>
    <n v="5773.9"/>
    <n v="0"/>
    <n v="77.59"/>
    <n v="-3636.1"/>
    <n v="230.8"/>
    <n v="216143.87"/>
    <n v="0.27652700000000002"/>
    <n v="0.89859999999999995"/>
    <n v="0.248474"/>
    <s v="CohortTrend+Seasonal(0.899)"/>
    <n v="53706.05"/>
    <n v="58750.02"/>
    <n v="-5043.97"/>
    <x v="0"/>
    <n v="0"/>
    <n v="0.78500000000000003"/>
    <n v="0.24"/>
    <n v="0"/>
    <n v="0"/>
    <n v="0"/>
    <n v="58750.02"/>
    <n v="233789.39"/>
    <n v="0.25129499999999999"/>
    <n v="-5043.97"/>
    <n v="-4966.38"/>
    <n v="0"/>
    <n v="-4966.38"/>
    <n v="221110.25"/>
    <s v="Forecast"/>
  </r>
  <r>
    <x v="21"/>
    <x v="0"/>
    <s v="202410"/>
    <n v="33"/>
    <n v="377740.08"/>
    <n v="-6.499347748411137E-2"/>
    <s v="CohortAvg"/>
    <n v="-2.9862419854512139E-2"/>
    <s v="CohortAvg"/>
    <n v="0.29583692645609933"/>
    <s v="CohortAvg"/>
    <n v="9.1312778660823754E-2"/>
    <s v="CohortAvg_NonZero"/>
    <n v="8.4056099370711308E-5"/>
    <s v="CohortAvg"/>
    <n v="0"/>
    <s v="Zero"/>
    <n v="-1.916971444653906E-2"/>
    <s v="CohortAvg"/>
    <n v="-2.805490590895321E-4"/>
    <s v="CohortAvg"/>
    <n v="0"/>
    <n v="-24550.639999999999"/>
    <n v="-11280.23"/>
    <n v="9312.4599999999991"/>
    <n v="0"/>
    <n v="31.75"/>
    <n v="-7241.17"/>
    <n v="-105.97"/>
    <n v="351189.91"/>
    <n v="0.25972800000000001"/>
    <n v="0.89859999999999995"/>
    <n v="0.233379"/>
    <s v="CohortTrend+Seasonal(0.899)"/>
    <n v="81960.47"/>
    <n v="89242.14"/>
    <n v="-7281.67"/>
    <x v="0"/>
    <n v="0"/>
    <n v="0.78500000000000003"/>
    <n v="0.24"/>
    <n v="0"/>
    <n v="0"/>
    <n v="0"/>
    <n v="89242.14"/>
    <n v="377740.08"/>
    <n v="0.23625299999999999"/>
    <n v="-7281.67"/>
    <n v="-7249.92"/>
    <n v="0"/>
    <n v="-7249.92"/>
    <n v="358439.83"/>
    <s v="Forecast"/>
  </r>
  <r>
    <x v="21"/>
    <x v="0"/>
    <s v="202411"/>
    <n v="32"/>
    <n v="401879.71"/>
    <n v="-6.9606751723889818E-2"/>
    <s v="CohortAvg"/>
    <n v="-3.0860764064881141E-2"/>
    <s v="CohortAvg"/>
    <n v="0.31651289605998367"/>
    <s v="CohortAvg"/>
    <n v="8.1167798177817566E-2"/>
    <s v="CohortAvg_NonZero"/>
    <n v="1.055646256550645E-5"/>
    <s v="CohortAvg"/>
    <n v="0"/>
    <s v="Zero"/>
    <n v="-1.8302426586351679E-2"/>
    <s v="CohortAvg"/>
    <n v="-3.6623424459667218E-4"/>
    <s v="CohortAvg"/>
    <n v="0"/>
    <n v="-27973.54"/>
    <n v="-12402.31"/>
    <n v="10600.01"/>
    <n v="0"/>
    <n v="4.24"/>
    <n v="-7355.37"/>
    <n v="-147.18"/>
    <n v="372099.62"/>
    <n v="0.25620700000000002"/>
    <n v="0.89859999999999995"/>
    <n v="0.230216"/>
    <s v="CohortTrend+Seasonal(0.899)"/>
    <n v="85663.21"/>
    <n v="93501.33"/>
    <n v="-7838.12"/>
    <x v="0"/>
    <n v="0"/>
    <n v="0.78500000000000003"/>
    <n v="0.24"/>
    <n v="0"/>
    <n v="0"/>
    <n v="0"/>
    <n v="93501.33"/>
    <n v="401879.71"/>
    <n v="0.23266000000000001"/>
    <n v="-7838.12"/>
    <n v="-7833.87"/>
    <n v="0"/>
    <n v="-7833.87"/>
    <n v="379933.49"/>
    <s v="Forecast"/>
  </r>
  <r>
    <x v="21"/>
    <x v="0"/>
    <s v="202412"/>
    <n v="31"/>
    <n v="482681.69"/>
    <n v="-6.5997193490663006E-2"/>
    <s v="CohortAvg"/>
    <n v="-3.2056038478046632E-2"/>
    <s v="CohortAvg"/>
    <n v="0.32608002550211412"/>
    <s v="CohortAvg"/>
    <n v="7.7713203729396954E-2"/>
    <s v="CohortAvg_NonZero"/>
    <n v="3.5177192408843617E-5"/>
    <s v="CohortAvg"/>
    <n v="0"/>
    <s v="Zero"/>
    <n v="-3.3057655387380029E-2"/>
    <s v="CohortAvg"/>
    <n v="-4.3982327885740141E-4"/>
    <s v="CohortAvg"/>
    <n v="0"/>
    <n v="-31855.64"/>
    <n v="-15472.86"/>
    <n v="13116.07"/>
    <n v="0"/>
    <n v="16.98"/>
    <n v="-15956.33"/>
    <n v="-212.29"/>
    <n v="448452.29"/>
    <n v="0.27100299999999999"/>
    <n v="0.89859999999999995"/>
    <n v="0.24351100000000001"/>
    <s v="CohortTrend+Seasonal(0.899)"/>
    <n v="109202.89"/>
    <n v="118208.53"/>
    <n v="-9005.64"/>
    <x v="0"/>
    <n v="0"/>
    <n v="0.78500000000000003"/>
    <n v="0.24"/>
    <n v="0"/>
    <n v="0"/>
    <n v="0"/>
    <n v="118208.53"/>
    <n v="482681.69"/>
    <n v="0.24490000000000001"/>
    <n v="-9005.64"/>
    <n v="-8988.66"/>
    <n v="0"/>
    <n v="-8988.66"/>
    <n v="457440.95"/>
    <s v="Forecast"/>
  </r>
  <r>
    <x v="21"/>
    <x v="0"/>
    <s v="202501"/>
    <n v="30"/>
    <n v="634919.47"/>
    <n v="-6.3581000392772438E-2"/>
    <s v="CohortAvg"/>
    <n v="-3.1447222047943729E-2"/>
    <s v="CohortAvg"/>
    <n v="0.33538753976637181"/>
    <s v="CohortAvg"/>
    <n v="6.8126686712200776E-2"/>
    <s v="CohortAvg_NonZero"/>
    <n v="8.2869411656953638E-5"/>
    <s v="CohortAvg"/>
    <n v="0"/>
    <s v="Zero"/>
    <n v="-4.6050711424739883E-2"/>
    <s v="CohortAvg"/>
    <n v="-9.0679750450808232E-4"/>
    <s v="CohortAvg"/>
    <n v="0"/>
    <n v="-40368.81"/>
    <n v="-19966.45"/>
    <n v="17745.34"/>
    <n v="0"/>
    <n v="52.62"/>
    <n v="-29238.49"/>
    <n v="-575.74"/>
    <n v="592276.92000000004"/>
    <n v="0.27819100000000002"/>
    <n v="0.89859999999999995"/>
    <n v="0.249969"/>
    <s v="CohortTrend+Seasonal(0.899)"/>
    <n v="148050.87"/>
    <n v="159074.34"/>
    <n v="-11023.48"/>
    <x v="0"/>
    <n v="0"/>
    <n v="0.78500000000000003"/>
    <n v="0.24"/>
    <n v="0"/>
    <n v="0"/>
    <n v="0"/>
    <n v="159074.34"/>
    <n v="634919.47"/>
    <n v="0.25054300000000002"/>
    <n v="-11023.48"/>
    <n v="-10970.86"/>
    <n v="0"/>
    <n v="-10970.86"/>
    <n v="603247.79"/>
    <s v="Forecast"/>
  </r>
  <r>
    <x v="21"/>
    <x v="0"/>
    <s v="202502"/>
    <n v="29"/>
    <n v="1074371.78"/>
    <n v="-6.4744511276652303E-2"/>
    <s v="CohortAvg"/>
    <n v="-3.1799302189088101E-2"/>
    <s v="CohortAvg"/>
    <n v="0.35193879860965183"/>
    <s v="CohortAvg"/>
    <n v="4.0078416366068979E-2"/>
    <s v="CohortAvg_NonZero"/>
    <n v="1.183965844368709E-4"/>
    <s v="CohortAvg"/>
    <n v="0"/>
    <s v="Zero"/>
    <n v="-0.1006892196421096"/>
    <s v="CohortAvg"/>
    <n v="-2.17712843606656E-3"/>
    <s v="CohortAvg"/>
    <n v="0"/>
    <n v="-69559.679999999993"/>
    <n v="-34164.269999999997"/>
    <n v="31509.43"/>
    <n v="0"/>
    <n v="127.2"/>
    <n v="-108177.66"/>
    <n v="-2339.0500000000002"/>
    <n v="1002030.05"/>
    <n v="0.27049000000000001"/>
    <n v="0.89859999999999995"/>
    <n v="0.24304999999999999"/>
    <s v="CohortTrend+Seasonal(0.899)"/>
    <n v="243542.99"/>
    <n v="261512.89"/>
    <n v="-17969.900000000001"/>
    <x v="0"/>
    <n v="0"/>
    <n v="0.78500000000000003"/>
    <n v="0.24"/>
    <n v="0"/>
    <n v="0"/>
    <n v="0"/>
    <n v="261512.89"/>
    <n v="1074371.78"/>
    <n v="0.24340999999999999"/>
    <n v="-17969.900000000001"/>
    <n v="-17842.7"/>
    <n v="0"/>
    <n v="-17842.7"/>
    <n v="1019872.75"/>
    <s v="Forecast"/>
  </r>
  <r>
    <x v="21"/>
    <x v="0"/>
    <s v="202503"/>
    <n v="28"/>
    <n v="1968443.76"/>
    <n v="-5.4848765712227632E-2"/>
    <s v="CohortAvg"/>
    <n v="-3.4952874836092759E-2"/>
    <s v="CohortAvg"/>
    <n v="0.42514510674646971"/>
    <s v="CohortAvg"/>
    <n v="2.337347755521255E-2"/>
    <s v="CohortAvg_NonZero"/>
    <n v="7.0737147131308641E-6"/>
    <s v="CohortAvg"/>
    <n v="0"/>
    <s v="Zero"/>
    <n v="0"/>
    <s v="CohortAvg"/>
    <n v="0"/>
    <s v="CohortAvg"/>
    <n v="0"/>
    <n v="-107966.71"/>
    <n v="-68802.77"/>
    <n v="69739.520000000004"/>
    <n v="0"/>
    <n v="13.92"/>
    <n v="0"/>
    <n v="0"/>
    <n v="1861399.87"/>
    <n v="0.27009699999999998"/>
    <n v="0.89859999999999995"/>
    <n v="0.242697"/>
    <s v="CohortTrend+Seasonal(0.899)"/>
    <n v="451755.72"/>
    <n v="477362.19"/>
    <n v="-25606.47"/>
    <x v="0"/>
    <n v="0"/>
    <n v="0.78500000000000003"/>
    <n v="0.24"/>
    <n v="0"/>
    <n v="0"/>
    <n v="0"/>
    <n v="477362.19"/>
    <n v="1968443.76"/>
    <n v="0.242507"/>
    <n v="-25606.47"/>
    <n v="-25592.55"/>
    <n v="0"/>
    <n v="-25592.55"/>
    <n v="1886992.42"/>
    <s v="Forecast"/>
  </r>
  <r>
    <x v="21"/>
    <x v="0"/>
    <s v="202504"/>
    <n v="27"/>
    <n v="2678166.02"/>
    <n v="-5.3664723289712918E-2"/>
    <s v="CohortAvg"/>
    <n v="-3.7425127319408433E-2"/>
    <s v="CohortAvg"/>
    <n v="0.43757394747695633"/>
    <s v="CohortAvg"/>
    <n v="1.013329171740706E-2"/>
    <s v="CohortAvg_NonZero"/>
    <n v="1.632899143828833E-6"/>
    <s v="CohortAvg"/>
    <n v="0"/>
    <s v="Zero"/>
    <n v="0"/>
    <s v="CohortAvg"/>
    <n v="0"/>
    <s v="CohortAvg"/>
    <n v="0"/>
    <n v="-143723.04"/>
    <n v="-100230.7"/>
    <n v="97657.97"/>
    <n v="0"/>
    <n v="4.37"/>
    <n v="0"/>
    <n v="0"/>
    <n v="2531865.87"/>
    <n v="0.27215499999999998"/>
    <n v="0.89859999999999995"/>
    <n v="0.24454600000000001"/>
    <s v="CohortTrend+Seasonal(0.899)"/>
    <n v="619157.01"/>
    <n v="652544.04"/>
    <n v="-33387.040000000001"/>
    <x v="0"/>
    <n v="0"/>
    <n v="0.78500000000000003"/>
    <n v="0.24"/>
    <n v="0"/>
    <n v="0"/>
    <n v="0"/>
    <n v="652544.04"/>
    <n v="2678166.02"/>
    <n v="0.24365300000000001"/>
    <n v="-33387.040000000001"/>
    <n v="-33382.67"/>
    <n v="0"/>
    <n v="-33382.67"/>
    <n v="2565248.54"/>
    <s v="Forecast"/>
  </r>
  <r>
    <x v="21"/>
    <x v="0"/>
    <s v="202505"/>
    <n v="26"/>
    <n v="4107336.3"/>
    <n v="-4.6731226121465297E-2"/>
    <s v="CohortAvg"/>
    <n v="-3.6738458492158003E-2"/>
    <s v="CohortAvg"/>
    <n v="0.44292734377836918"/>
    <s v="CohortAvg"/>
    <n v="0"/>
    <s v="CohortAvg_NoData_ERROR"/>
    <n v="9.2850825666987047E-7"/>
    <s v="CohortAvg"/>
    <n v="0"/>
    <s v="Zero"/>
    <n v="0"/>
    <s v="CohortAvg"/>
    <n v="0"/>
    <s v="CohortAvg"/>
    <n v="0"/>
    <n v="-191940.86"/>
    <n v="-150897.20000000001"/>
    <n v="151604.29999999999"/>
    <n v="0"/>
    <n v="3.81"/>
    <n v="0"/>
    <n v="0"/>
    <n v="3916098.72"/>
    <n v="0.27427200000000002"/>
    <n v="0.89859999999999995"/>
    <n v="0.246448"/>
    <s v="CohortTrend+Seasonal(0.899)"/>
    <n v="965114.75"/>
    <n v="1005297.48"/>
    <n v="-40182.720000000001"/>
    <x v="0"/>
    <n v="0"/>
    <n v="0.78500000000000003"/>
    <n v="0.24"/>
    <n v="0"/>
    <n v="0"/>
    <n v="0"/>
    <n v="1005297.48"/>
    <n v="4107336.3"/>
    <n v="0.244757"/>
    <n v="-40182.720000000001"/>
    <n v="-40178.910000000003"/>
    <n v="0"/>
    <n v="-40178.910000000003"/>
    <n v="3956277.63"/>
    <s v="Forecast"/>
  </r>
  <r>
    <x v="21"/>
    <x v="0"/>
    <s v="202506"/>
    <n v="25"/>
    <n v="4760683.08"/>
    <n v="-4.5236993943750921E-2"/>
    <s v="CohortAvg"/>
    <n v="-3.8244654874480498E-2"/>
    <s v="CohortAvg"/>
    <n v="0.45978936695221567"/>
    <s v="CohortAvg"/>
    <n v="0"/>
    <s v="CohortAvg_NoData_ERROR"/>
    <n v="0"/>
    <s v="CohortAvg"/>
    <n v="0"/>
    <s v="Zero"/>
    <n v="0"/>
    <s v="CohortAvg"/>
    <n v="0"/>
    <s v="CohortAvg"/>
    <n v="0"/>
    <n v="-215358.99"/>
    <n v="-182070.68"/>
    <n v="182409.29"/>
    <n v="0"/>
    <n v="0"/>
    <n v="0"/>
    <n v="0"/>
    <n v="4545662.6900000004"/>
    <n v="0.27804699999999999"/>
    <n v="0.89859999999999995"/>
    <n v="0.24984000000000001"/>
    <s v="CohortTrend+Seasonal(0.899)"/>
    <n v="1135688.55"/>
    <n v="1176483.6399999999"/>
    <n v="-40795.089999999997"/>
    <x v="0"/>
    <n v="0"/>
    <n v="0.78500000000000003"/>
    <n v="0.24"/>
    <n v="0"/>
    <n v="0"/>
    <n v="0"/>
    <n v="1176483.6399999999"/>
    <n v="4760683.08"/>
    <n v="0.24712500000000001"/>
    <n v="-40795.089999999997"/>
    <n v="-40795.089999999997"/>
    <n v="0"/>
    <n v="-40795.089999999997"/>
    <n v="4586457.78"/>
    <s v="Forecast"/>
  </r>
  <r>
    <x v="21"/>
    <x v="0"/>
    <s v="202507"/>
    <n v="24"/>
    <n v="6017264.0700000003"/>
    <n v="-4.3513176161836448E-2"/>
    <s v="CohortAvg"/>
    <n v="-4.1003006040370868E-2"/>
    <s v="CohortAvg"/>
    <n v="0.45923069992095511"/>
    <s v="CohortAvg"/>
    <n v="0"/>
    <s v="CohortAvg_NoData_ERROR"/>
    <n v="1.331391610694832E-5"/>
    <s v="CohortAvg"/>
    <n v="0"/>
    <s v="Zero"/>
    <n v="0"/>
    <s v="CohortAvg"/>
    <n v="0"/>
    <s v="CohortAvg"/>
    <n v="0"/>
    <n v="-261830.27"/>
    <n v="-246725.91"/>
    <n v="230276.03"/>
    <n v="0"/>
    <n v="80.11"/>
    <n v="0"/>
    <n v="0"/>
    <n v="5738903.7999999998"/>
    <n v="0.26771400000000001"/>
    <n v="0.89859999999999995"/>
    <n v="0.24055499999999999"/>
    <s v="CohortTrend+Seasonal(0.899)"/>
    <n v="1380523.95"/>
    <n v="1429621.89"/>
    <n v="-49097.94"/>
    <x v="0"/>
    <n v="0"/>
    <n v="0.78500000000000003"/>
    <n v="0.24"/>
    <n v="0"/>
    <n v="0"/>
    <n v="0"/>
    <n v="1429621.89"/>
    <n v="6017264.0700000003"/>
    <n v="0.23758699999999999"/>
    <n v="-49097.94"/>
    <n v="-49017.83"/>
    <n v="0"/>
    <n v="-49017.83"/>
    <n v="5787921.6299999999"/>
    <s v="Forecast"/>
  </r>
  <r>
    <x v="21"/>
    <x v="0"/>
    <s v="202508"/>
    <n v="23"/>
    <n v="5185159.33"/>
    <n v="-4.9034003596227983E-2"/>
    <s v="CohortAvg"/>
    <n v="-3.2745418062538022E-2"/>
    <s v="CohortAvg"/>
    <n v="0.46085189534166221"/>
    <s v="CohortAvg"/>
    <n v="0"/>
    <s v="CohortAvg_NoData_ERROR"/>
    <n v="1.1426257757844771E-5"/>
    <s v="CohortAvg"/>
    <n v="0"/>
    <s v="Zero"/>
    <n v="0"/>
    <s v="CohortAvg"/>
    <n v="0"/>
    <s v="CohortAvg"/>
    <n v="0"/>
    <n v="-254249.12"/>
    <n v="-169790.21"/>
    <n v="199132.54"/>
    <n v="0"/>
    <n v="59.25"/>
    <n v="0"/>
    <n v="0"/>
    <n v="4960193.29"/>
    <n v="0.25738100000000003"/>
    <n v="0.89859999999999995"/>
    <n v="0.231271"/>
    <s v="CohortTrend+Seasonal(0.899)"/>
    <n v="1147147.07"/>
    <n v="1182467.44"/>
    <n v="-35320.370000000003"/>
    <x v="0"/>
    <n v="0"/>
    <n v="0.78500000000000003"/>
    <n v="0.24"/>
    <n v="0"/>
    <n v="0"/>
    <n v="0"/>
    <n v="1182467.44"/>
    <n v="5185159.33"/>
    <n v="0.228048"/>
    <n v="-35320.370000000003"/>
    <n v="-35261.120000000003"/>
    <n v="0"/>
    <n v="-35261.120000000003"/>
    <n v="4995454.41"/>
    <s v="Forecast"/>
  </r>
  <r>
    <x v="21"/>
    <x v="0"/>
    <s v="202509"/>
    <n v="22"/>
    <n v="1794.78"/>
    <n v="-0.41004395821289702"/>
    <s v="CohortAvg"/>
    <n v="-8.5226893584257571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735.94"/>
    <n v="-152.96"/>
    <n v="74.78"/>
    <n v="0"/>
    <n v="0"/>
    <n v="0"/>
    <n v="0"/>
    <n v="980.66"/>
    <n v="0.24704799999999999"/>
    <n v="0.89859999999999995"/>
    <n v="0.22198599999999999"/>
    <s v="CohortTrend+Seasonal(0.899)"/>
    <n v="217.69"/>
    <n v="392.18"/>
    <n v="-174.48"/>
    <x v="0"/>
    <n v="0"/>
    <n v="0.78500000000000003"/>
    <n v="0.24"/>
    <n v="0"/>
    <n v="0"/>
    <n v="0"/>
    <n v="392.18"/>
    <n v="1794.78"/>
    <n v="0.21851000000000001"/>
    <n v="-174.48"/>
    <n v="-174.48"/>
    <n v="0"/>
    <n v="-174.48"/>
    <n v="1155.1400000000001"/>
    <s v="Forecast"/>
  </r>
  <r>
    <x v="21"/>
    <x v="1"/>
    <s v="202301"/>
    <n v="44"/>
    <n v="798723.83"/>
    <n v="-8.4259577924321073E-3"/>
    <s v="CohortAvg"/>
    <n v="-4.5497144570368847E-3"/>
    <s v="CohortAvg"/>
    <n v="8.8970648410787792E-2"/>
    <s v="CohortAvg"/>
    <n v="2.3826540554689919E-2"/>
    <s v="CohortAvg_NonZero"/>
    <n v="0"/>
    <s v="CohortAvg"/>
    <n v="0"/>
    <s v="Zero"/>
    <n v="0"/>
    <s v="CohortAvg"/>
    <n v="0"/>
    <s v="CohortAvg"/>
    <n v="0"/>
    <n v="-6730.01"/>
    <n v="-3633.97"/>
    <n v="5921.91"/>
    <n v="0"/>
    <n v="0"/>
    <n v="0"/>
    <n v="0"/>
    <n v="794281.77"/>
    <n v="0.39916000000000001"/>
    <n v="1.0458000000000001"/>
    <n v="0.417458"/>
    <s v="CohortAvg+Seasonal(1.046)"/>
    <n v="331579"/>
    <n v="371909.57"/>
    <n v="-40330.57"/>
    <x v="0"/>
    <n v="0"/>
    <n v="0.78500000000000003"/>
    <n v="0.24"/>
    <n v="0"/>
    <n v="0"/>
    <n v="0"/>
    <n v="371909.57"/>
    <n v="798723.83"/>
    <n v="0.46562999999999999"/>
    <n v="-40330.57"/>
    <n v="-40330.57"/>
    <n v="0"/>
    <n v="-40330.57"/>
    <n v="834612.34"/>
    <s v="Forecast"/>
  </r>
  <r>
    <x v="21"/>
    <x v="1"/>
    <s v="202404"/>
    <n v="39"/>
    <n v="57448.88"/>
    <n v="-6.3497175865156422E-2"/>
    <s v="CohortAvg"/>
    <n v="-1.522823029061861E-2"/>
    <s v="CohortAvg"/>
    <n v="0.15653569878939061"/>
    <s v="CohortAvg"/>
    <n v="5.0288801018729963E-2"/>
    <s v="CohortAvg_NonZero"/>
    <n v="0"/>
    <s v="CohortAvg"/>
    <n v="0"/>
    <s v="Zero"/>
    <n v="0"/>
    <s v="CohortAvg"/>
    <n v="0"/>
    <s v="CohortAvg"/>
    <n v="0"/>
    <n v="-3647.84"/>
    <n v="-874.84"/>
    <n v="749.4"/>
    <n v="0"/>
    <n v="0"/>
    <n v="0"/>
    <n v="0"/>
    <n v="53675.59"/>
    <n v="0.25474799999999997"/>
    <n v="1.0458000000000001"/>
    <n v="0.266426"/>
    <s v="CohortTrend+Seasonal(1.046)"/>
    <n v="14300.56"/>
    <n v="16777.63"/>
    <n v="-2477.0700000000002"/>
    <x v="0"/>
    <n v="0"/>
    <n v="0.78500000000000003"/>
    <n v="0.24"/>
    <n v="0"/>
    <n v="0"/>
    <n v="0"/>
    <n v="16777.63"/>
    <n v="57448.88"/>
    <n v="0.292045"/>
    <n v="-2477.0700000000002"/>
    <n v="-2477.0700000000002"/>
    <n v="0"/>
    <n v="-2477.0700000000002"/>
    <n v="56152.66"/>
    <s v="Forecast"/>
  </r>
  <r>
    <x v="21"/>
    <x v="1"/>
    <s v="202405"/>
    <n v="38"/>
    <n v="202570.58"/>
    <n v="-1.167664625943288E-2"/>
    <s v="CohortAvg"/>
    <n v="-1.2725351526602559E-2"/>
    <s v="CohortAvg"/>
    <n v="0.14721891133006801"/>
    <s v="CohortAvg"/>
    <n v="6.9890350762418577E-2"/>
    <s v="CohortAvg_NonZero"/>
    <n v="9.1892941752355177E-9"/>
    <s v="CohortAvg"/>
    <n v="0"/>
    <s v="Zero"/>
    <n v="0"/>
    <s v="CohortAvg"/>
    <n v="0"/>
    <s v="CohortAvg"/>
    <n v="0"/>
    <n v="-2365.34"/>
    <n v="-2577.7800000000002"/>
    <n v="2485.19"/>
    <n v="0"/>
    <n v="0"/>
    <n v="0"/>
    <n v="0"/>
    <n v="200112.64000000001"/>
    <n v="0.48359400000000002"/>
    <n v="1.0458000000000001"/>
    <n v="0.50576200000000004"/>
    <s v="CohortTrend+Seasonal(1.046)"/>
    <n v="101209.43"/>
    <n v="110956.09"/>
    <n v="-9746.66"/>
    <x v="0"/>
    <n v="0"/>
    <n v="0.78500000000000003"/>
    <n v="0.24"/>
    <n v="0"/>
    <n v="0"/>
    <n v="0"/>
    <n v="110956.09"/>
    <n v="202570.58"/>
    <n v="0.54774"/>
    <n v="-9746.66"/>
    <n v="-9746.66"/>
    <n v="0"/>
    <n v="-9746.66"/>
    <n v="209859.29"/>
    <s v="Forecast"/>
  </r>
  <r>
    <x v="21"/>
    <x v="1"/>
    <s v="202406"/>
    <n v="37"/>
    <n v="119426.1"/>
    <n v="-1.545823891969904E-2"/>
    <s v="CohortAvg"/>
    <n v="-1.487860959170996E-2"/>
    <s v="CohortAvg"/>
    <n v="0.17821277265344321"/>
    <s v="CohortAvg"/>
    <n v="5.620844502272148E-2"/>
    <s v="CohortAvg_NonZero"/>
    <n v="0"/>
    <s v="CohortAvg"/>
    <n v="0"/>
    <s v="Zero"/>
    <n v="0"/>
    <s v="CohortAvg"/>
    <n v="0"/>
    <s v="CohortAvg"/>
    <n v="0"/>
    <n v="-1846.12"/>
    <n v="-1776.89"/>
    <n v="1773.6"/>
    <n v="0"/>
    <n v="0"/>
    <n v="0"/>
    <n v="0"/>
    <n v="117576.69"/>
    <n v="0.33147399999999999"/>
    <n v="1.0458000000000001"/>
    <n v="0.34666799999999998"/>
    <s v="CohortTrend+Seasonal(1.046)"/>
    <n v="40760.129999999997"/>
    <n v="44917.41"/>
    <n v="-4157.28"/>
    <x v="0"/>
    <n v="0"/>
    <n v="0.78500000000000003"/>
    <n v="0.24"/>
    <n v="0"/>
    <n v="0"/>
    <n v="0"/>
    <n v="44917.41"/>
    <n v="119426.1"/>
    <n v="0.37611099999999997"/>
    <n v="-4157.28"/>
    <n v="-4157.28"/>
    <n v="0"/>
    <n v="-4157.28"/>
    <n v="121733.97"/>
    <s v="Forecast"/>
  </r>
  <r>
    <x v="21"/>
    <x v="1"/>
    <s v="202407"/>
    <n v="36"/>
    <n v="100711.15"/>
    <n v="-4.2445486666932937E-2"/>
    <s v="CohortAvg"/>
    <n v="-1.5328958264717101E-2"/>
    <s v="CohortAvg"/>
    <n v="0.16902231660586819"/>
    <s v="CohortAvg"/>
    <n v="8.2761551975630079E-2"/>
    <s v="CohortAvg_NonZero"/>
    <n v="0"/>
    <s v="CohortAvg"/>
    <n v="0"/>
    <s v="Zero"/>
    <n v="0"/>
    <s v="CohortAvg"/>
    <n v="0"/>
    <s v="CohortAvg"/>
    <n v="0"/>
    <n v="-4274.7299999999996"/>
    <n v="-1543.8"/>
    <n v="1418.54"/>
    <n v="0"/>
    <n v="0"/>
    <n v="0"/>
    <n v="0"/>
    <n v="96311.16"/>
    <n v="0.29182900000000001"/>
    <n v="1.0458000000000001"/>
    <n v="0.30520700000000001"/>
    <s v="CohortTrend+Seasonal(1.046)"/>
    <n v="29394.83"/>
    <n v="33481.870000000003"/>
    <n v="-4087.03"/>
    <x v="0"/>
    <n v="0"/>
    <n v="0.78500000000000003"/>
    <n v="0.24"/>
    <n v="0"/>
    <n v="0"/>
    <n v="0"/>
    <n v="33481.870000000003"/>
    <n v="100711.15"/>
    <n v="0.33245400000000003"/>
    <n v="-4087.03"/>
    <n v="-4087.03"/>
    <n v="0"/>
    <n v="-4087.03"/>
    <n v="100398.19"/>
    <s v="Forecast"/>
  </r>
  <r>
    <x v="21"/>
    <x v="1"/>
    <s v="202408"/>
    <n v="35"/>
    <n v="69319.7"/>
    <n v="-6.2379221339755209E-2"/>
    <s v="CohortAvg"/>
    <n v="-1.6608117731460099E-2"/>
    <s v="CohortAvg"/>
    <n v="0.18294669004651209"/>
    <s v="CohortAvg"/>
    <n v="0.1104761026857973"/>
    <s v="CohortAvg_NonZero"/>
    <n v="2.9373216021493551E-11"/>
    <s v="CohortAvg"/>
    <n v="0"/>
    <s v="Zero"/>
    <n v="0"/>
    <s v="CohortAvg"/>
    <n v="0"/>
    <s v="CohortAvg"/>
    <n v="0"/>
    <n v="-4324.1099999999997"/>
    <n v="-1151.27"/>
    <n v="1056.82"/>
    <n v="0"/>
    <n v="0"/>
    <n v="0"/>
    <n v="0"/>
    <n v="64901.14"/>
    <n v="0.30308600000000002"/>
    <n v="1.0458000000000001"/>
    <n v="0.31697999999999998"/>
    <s v="CohortTrend+Seasonal(1.046)"/>
    <n v="20572.36"/>
    <n v="23907.46"/>
    <n v="-3335.1"/>
    <x v="0"/>
    <n v="0"/>
    <n v="0.78500000000000003"/>
    <n v="0.24"/>
    <n v="0"/>
    <n v="0"/>
    <n v="0"/>
    <n v="23907.46"/>
    <n v="69319.7"/>
    <n v="0.344887"/>
    <n v="-3335.1"/>
    <n v="-3335.1"/>
    <n v="0"/>
    <n v="-3335.1"/>
    <n v="68236.240000000005"/>
    <s v="Forecast"/>
  </r>
  <r>
    <x v="21"/>
    <x v="1"/>
    <s v="202409"/>
    <n v="34"/>
    <n v="214398.53"/>
    <n v="-4.1058804490064493E-2"/>
    <s v="CohortAvg"/>
    <n v="-1.507193826119628E-2"/>
    <s v="CohortAvg"/>
    <n v="0.18230721105939471"/>
    <s v="CohortAvg"/>
    <n v="3.1835678508452543E-2"/>
    <s v="CohortAvg_NonZero"/>
    <n v="0"/>
    <s v="CohortAvg"/>
    <n v="0"/>
    <s v="Zero"/>
    <n v="0"/>
    <s v="CohortAvg"/>
    <n v="0"/>
    <s v="CohortAvg"/>
    <n v="0"/>
    <n v="-8802.9500000000007"/>
    <n v="-3231.4"/>
    <n v="3257.2"/>
    <n v="0"/>
    <n v="0"/>
    <n v="0"/>
    <n v="0"/>
    <n v="205621.38"/>
    <n v="0.36219699999999999"/>
    <n v="1.0458000000000001"/>
    <n v="0.37880000000000003"/>
    <s v="CohortTrend+Seasonal(1.046)"/>
    <n v="77889.429999999993"/>
    <n v="87816.63"/>
    <n v="-9927.2000000000007"/>
    <x v="0"/>
    <n v="0"/>
    <n v="0.78500000000000003"/>
    <n v="0.24"/>
    <n v="0"/>
    <n v="0"/>
    <n v="0"/>
    <n v="87816.63"/>
    <n v="214398.53"/>
    <n v="0.40959499999999999"/>
    <n v="-9927.2000000000007"/>
    <n v="-9927.2000000000007"/>
    <n v="0"/>
    <n v="-9927.2000000000007"/>
    <n v="215548.59"/>
    <s v="Forecast"/>
  </r>
  <r>
    <x v="21"/>
    <x v="1"/>
    <s v="202410"/>
    <n v="33"/>
    <n v="248547.64"/>
    <n v="-1.259924621149186E-2"/>
    <s v="CohortAvg"/>
    <n v="-1.828241261146922E-2"/>
    <s v="CohortAvg"/>
    <n v="0.187536453351798"/>
    <s v="CohortAvg"/>
    <n v="3.5382248641611873E-2"/>
    <s v="CohortAvg_NonZero"/>
    <n v="1.2887124517619299E-8"/>
    <s v="CohortAvg"/>
    <n v="0"/>
    <s v="Zero"/>
    <n v="0"/>
    <s v="CohortAvg"/>
    <n v="0"/>
    <s v="CohortAvg"/>
    <n v="0"/>
    <n v="-3131.51"/>
    <n v="-4544.05"/>
    <n v="3884.31"/>
    <n v="0"/>
    <n v="0"/>
    <n v="0"/>
    <n v="0"/>
    <n v="244756.39"/>
    <n v="0.36350300000000002"/>
    <n v="1.0458000000000001"/>
    <n v="0.380166"/>
    <s v="CohortTrend+Seasonal(1.046)"/>
    <n v="93048.13"/>
    <n v="101993.29"/>
    <n v="-8945.15"/>
    <x v="0"/>
    <n v="0"/>
    <n v="0.78500000000000003"/>
    <n v="0.24"/>
    <n v="0"/>
    <n v="0"/>
    <n v="0"/>
    <n v="101993.29"/>
    <n v="248547.64"/>
    <n v="0.41035700000000003"/>
    <n v="-8945.15"/>
    <n v="-8945.15"/>
    <n v="0"/>
    <n v="-8945.15"/>
    <n v="253701.53"/>
    <s v="Forecast"/>
  </r>
  <r>
    <x v="21"/>
    <x v="1"/>
    <s v="202411"/>
    <n v="32"/>
    <n v="188404.43"/>
    <n v="-4.4631471705249733E-2"/>
    <s v="CohortAvg"/>
    <n v="-1.480098576063469E-2"/>
    <s v="CohortAvg"/>
    <n v="0.1733451263611191"/>
    <s v="CohortAvg"/>
    <n v="3.2250668772281312E-2"/>
    <s v="CohortAvg_NonZero"/>
    <n v="0"/>
    <s v="CohortAvg"/>
    <n v="0"/>
    <s v="Zero"/>
    <n v="0"/>
    <s v="CohortAvg"/>
    <n v="0"/>
    <s v="CohortAvg"/>
    <n v="0"/>
    <n v="-8408.77"/>
    <n v="-2788.57"/>
    <n v="2721.58"/>
    <n v="0"/>
    <n v="0"/>
    <n v="0"/>
    <n v="0"/>
    <n v="179928.67"/>
    <n v="0.27751599999999998"/>
    <n v="1.0458000000000001"/>
    <n v="0.29023700000000002"/>
    <s v="CohortTrend+Seasonal(1.046)"/>
    <n v="52221.97"/>
    <n v="59515.62"/>
    <n v="-7293.65"/>
    <x v="0"/>
    <n v="0"/>
    <n v="0.78500000000000003"/>
    <n v="0.24"/>
    <n v="0"/>
    <n v="0"/>
    <n v="0"/>
    <n v="59515.62"/>
    <n v="188404.43"/>
    <n v="0.31589299999999998"/>
    <n v="-7293.65"/>
    <n v="-7293.65"/>
    <n v="0"/>
    <n v="-7293.65"/>
    <n v="187222.32"/>
    <s v="Forecast"/>
  </r>
  <r>
    <x v="21"/>
    <x v="1"/>
    <s v="202412"/>
    <n v="31"/>
    <n v="9145.24"/>
    <n v="-8.5837474494001951E-3"/>
    <s v="CohortAvg"/>
    <n v="-1.2414711864534019E-2"/>
    <s v="CohortAvg"/>
    <n v="0.14520750665007151"/>
    <s v="CohortAvg"/>
    <n v="0.2"/>
    <s v="CohortAvg_NonZero"/>
    <n v="0"/>
    <s v="CohortAvg"/>
    <n v="0"/>
    <s v="Zero"/>
    <n v="0"/>
    <s v="CohortAvg"/>
    <n v="0"/>
    <s v="CohortAvg"/>
    <n v="0"/>
    <n v="-78.5"/>
    <n v="-113.54"/>
    <n v="110.66"/>
    <n v="0"/>
    <n v="0"/>
    <n v="0"/>
    <n v="0"/>
    <n v="9063.8700000000008"/>
    <n v="0.25559799999999999"/>
    <n v="1.0458000000000001"/>
    <n v="0.26731500000000002"/>
    <s v="CohortTrend+Seasonal(1.046)"/>
    <n v="2422.91"/>
    <n v="2664.57"/>
    <n v="-241.66"/>
    <x v="0"/>
    <n v="0"/>
    <n v="0.78500000000000003"/>
    <n v="0.24"/>
    <n v="0"/>
    <n v="0"/>
    <n v="0"/>
    <n v="2664.57"/>
    <n v="9145.24"/>
    <n v="0.29136200000000001"/>
    <n v="-241.66"/>
    <n v="-241.66"/>
    <n v="0"/>
    <n v="-241.66"/>
    <n v="9305.5300000000007"/>
    <s v="Forecast"/>
  </r>
  <r>
    <x v="21"/>
    <x v="1"/>
    <s v="202501"/>
    <n v="30"/>
    <n v="43404.31"/>
    <n v="-1.5293764023486801E-2"/>
    <s v="CohortAvg"/>
    <n v="-1.7525080651211139E-2"/>
    <s v="CohortAvg"/>
    <n v="0.20436584635567179"/>
    <s v="CohortAvg"/>
    <n v="0"/>
    <s v="CohortAvg_NoData_ERROR"/>
    <n v="0"/>
    <s v="CohortAvg"/>
    <n v="0"/>
    <s v="Zero"/>
    <n v="0"/>
    <s v="CohortAvg"/>
    <n v="0"/>
    <s v="CohortAvg"/>
    <n v="0"/>
    <n v="-663.82"/>
    <n v="-760.66"/>
    <n v="739.2"/>
    <n v="0"/>
    <n v="0"/>
    <n v="0"/>
    <n v="0"/>
    <n v="42719.03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43404.31"/>
    <n v="0"/>
    <n v="0"/>
    <n v="0"/>
    <n v="0"/>
    <n v="0"/>
    <n v="42719.03"/>
    <s v="Forecast"/>
  </r>
  <r>
    <x v="21"/>
    <x v="1"/>
    <s v="202502"/>
    <n v="29"/>
    <n v="90939.22"/>
    <n v="-1.386140033248673E-2"/>
    <s v="CohortAvg"/>
    <n v="-1.894563680627858E-2"/>
    <s v="CohortAvg"/>
    <n v="0.1940811051697319"/>
    <s v="CohortAvg"/>
    <n v="0"/>
    <s v="CohortAvg_NoData_ERROR"/>
    <n v="0"/>
    <s v="CohortAvg"/>
    <n v="0"/>
    <s v="Zero"/>
    <n v="0"/>
    <s v="CohortAvg"/>
    <n v="0"/>
    <s v="CohortAvg"/>
    <n v="0"/>
    <n v="-1260.54"/>
    <n v="-1722.9"/>
    <n v="1470.8"/>
    <n v="0"/>
    <n v="0"/>
    <n v="0"/>
    <n v="0"/>
    <n v="89426.57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90939.22"/>
    <n v="0"/>
    <n v="0"/>
    <n v="0"/>
    <n v="0"/>
    <n v="0"/>
    <n v="89426.57"/>
    <s v="Forecast"/>
  </r>
  <r>
    <x v="21"/>
    <x v="1"/>
    <s v="202503"/>
    <n v="28"/>
    <n v="72556.679999999993"/>
    <n v="-9.8304661894814092E-3"/>
    <s v="CohortAvg"/>
    <n v="-1.37603704591271E-2"/>
    <s v="CohortAvg"/>
    <n v="0.2083700781845971"/>
    <s v="CohortAvg"/>
    <n v="0"/>
    <s v="CohortAvg_NoData_ERROR"/>
    <n v="0"/>
    <s v="CohortAvg"/>
    <n v="0"/>
    <s v="Zero"/>
    <n v="0"/>
    <s v="CohortAvg"/>
    <n v="0"/>
    <s v="CohortAvg"/>
    <n v="0"/>
    <n v="-713.27"/>
    <n v="-998.41"/>
    <n v="1259.8900000000001"/>
    <n v="0"/>
    <n v="0"/>
    <n v="0"/>
    <n v="0"/>
    <n v="72104.899999999994"/>
    <n v="0.31684699999999999"/>
    <n v="1.0458000000000001"/>
    <n v="0.33137100000000003"/>
    <s v="CohortTrend+Seasonal(1.046)"/>
    <n v="23893.49"/>
    <n v="25786.23"/>
    <n v="-1892.74"/>
    <x v="0"/>
    <n v="0"/>
    <n v="0.78500000000000003"/>
    <n v="0.24"/>
    <n v="0"/>
    <n v="0"/>
    <n v="0"/>
    <n v="25786.23"/>
    <n v="72556.679999999993"/>
    <n v="0.35539399999999999"/>
    <n v="-1892.74"/>
    <n v="-1892.74"/>
    <n v="0"/>
    <n v="-1892.74"/>
    <n v="73997.63"/>
    <s v="Forecast"/>
  </r>
  <r>
    <x v="21"/>
    <x v="1"/>
    <s v="202504"/>
    <n v="27"/>
    <n v="40562.43"/>
    <n v="-2.071294632202627E-2"/>
    <s v="CohortAvg"/>
    <n v="-1.6747367258953809E-2"/>
    <s v="CohortAvg"/>
    <n v="0.20222181844268411"/>
    <s v="CohortAvg"/>
    <n v="0"/>
    <s v="CohortAvg_NoData_ERROR"/>
    <n v="0"/>
    <s v="CohortAvg"/>
    <n v="0"/>
    <s v="Zero"/>
    <n v="0"/>
    <s v="CohortAvg"/>
    <n v="0"/>
    <s v="CohortAvg"/>
    <n v="0"/>
    <n v="-840.17"/>
    <n v="-679.31"/>
    <n v="683.55"/>
    <n v="0"/>
    <n v="0"/>
    <n v="0"/>
    <n v="0"/>
    <n v="39726.5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40562.43"/>
    <n v="0"/>
    <n v="0"/>
    <n v="0"/>
    <n v="0"/>
    <n v="0"/>
    <n v="39726.5"/>
    <s v="Forecast"/>
  </r>
  <r>
    <x v="21"/>
    <x v="1"/>
    <s v="202505"/>
    <n v="26"/>
    <n v="13596.27"/>
    <n v="-1.024637137107948E-2"/>
    <s v="CohortAvg"/>
    <n v="-1.673186623138959E-2"/>
    <s v="CohortAvg"/>
    <n v="0.2022816875259251"/>
    <s v="CohortAvg"/>
    <n v="0"/>
    <s v="CohortAvg_NoData_ERROR"/>
    <n v="0"/>
    <s v="CohortAvg"/>
    <n v="0"/>
    <s v="Zero"/>
    <n v="0"/>
    <s v="CohortAvg"/>
    <n v="0"/>
    <s v="CohortAvg"/>
    <n v="0"/>
    <n v="-139.31"/>
    <n v="-227.49"/>
    <n v="229.19"/>
    <n v="0"/>
    <n v="0"/>
    <n v="0"/>
    <n v="0"/>
    <n v="13458.65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13596.27"/>
    <n v="0"/>
    <n v="0"/>
    <n v="0"/>
    <n v="0"/>
    <n v="0"/>
    <n v="13458.65"/>
    <s v="Forecast"/>
  </r>
  <r>
    <x v="21"/>
    <x v="1"/>
    <s v="202506"/>
    <n v="25"/>
    <n v="22862.63"/>
    <n v="-1.4315995893626711E-2"/>
    <s v="CohortAvg"/>
    <n v="-1.69248446338181E-2"/>
    <s v="CohortAvg"/>
    <n v="0.19663530584927699"/>
    <s v="CohortAvg"/>
    <n v="0"/>
    <s v="CohortAvg_NoData_ERROR"/>
    <n v="0"/>
    <s v="CohortAvg"/>
    <n v="0"/>
    <s v="Zero"/>
    <n v="0"/>
    <s v="CohortAvg"/>
    <n v="0"/>
    <s v="CohortAvg"/>
    <n v="0"/>
    <n v="-327.3"/>
    <n v="-386.95"/>
    <n v="374.63"/>
    <n v="0"/>
    <n v="0"/>
    <n v="0"/>
    <n v="0"/>
    <n v="22523.01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22862.63"/>
    <n v="0"/>
    <n v="0"/>
    <n v="0"/>
    <n v="0"/>
    <n v="0"/>
    <n v="22523.01"/>
    <s v="Forecast"/>
  </r>
  <r>
    <x v="21"/>
    <x v="1"/>
    <s v="202507"/>
    <n v="24"/>
    <n v="91504.25"/>
    <n v="-1.1454776565479659E-2"/>
    <s v="CohortAvg"/>
    <n v="-1.8488119008292291E-2"/>
    <s v="CohortAvg"/>
    <n v="0.20480830456573701"/>
    <s v="CohortAvg"/>
    <n v="0"/>
    <s v="CohortAvg_NoData_ERROR"/>
    <n v="0"/>
    <s v="CohortAvg"/>
    <n v="0"/>
    <s v="Zero"/>
    <n v="0"/>
    <s v="CohortAvg"/>
    <n v="0"/>
    <s v="CohortAvg"/>
    <n v="0"/>
    <n v="-1048.1600000000001"/>
    <n v="-1691.74"/>
    <n v="1561.74"/>
    <n v="0"/>
    <n v="0"/>
    <n v="0"/>
    <n v="0"/>
    <n v="90326.080000000002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91504.25"/>
    <n v="0"/>
    <n v="0"/>
    <n v="0"/>
    <n v="0"/>
    <n v="0"/>
    <n v="90326.080000000002"/>
    <s v="Forecast"/>
  </r>
  <r>
    <x v="21"/>
    <x v="1"/>
    <s v="202508"/>
    <n v="23"/>
    <n v="36956.129999999997"/>
    <n v="-1.5038651945344711E-2"/>
    <s v="CohortAvg"/>
    <n v="-1.5115255550905321E-2"/>
    <s v="CohortAvg"/>
    <n v="0.18607113077250381"/>
    <s v="CohortAvg"/>
    <n v="0"/>
    <s v="CohortAvg_NoData_ERROR"/>
    <n v="0"/>
    <s v="CohortAvg"/>
    <n v="0"/>
    <s v="Zero"/>
    <n v="0"/>
    <s v="CohortAvg"/>
    <n v="0"/>
    <s v="CohortAvg"/>
    <n v="0"/>
    <n v="-555.77"/>
    <n v="-558.6"/>
    <n v="573.04"/>
    <n v="0"/>
    <n v="0"/>
    <n v="0"/>
    <n v="0"/>
    <n v="36414.79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36956.129999999997"/>
    <n v="0"/>
    <n v="0"/>
    <n v="0"/>
    <n v="0"/>
    <n v="0"/>
    <n v="36414.79"/>
    <s v="Forecast"/>
  </r>
  <r>
    <x v="21"/>
    <x v="1"/>
    <s v="202509"/>
    <n v="22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458000000000001"/>
    <n v="0"/>
    <s v="Manual+Seasonal(1.046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21"/>
    <x v="2"/>
    <s v="202101"/>
    <n v="78"/>
    <n v="35808.449999999997"/>
    <n v="-0.1932369114088163"/>
    <s v="CohortAvg"/>
    <n v="-1.4304114295846999E-2"/>
    <s v="CohortAvg"/>
    <n v="0.15660745600962631"/>
    <s v="CohortAvg"/>
    <n v="1.7901525139552892E-2"/>
    <s v="CohortAvg_NonZero"/>
    <n v="0"/>
    <s v="CohortAvg"/>
    <n v="0"/>
    <s v="Zero"/>
    <n v="0"/>
    <s v="CohortAvg"/>
    <n v="0"/>
    <s v="CohortAvg"/>
    <n v="0"/>
    <n v="-6919.51"/>
    <n v="-512.21"/>
    <n v="467.32"/>
    <n v="0"/>
    <n v="0"/>
    <n v="0"/>
    <n v="0"/>
    <n v="28844.05"/>
    <n v="0.26070199999999999"/>
    <n v="0.90939999999999999"/>
    <n v="0.237093"/>
    <s v="CohortAvg+Seasonal(0.909)"/>
    <n v="6838.73"/>
    <n v="8856.4"/>
    <n v="-2017.66"/>
    <x v="0"/>
    <n v="0"/>
    <n v="0.78500000000000003"/>
    <n v="0.24"/>
    <n v="0"/>
    <n v="0"/>
    <n v="0"/>
    <n v="8856.4"/>
    <n v="35808.449999999997"/>
    <n v="0.24732699999999999"/>
    <n v="-2017.66"/>
    <n v="-2017.66"/>
    <n v="0"/>
    <n v="-2017.66"/>
    <n v="30861.72"/>
    <s v="Forecast"/>
  </r>
  <r>
    <x v="21"/>
    <x v="2"/>
    <s v="202201"/>
    <n v="58"/>
    <n v="34647.160000000003"/>
    <n v="-6.4348317191569235E-2"/>
    <s v="CohortAvg"/>
    <n v="-1.346853324002684E-2"/>
    <s v="CohortAvg"/>
    <n v="0.1498715488988891"/>
    <s v="CohortAvg"/>
    <n v="3.4432913974140909E-2"/>
    <s v="CohortAvg_NonZero"/>
    <n v="4.0263794106328851E-7"/>
    <s v="CohortAvg"/>
    <n v="0"/>
    <s v="Zero"/>
    <n v="-3.8621310097272452E-7"/>
    <s v="CohortAvg"/>
    <n v="-1.7436829333592939E-9"/>
    <s v="CohortAvg"/>
    <n v="0"/>
    <n v="-2229.4899999999998"/>
    <n v="-466.65"/>
    <n v="432.72"/>
    <n v="0"/>
    <n v="0.01"/>
    <n v="-0.01"/>
    <n v="0"/>
    <n v="32383.73"/>
    <n v="0.18623899999999999"/>
    <n v="0.90939999999999999"/>
    <n v="0.169374"/>
    <s v="CohortAvg+Seasonal(0.909)"/>
    <n v="5484.96"/>
    <n v="6120.8"/>
    <n v="-635.84"/>
    <x v="0"/>
    <n v="0"/>
    <n v="0.78500000000000003"/>
    <n v="0.24"/>
    <n v="0"/>
    <n v="0"/>
    <n v="0"/>
    <n v="6120.8"/>
    <n v="34647.160000000003"/>
    <n v="0.17666100000000001"/>
    <n v="-635.84"/>
    <n v="-635.83000000000004"/>
    <n v="0"/>
    <n v="-635.83000000000004"/>
    <n v="33019.56"/>
    <s v="Forecast"/>
  </r>
  <r>
    <x v="21"/>
    <x v="2"/>
    <s v="202301"/>
    <n v="49"/>
    <n v="4515454.57"/>
    <n v="-3.5828240415487628E-2"/>
    <s v="CohortAvg"/>
    <n v="-1.532788215063895E-2"/>
    <s v="CohortAvg"/>
    <n v="0.1743589304487195"/>
    <s v="CohortAvg"/>
    <n v="1.8576532206372981E-2"/>
    <s v="CohortAvg_NonZero"/>
    <n v="2.7029889227831568E-9"/>
    <s v="CohortAvg"/>
    <n v="0"/>
    <s v="Zero"/>
    <n v="-7.8594840380571288E-6"/>
    <s v="CohortAvg"/>
    <n v="-1.9515189513571971E-8"/>
    <s v="CohortAvg"/>
    <n v="0"/>
    <n v="-161780.79"/>
    <n v="-69212.36"/>
    <n v="65609.149999999994"/>
    <n v="0"/>
    <n v="0.01"/>
    <n v="-35.49"/>
    <n v="-0.09"/>
    <n v="4350070.5599999996"/>
    <n v="0.21947900000000001"/>
    <n v="0.90939999999999999"/>
    <n v="0.199604"/>
    <s v="CohortAvg+Seasonal(0.909)"/>
    <n v="868289.87"/>
    <n v="939633.62"/>
    <n v="-71343.75"/>
    <x v="0"/>
    <n v="0"/>
    <n v="0.78500000000000003"/>
    <n v="0.24"/>
    <n v="0"/>
    <n v="0"/>
    <n v="0"/>
    <n v="939633.62"/>
    <n v="4515454.57"/>
    <n v="0.208093"/>
    <n v="-71343.75"/>
    <n v="-71343.740000000005"/>
    <n v="0"/>
    <n v="-71343.740000000005"/>
    <n v="4421414.3"/>
    <s v="Forecast"/>
  </r>
  <r>
    <x v="21"/>
    <x v="2"/>
    <s v="202404"/>
    <n v="39"/>
    <n v="1014836.11"/>
    <n v="-4.2825935677992533E-2"/>
    <s v="CohortAvg"/>
    <n v="-1.6118393322464949E-2"/>
    <s v="CohortAvg"/>
    <n v="0.1758863464620479"/>
    <s v="CohortAvg"/>
    <n v="2.1296661023037899E-2"/>
    <s v="CohortAvg_NonZero"/>
    <n v="4.4588752848493229E-8"/>
    <s v="CohortAvg"/>
    <n v="0"/>
    <s v="Zero"/>
    <n v="-2.3960506079574E-3"/>
    <s v="CohortAvg"/>
    <n v="-1.0808206568343801E-5"/>
    <s v="CohortAvg"/>
    <n v="0"/>
    <n v="-43461.31"/>
    <n v="-16357.53"/>
    <n v="14874.65"/>
    <n v="0"/>
    <n v="0.05"/>
    <n v="-2431.6"/>
    <n v="-10.97"/>
    <n v="969891.89"/>
    <n v="0.22520399999999999"/>
    <n v="0.90939999999999999"/>
    <n v="0.20480999999999999"/>
    <s v="CohortTrend+Seasonal(0.909)"/>
    <n v="198643.22"/>
    <n v="211727.52"/>
    <n v="-13084.3"/>
    <x v="0"/>
    <n v="0"/>
    <n v="0.78500000000000003"/>
    <n v="0.24"/>
    <n v="0"/>
    <n v="0"/>
    <n v="0"/>
    <n v="211727.52"/>
    <n v="1014836.11"/>
    <n v="0.20863200000000001"/>
    <n v="-13084.3"/>
    <n v="-13084.26"/>
    <n v="0"/>
    <n v="-13084.26"/>
    <n v="982976.14"/>
    <s v="Forecast"/>
  </r>
  <r>
    <x v="21"/>
    <x v="2"/>
    <s v="202405"/>
    <n v="38"/>
    <n v="1388524.65"/>
    <n v="-1.9053371881343751E-2"/>
    <s v="CohortAvg"/>
    <n v="-1.511599758923202E-2"/>
    <s v="CohortAvg"/>
    <n v="0.17320739424563261"/>
    <s v="CohortAvg"/>
    <n v="3.1719518808319261E-2"/>
    <s v="CohortAvg_NonZero"/>
    <n v="1.295888656545265E-8"/>
    <s v="CohortAvg"/>
    <n v="0"/>
    <s v="Zero"/>
    <n v="-5.6518934736248493E-3"/>
    <s v="CohortAvg"/>
    <n v="-3.3967804428187597E-5"/>
    <s v="CohortAvg"/>
    <n v="0"/>
    <n v="-26456.080000000002"/>
    <n v="-20988.94"/>
    <n v="20041.89"/>
    <n v="0"/>
    <n v="0.02"/>
    <n v="-7847.79"/>
    <n v="-47.17"/>
    <n v="1361121.52"/>
    <n v="0.19123699999999999"/>
    <n v="0.90939999999999999"/>
    <n v="0.17391899999999999"/>
    <s v="CohortTrend+Seasonal(0.909)"/>
    <n v="236724.36"/>
    <n v="245987.5"/>
    <n v="-9263.14"/>
    <x v="0"/>
    <n v="0"/>
    <n v="0.78500000000000003"/>
    <n v="0.24"/>
    <n v="0"/>
    <n v="0"/>
    <n v="0"/>
    <n v="245987.5"/>
    <n v="1388524.65"/>
    <n v="0.17715700000000001"/>
    <n v="-9263.14"/>
    <n v="-9263.1200000000008"/>
    <n v="0"/>
    <n v="-9263.1200000000008"/>
    <n v="1370384.63"/>
    <s v="Forecast"/>
  </r>
  <r>
    <x v="21"/>
    <x v="2"/>
    <s v="202406"/>
    <n v="37"/>
    <n v="890613.37"/>
    <n v="-2.759629580251699E-2"/>
    <s v="CohortAvg"/>
    <n v="-1.514869653260556E-2"/>
    <s v="CohortAvg"/>
    <n v="0.17182592195732979"/>
    <s v="CohortAvg"/>
    <n v="6.2910002400578854E-2"/>
    <s v="CohortAvg_NonZero"/>
    <n v="1.124642771712843E-8"/>
    <s v="CohortAvg"/>
    <n v="0"/>
    <s v="Zero"/>
    <n v="-3.462228756023819E-3"/>
    <s v="CohortAvg"/>
    <n v="-5.4405786067019952E-5"/>
    <s v="CohortAvg"/>
    <n v="0"/>
    <n v="-24577.63"/>
    <n v="-13491.63"/>
    <n v="12752.54"/>
    <n v="0"/>
    <n v="0.01"/>
    <n v="-3083.51"/>
    <n v="-48.45"/>
    <n v="865296.63"/>
    <n v="0.194637"/>
    <n v="0.90939999999999999"/>
    <n v="0.177011"/>
    <s v="CohortTrend+Seasonal(0.909)"/>
    <n v="153167.03"/>
    <n v="160789.04"/>
    <n v="-7622.01"/>
    <x v="0"/>
    <n v="0"/>
    <n v="0.78500000000000003"/>
    <n v="0.24"/>
    <n v="0"/>
    <n v="0"/>
    <n v="0"/>
    <n v="160789.04"/>
    <n v="890613.37"/>
    <n v="0.180537"/>
    <n v="-7622.01"/>
    <n v="-7622"/>
    <n v="0"/>
    <n v="-7622"/>
    <n v="872918.63"/>
    <s v="Forecast"/>
  </r>
  <r>
    <x v="21"/>
    <x v="2"/>
    <s v="202407"/>
    <n v="36"/>
    <n v="1905285.97"/>
    <n v="-2.7276310108579931E-2"/>
    <s v="CohortAvg"/>
    <n v="-1.5655350621868212E-2"/>
    <s v="CohortAvg"/>
    <n v="0.1758210413314141"/>
    <s v="CohortAvg"/>
    <n v="3.1807456617660608E-2"/>
    <s v="CohortAvg_NonZero"/>
    <n v="6.5658014598810314E-6"/>
    <s v="CohortAvg"/>
    <n v="0"/>
    <s v="Zero"/>
    <n v="-4.8832568295147354E-3"/>
    <s v="CohortAvg"/>
    <n v="-4.0843216732675421E-5"/>
    <s v="CohortAvg"/>
    <n v="0"/>
    <n v="-51969.17"/>
    <n v="-29827.919999999998"/>
    <n v="27915.78"/>
    <n v="0"/>
    <n v="12.51"/>
    <n v="-9304"/>
    <n v="-77.819999999999993"/>
    <n v="1851392.15"/>
    <n v="0.17032"/>
    <n v="0.90939999999999999"/>
    <n v="0.15489600000000001"/>
    <s v="CohortTrend+Seasonal(0.909)"/>
    <n v="286773.59000000003"/>
    <n v="300358.63"/>
    <n v="-13585.05"/>
    <x v="0"/>
    <n v="0"/>
    <n v="0.78500000000000003"/>
    <n v="0.24"/>
    <n v="0"/>
    <n v="0"/>
    <n v="0"/>
    <n v="300358.63"/>
    <n v="1905285.97"/>
    <n v="0.15764500000000001"/>
    <n v="-13585.05"/>
    <n v="-13572.54"/>
    <n v="0"/>
    <n v="-13572.54"/>
    <n v="1864964.68"/>
    <s v="Forecast"/>
  </r>
  <r>
    <x v="21"/>
    <x v="2"/>
    <s v="202408"/>
    <n v="35"/>
    <n v="1493003.67"/>
    <n v="-2.3927520163783269E-2"/>
    <s v="CohortAvg"/>
    <n v="-1.6488614655533671E-2"/>
    <s v="CohortAvg"/>
    <n v="0.18796928142648009"/>
    <s v="CohortAvg"/>
    <n v="2.1731285026799239E-2"/>
    <s v="CohortAvg_NonZero"/>
    <n v="4.5392862663441761E-9"/>
    <s v="CohortAvg"/>
    <n v="0"/>
    <s v="Zero"/>
    <n v="-2.077575653611542E-3"/>
    <s v="CohortAvg"/>
    <n v="-2.261137255378175E-5"/>
    <s v="CohortAvg"/>
    <n v="0"/>
    <n v="-35723.879999999997"/>
    <n v="-24617.56"/>
    <n v="23386.57"/>
    <n v="0"/>
    <n v="0.01"/>
    <n v="-3101.83"/>
    <n v="-33.76"/>
    <n v="1456048.79"/>
    <n v="0.17688499999999999"/>
    <n v="0.90939999999999999"/>
    <n v="0.16086600000000001"/>
    <s v="CohortTrend+Seasonal(0.909)"/>
    <n v="234228.95"/>
    <n v="243550.05"/>
    <n v="-9321.1"/>
    <x v="0"/>
    <n v="0"/>
    <n v="0.78500000000000003"/>
    <n v="0.24"/>
    <n v="0"/>
    <n v="0"/>
    <n v="0"/>
    <n v="243550.05"/>
    <n v="1493003.67"/>
    <n v="0.163128"/>
    <n v="-9321.1"/>
    <n v="-9321.09"/>
    <n v="0"/>
    <n v="-9321.09"/>
    <n v="1465369.89"/>
    <s v="Forecast"/>
  </r>
  <r>
    <x v="21"/>
    <x v="2"/>
    <s v="202409"/>
    <n v="34"/>
    <n v="1160125.77"/>
    <n v="-3.2624093338212437E-2"/>
    <s v="CohortAvg"/>
    <n v="-1.6766830440429131E-2"/>
    <s v="CohortAvg"/>
    <n v="0.18511141917934709"/>
    <s v="CohortAvg"/>
    <n v="3.5242236788971863E-2"/>
    <s v="CohortAvg_NonZero"/>
    <n v="7.2916514710687594E-6"/>
    <s v="CohortAvg"/>
    <n v="0"/>
    <s v="Zero"/>
    <n v="-1.159502072627547E-2"/>
    <s v="CohortAvg"/>
    <n v="-9.3530599616944076E-5"/>
    <s v="CohortAvg"/>
    <n v="0"/>
    <n v="-37848.050000000003"/>
    <n v="-19451.63"/>
    <n v="17896.04"/>
    <n v="0"/>
    <n v="8.4600000000000009"/>
    <n v="-13451.68"/>
    <n v="-108.51"/>
    <n v="1120713.67"/>
    <n v="0.15510399999999999"/>
    <n v="0.90939999999999999"/>
    <n v="0.14105799999999999"/>
    <s v="CohortTrend+Seasonal(0.909)"/>
    <n v="158086.13"/>
    <n v="165947.13"/>
    <n v="-7861.01"/>
    <x v="0"/>
    <n v="0"/>
    <n v="0.78500000000000003"/>
    <n v="0.24"/>
    <n v="0"/>
    <n v="0"/>
    <n v="0"/>
    <n v="165947.13"/>
    <n v="1160125.77"/>
    <n v="0.143042"/>
    <n v="-7861.01"/>
    <n v="-7852.55"/>
    <n v="0"/>
    <n v="-7852.55"/>
    <n v="1128566.22"/>
    <s v="Forecast"/>
  </r>
  <r>
    <x v="21"/>
    <x v="2"/>
    <s v="202410"/>
    <n v="33"/>
    <n v="1015768.49"/>
    <n v="-4.0709821529429611E-2"/>
    <s v="CohortAvg"/>
    <n v="-1.6724705580143159E-2"/>
    <s v="CohortAvg"/>
    <n v="0.18193624160147329"/>
    <s v="CohortAvg"/>
    <n v="2.955394281631844E-2"/>
    <s v="CohortAvg_NonZero"/>
    <n v="2.0854799436386761E-8"/>
    <s v="CohortAvg"/>
    <n v="0"/>
    <s v="Zero"/>
    <n v="-7.1681488421071436E-3"/>
    <s v="CohortAvg"/>
    <n v="-1.104524486258281E-4"/>
    <s v="CohortAvg"/>
    <n v="0"/>
    <n v="-41351.75"/>
    <n v="-16988.43"/>
    <n v="15400.43"/>
    <n v="0"/>
    <n v="0.02"/>
    <n v="-7281.18"/>
    <n v="-112.19"/>
    <n v="972828.71"/>
    <n v="0.13886999999999999"/>
    <n v="0.90939999999999999"/>
    <n v="0.12629399999999999"/>
    <s v="CohortTrend+Seasonal(0.909)"/>
    <n v="122862.59"/>
    <n v="130420.76"/>
    <n v="-7558.17"/>
    <x v="0"/>
    <n v="0"/>
    <n v="0.78500000000000003"/>
    <n v="0.24"/>
    <n v="0"/>
    <n v="0"/>
    <n v="0"/>
    <n v="130420.76"/>
    <n v="1015768.49"/>
    <n v="0.12839600000000001"/>
    <n v="-7558.17"/>
    <n v="-7558.15"/>
    <n v="0"/>
    <n v="-7558.15"/>
    <n v="980386.87"/>
    <s v="Forecast"/>
  </r>
  <r>
    <x v="21"/>
    <x v="2"/>
    <s v="202411"/>
    <n v="32"/>
    <n v="1251360.26"/>
    <n v="-3.7065918959982701E-2"/>
    <s v="CohortAvg"/>
    <n v="-1.756857818380652E-2"/>
    <s v="CohortAvg"/>
    <n v="0.19002254920146119"/>
    <s v="CohortAvg"/>
    <n v="2.1737333398210539E-2"/>
    <s v="CohortAvg_NonZero"/>
    <n v="1.701448541512158E-6"/>
    <s v="CohortAvg"/>
    <n v="0"/>
    <s v="Zero"/>
    <n v="-1.0817444673567329E-2"/>
    <s v="CohortAvg"/>
    <n v="-9.4675825281494901E-5"/>
    <s v="CohortAvg"/>
    <n v="0"/>
    <n v="-46382.82"/>
    <n v="-21984.62"/>
    <n v="19815.560000000001"/>
    <n v="0"/>
    <n v="2.13"/>
    <n v="-13536.52"/>
    <n v="-118.47"/>
    <n v="1202806.25"/>
    <n v="0.14616999999999999"/>
    <n v="0.90939999999999999"/>
    <n v="0.132933"/>
    <s v="CohortTrend+Seasonal(0.909)"/>
    <n v="159892.64000000001"/>
    <n v="168123.44"/>
    <n v="-8230.7900000000009"/>
    <x v="0"/>
    <n v="0"/>
    <n v="0.78500000000000003"/>
    <n v="0.24"/>
    <n v="0"/>
    <n v="0"/>
    <n v="0"/>
    <n v="168123.44"/>
    <n v="1251360.26"/>
    <n v="0.134353"/>
    <n v="-8230.7900000000009"/>
    <n v="-8228.66"/>
    <n v="0"/>
    <n v="-8228.66"/>
    <n v="1211034.9099999999"/>
    <s v="Forecast"/>
  </r>
  <r>
    <x v="21"/>
    <x v="2"/>
    <s v="202412"/>
    <n v="31"/>
    <n v="1391172.84"/>
    <n v="-1.9969205469961469E-2"/>
    <s v="CohortAvg"/>
    <n v="-1.6656707498341208E-2"/>
    <s v="CohortAvg"/>
    <n v="0.18941226711204259"/>
    <s v="CohortAvg"/>
    <n v="2.8238057018177509E-2"/>
    <s v="CohortAvg_NonZero"/>
    <n v="1.317595910679112E-8"/>
    <s v="CohortAvg"/>
    <n v="0"/>
    <s v="Zero"/>
    <n v="-1.014951828994393E-2"/>
    <s v="CohortAvg"/>
    <n v="-6.8611337738223765E-5"/>
    <s v="CohortAvg"/>
    <n v="0"/>
    <n v="-27780.62"/>
    <n v="-23172.36"/>
    <n v="21958.77"/>
    <n v="0"/>
    <n v="0.02"/>
    <n v="-14119.73"/>
    <n v="-95.45"/>
    <n v="1362178.61"/>
    <n v="0.11229699999999999"/>
    <n v="0.90939999999999999"/>
    <n v="0.102127"/>
    <s v="CohortTrend+Seasonal(0.909)"/>
    <n v="139115.66"/>
    <n v="144665.28"/>
    <n v="-5549.62"/>
    <x v="0"/>
    <n v="0"/>
    <n v="0.78500000000000003"/>
    <n v="0.24"/>
    <n v="0"/>
    <n v="0"/>
    <n v="0"/>
    <n v="144665.28"/>
    <n v="1391172.84"/>
    <n v="0.103988"/>
    <n v="-5549.62"/>
    <n v="-5549.6"/>
    <n v="0"/>
    <n v="-5549.6"/>
    <n v="1367728.21"/>
    <s v="Forecast"/>
  </r>
  <r>
    <x v="21"/>
    <x v="2"/>
    <s v="202501"/>
    <n v="30"/>
    <n v="2269286.48"/>
    <n v="-3.0462199407165831E-2"/>
    <s v="CohortAvg"/>
    <n v="-1.7546585357485489E-2"/>
    <s v="CohortAvg"/>
    <n v="0.1907253835055219"/>
    <s v="CohortAvg"/>
    <n v="1.559148726406759E-2"/>
    <s v="CohortAvg_NonZero"/>
    <n v="5.5438640082914429E-7"/>
    <s v="CohortAvg"/>
    <n v="0"/>
    <s v="Zero"/>
    <n v="-1.891941333705667E-2"/>
    <s v="CohortAvg"/>
    <n v="-1.5431549055064359E-4"/>
    <s v="CohortAvg"/>
    <n v="0"/>
    <n v="-69127.460000000006"/>
    <n v="-39818.230000000003"/>
    <n v="36067.54"/>
    <n v="0"/>
    <n v="1.26"/>
    <n v="-42933.57"/>
    <n v="-350.19"/>
    <n v="2196407.08"/>
    <n v="0.124738"/>
    <n v="0.90939999999999999"/>
    <n v="0.113442"/>
    <s v="CohortTrend+Seasonal(0.909)"/>
    <n v="249165.34"/>
    <n v="260284.95"/>
    <n v="-11119.61"/>
    <x v="0"/>
    <n v="0"/>
    <n v="0.78500000000000003"/>
    <n v="0.24"/>
    <n v="0"/>
    <n v="0"/>
    <n v="0"/>
    <n v="260284.95"/>
    <n v="2269286.48"/>
    <n v="0.114699"/>
    <n v="-11119.61"/>
    <n v="-11118.36"/>
    <n v="0"/>
    <n v="-11118.36"/>
    <n v="2207525.44"/>
    <s v="Forecast"/>
  </r>
  <r>
    <x v="21"/>
    <x v="2"/>
    <s v="202502"/>
    <n v="29"/>
    <n v="2310844.77"/>
    <n v="-3.4076553245845492E-2"/>
    <s v="CohortAvg"/>
    <n v="-1.7641475971238791E-2"/>
    <s v="CohortAvg"/>
    <n v="0.19715735927325531"/>
    <s v="CohortAvg"/>
    <n v="7.9645373695133598E-3"/>
    <s v="CohortAvg_NonZero"/>
    <n v="0"/>
    <s v="CohortAvg"/>
    <n v="0"/>
    <s v="Zero"/>
    <n v="-3.482300083089953E-2"/>
    <s v="CohortAvg"/>
    <n v="-3.1835634767776537E-4"/>
    <s v="CohortAvg"/>
    <n v="0"/>
    <n v="-78745.62"/>
    <n v="-40766.71"/>
    <n v="37966.67"/>
    <n v="0"/>
    <n v="0"/>
    <n v="-80470.55"/>
    <n v="-735.67"/>
    <n v="2229299.1"/>
    <n v="0.13495299999999999"/>
    <n v="0.90939999999999999"/>
    <n v="0.12273199999999999"/>
    <s v="CohortTrend+Seasonal(0.909)"/>
    <n v="273605.94"/>
    <n v="285052.09999999998"/>
    <n v="-11446.16"/>
    <x v="0"/>
    <n v="0"/>
    <n v="0.78500000000000003"/>
    <n v="0.24"/>
    <n v="0"/>
    <n v="0"/>
    <n v="0"/>
    <n v="285052.09999999998"/>
    <n v="2310844.77"/>
    <n v="0.12335400000000001"/>
    <n v="-11446.16"/>
    <n v="-11446.16"/>
    <n v="0"/>
    <n v="-11446.16"/>
    <n v="2240745.27"/>
    <s v="Forecast"/>
  </r>
  <r>
    <x v="21"/>
    <x v="2"/>
    <s v="202503"/>
    <n v="28"/>
    <n v="3590897.94"/>
    <n v="-2.2744825828069009E-2"/>
    <s v="CohortAvg"/>
    <n v="-1.6985778551322731E-2"/>
    <s v="CohortAvg"/>
    <n v="0.2012078393167322"/>
    <s v="CohortAvg"/>
    <n v="7.1848262480383477E-3"/>
    <s v="CohortAvg_NonZero"/>
    <n v="7.7546793196470263E-10"/>
    <s v="CohortAvg"/>
    <n v="0"/>
    <s v="Zero"/>
    <n v="0"/>
    <s v="CohortAvg"/>
    <n v="0"/>
    <s v="CohortAvg"/>
    <n v="0"/>
    <n v="-81674.350000000006"/>
    <n v="-60994.2"/>
    <n v="60209.73"/>
    <n v="0"/>
    <n v="0"/>
    <n v="0"/>
    <n v="0"/>
    <n v="3508439.13"/>
    <n v="0.13233400000000001"/>
    <n v="0.90939999999999999"/>
    <n v="0.12035"/>
    <s v="CohortTrend+Seasonal(0.909)"/>
    <n v="422242.37"/>
    <n v="433255.32"/>
    <n v="-11012.94"/>
    <x v="0"/>
    <n v="0"/>
    <n v="0.78500000000000003"/>
    <n v="0.24"/>
    <n v="0"/>
    <n v="0"/>
    <n v="0"/>
    <n v="433255.32"/>
    <n v="3590897.94"/>
    <n v="0.120654"/>
    <n v="-11012.94"/>
    <n v="-11012.94"/>
    <n v="0"/>
    <n v="-11012.94"/>
    <n v="3519452.07"/>
    <s v="Forecast"/>
  </r>
  <r>
    <x v="21"/>
    <x v="2"/>
    <s v="202504"/>
    <n v="27"/>
    <n v="4480727.43"/>
    <n v="-2.4626167254033719E-2"/>
    <s v="CohortAvg"/>
    <n v="-1.6909545053916689E-2"/>
    <s v="CohortAvg"/>
    <n v="0.19642257390733381"/>
    <s v="CohortAvg"/>
    <n v="3.260907177009143E-3"/>
    <s v="CohortAvg_NonZero"/>
    <n v="0"/>
    <s v="CohortAvg"/>
    <n v="0"/>
    <s v="Zero"/>
    <n v="0"/>
    <s v="CohortAvg"/>
    <n v="0"/>
    <s v="CohortAvg"/>
    <n v="0"/>
    <n v="-110343.14"/>
    <n v="-75767.06"/>
    <n v="73343"/>
    <n v="0"/>
    <n v="0"/>
    <n v="0"/>
    <n v="0"/>
    <n v="4367960.2300000004"/>
    <n v="0.13248299999999999"/>
    <n v="0.90939999999999999"/>
    <n v="0.120486"/>
    <s v="CohortTrend+Seasonal(0.909)"/>
    <n v="526277.92000000004"/>
    <n v="539351.81000000006"/>
    <n v="-13073.89"/>
    <x v="0"/>
    <n v="0"/>
    <n v="0.78500000000000003"/>
    <n v="0.24"/>
    <n v="0"/>
    <n v="0"/>
    <n v="0"/>
    <n v="539351.81000000006"/>
    <n v="4480727.43"/>
    <n v="0.12037100000000001"/>
    <n v="-13073.89"/>
    <n v="-13073.89"/>
    <n v="0"/>
    <n v="-13073.89"/>
    <n v="4381034.12"/>
    <s v="Forecast"/>
  </r>
  <r>
    <x v="21"/>
    <x v="2"/>
    <s v="202505"/>
    <n v="26"/>
    <n v="4297980.75"/>
    <n v="-2.7475209573439179E-2"/>
    <s v="CohortAvg"/>
    <n v="-1.6599426524662762E-2"/>
    <s v="CohortAvg"/>
    <n v="0.194190604288414"/>
    <s v="CohortAvg"/>
    <n v="0"/>
    <s v="CohortAvg_NoData_ERROR"/>
    <n v="0"/>
    <s v="CohortAvg"/>
    <n v="0"/>
    <s v="Zero"/>
    <n v="0"/>
    <s v="CohortAvg"/>
    <n v="0"/>
    <s v="CohortAvg"/>
    <n v="0"/>
    <n v="-118087.92"/>
    <n v="-71344.02"/>
    <n v="69552.289999999994"/>
    <n v="0"/>
    <n v="0"/>
    <n v="0"/>
    <n v="0"/>
    <n v="4178101.11"/>
    <n v="0.12958600000000001"/>
    <n v="0.90939999999999999"/>
    <n v="0.11785"/>
    <s v="CohortTrend+Seasonal(0.909)"/>
    <n v="492391.11"/>
    <n v="504532.75"/>
    <n v="-12141.63"/>
    <x v="0"/>
    <n v="0"/>
    <n v="0.78500000000000003"/>
    <n v="0.24"/>
    <n v="0"/>
    <n v="0"/>
    <n v="0"/>
    <n v="504532.75"/>
    <n v="4297980.75"/>
    <n v="0.11738800000000001"/>
    <n v="-12141.63"/>
    <n v="-12141.63"/>
    <n v="0"/>
    <n v="-12141.63"/>
    <n v="4190242.74"/>
    <s v="Forecast"/>
  </r>
  <r>
    <x v="21"/>
    <x v="2"/>
    <s v="202506"/>
    <n v="25"/>
    <n v="4926689.33"/>
    <n v="-2.009963223072124E-2"/>
    <s v="CohortAvg"/>
    <n v="-1.627838264821671E-2"/>
    <s v="CohortAvg"/>
    <n v="0.1978881375626603"/>
    <s v="CohortAvg"/>
    <n v="0"/>
    <s v="CohortAvg_NoData_ERROR"/>
    <n v="0"/>
    <s v="CohortAvg"/>
    <n v="0"/>
    <s v="Zero"/>
    <n v="0"/>
    <s v="CohortAvg"/>
    <n v="0"/>
    <s v="CohortAvg"/>
    <n v="0"/>
    <n v="-99024.639999999999"/>
    <n v="-80198.53"/>
    <n v="81244.45"/>
    <n v="0"/>
    <n v="0"/>
    <n v="0"/>
    <n v="0"/>
    <n v="4828710.5999999996"/>
    <n v="0.12887399999999999"/>
    <n v="0.90939999999999999"/>
    <n v="0.117203"/>
    <s v="CohortTrend+Seasonal(0.909)"/>
    <n v="565939.03"/>
    <n v="572758.11"/>
    <n v="-6819.08"/>
    <x v="0"/>
    <n v="0"/>
    <n v="0.78500000000000003"/>
    <n v="0.24"/>
    <n v="0"/>
    <n v="0"/>
    <n v="0"/>
    <n v="572758.11"/>
    <n v="4926689.33"/>
    <n v="0.116256"/>
    <n v="-6819.08"/>
    <n v="-6819.08"/>
    <n v="0"/>
    <n v="-6819.08"/>
    <n v="4835529.68"/>
    <s v="Forecast"/>
  </r>
  <r>
    <x v="21"/>
    <x v="2"/>
    <s v="202507"/>
    <n v="24"/>
    <n v="6393394.04"/>
    <n v="-1.6324868137531749E-2"/>
    <s v="CohortAvg"/>
    <n v="-1.715733801130916E-2"/>
    <s v="CohortAvg"/>
    <n v="0.1890442371407782"/>
    <s v="CohortAvg"/>
    <n v="0"/>
    <s v="CohortAvg_NoData_ERROR"/>
    <n v="0"/>
    <s v="CohortAvg"/>
    <n v="0"/>
    <s v="Zero"/>
    <n v="0"/>
    <s v="CohortAvg"/>
    <n v="0"/>
    <s v="CohortAvg"/>
    <n v="0"/>
    <n v="-104371.31"/>
    <n v="-109693.62"/>
    <n v="100719.52"/>
    <n v="0"/>
    <n v="0"/>
    <n v="0"/>
    <n v="0"/>
    <n v="6280048.6200000001"/>
    <n v="0.122545"/>
    <n v="0.90939999999999999"/>
    <n v="0.11144800000000001"/>
    <s v="CohortTrend+Seasonal(0.909)"/>
    <n v="699898.18"/>
    <n v="704889.93"/>
    <n v="-4991.75"/>
    <x v="0"/>
    <n v="0"/>
    <n v="0.78500000000000003"/>
    <n v="0.24"/>
    <n v="0"/>
    <n v="0"/>
    <n v="0"/>
    <n v="704889.93"/>
    <n v="6393394.04"/>
    <n v="0.110253"/>
    <n v="-4991.75"/>
    <n v="-4991.75"/>
    <n v="0"/>
    <n v="-4991.75"/>
    <n v="6285040.3799999999"/>
    <s v="Forecast"/>
  </r>
  <r>
    <x v="21"/>
    <x v="2"/>
    <s v="202508"/>
    <n v="23"/>
    <n v="5803429.79"/>
    <n v="-1.9841996589516301E-2"/>
    <s v="CohortAvg"/>
    <n v="-1.2137745201535091E-2"/>
    <s v="CohortAvg"/>
    <n v="0.19129548698515961"/>
    <s v="CohortAvg"/>
    <n v="0"/>
    <s v="CohortAvg_NoData_ERROR"/>
    <n v="3.5394932580148678E-5"/>
    <s v="CohortAvg"/>
    <n v="0"/>
    <s v="Zero"/>
    <n v="0"/>
    <s v="CohortAvg"/>
    <n v="0"/>
    <s v="CohortAvg"/>
    <n v="0"/>
    <n v="-115151.63"/>
    <n v="-70440.55"/>
    <n v="92514.16"/>
    <n v="0"/>
    <n v="205.41"/>
    <n v="0"/>
    <n v="0"/>
    <n v="5710146.3499999996"/>
    <n v="0.116217"/>
    <n v="0.90939999999999999"/>
    <n v="0.105693"/>
    <s v="CohortTrend+Seasonal(0.909)"/>
    <n v="603521.66"/>
    <n v="605004.77"/>
    <n v="-1483.11"/>
    <x v="0"/>
    <n v="0"/>
    <n v="0.78500000000000003"/>
    <n v="0.24"/>
    <n v="0"/>
    <n v="0"/>
    <n v="0"/>
    <n v="605004.77"/>
    <n v="5803429.79"/>
    <n v="0.10425"/>
    <n v="-1483.11"/>
    <n v="-1277.7"/>
    <n v="0"/>
    <n v="-1277.7"/>
    <n v="5711424.0499999998"/>
    <s v="Forecast"/>
  </r>
  <r>
    <x v="21"/>
    <x v="2"/>
    <s v="202509"/>
    <n v="22"/>
    <n v="116098.22"/>
    <n v="-0.26525691432127457"/>
    <s v="CohortAvg"/>
    <n v="-3.254576561620597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30795.86"/>
    <n v="-3778.51"/>
    <n v="4837.43"/>
    <n v="0"/>
    <n v="0"/>
    <n v="0"/>
    <n v="0"/>
    <n v="86361.279999999999"/>
    <n v="0.109889"/>
    <n v="0.90939999999999999"/>
    <n v="9.9937999999999999E-2"/>
    <s v="CohortTrend+Seasonal(0.909)"/>
    <n v="8630.76"/>
    <n v="11406.21"/>
    <n v="-2775.45"/>
    <x v="0"/>
    <n v="0"/>
    <n v="0.78500000000000003"/>
    <n v="0.24"/>
    <n v="0"/>
    <n v="0"/>
    <n v="0"/>
    <n v="11406.21"/>
    <n v="116098.22"/>
    <n v="9.8246E-2"/>
    <n v="-2775.45"/>
    <n v="-2775.45"/>
    <n v="0"/>
    <n v="-2775.45"/>
    <n v="89136.73"/>
    <s v="Forecast"/>
  </r>
  <r>
    <x v="21"/>
    <x v="3"/>
    <s v="201912"/>
    <n v="91"/>
    <n v="41626.93"/>
    <n v="-6.8352948240527458E-3"/>
    <s v="CohortAvg"/>
    <n v="-6.4277759409284054E-4"/>
    <s v="CohortAvg"/>
    <n v="0"/>
    <s v="CohortAvg"/>
    <n v="3.0085967335743431E-2"/>
    <s v="CohortAvg_NonZero"/>
    <n v="1.466894405114094E-8"/>
    <s v="CohortAvg"/>
    <n v="0"/>
    <s v="Zero"/>
    <n v="0"/>
    <s v="CohortAvg"/>
    <n v="0"/>
    <s v="CohortAvg"/>
    <n v="0"/>
    <n v="-284.52999999999997"/>
    <n v="-26.76"/>
    <n v="0"/>
    <n v="0"/>
    <n v="0"/>
    <n v="0"/>
    <n v="0"/>
    <n v="41315.64"/>
    <n v="0.98814900000000006"/>
    <n v="0.90980000000000005"/>
    <n v="0.89898500000000003"/>
    <s v="CohortAvg+Seasonal(0.910)"/>
    <n v="37142.160000000003"/>
    <n v="39388.080000000002"/>
    <n v="-2245.92"/>
    <x v="0"/>
    <n v="0"/>
    <n v="0.78500000000000003"/>
    <n v="0.24"/>
    <n v="0"/>
    <n v="0"/>
    <n v="0"/>
    <n v="39388.080000000002"/>
    <n v="41626.93"/>
    <n v="0.94621599999999995"/>
    <n v="-2245.92"/>
    <n v="-2245.92"/>
    <n v="0"/>
    <n v="-2245.92"/>
    <n v="43561.56"/>
    <s v="Forecast"/>
  </r>
  <r>
    <x v="21"/>
    <x v="3"/>
    <s v="202001"/>
    <n v="90"/>
    <n v="0"/>
    <n v="-0.5"/>
    <s v="CohortAvg"/>
    <n v="-3.9475865518245668E-7"/>
    <s v="CohortAvg"/>
    <n v="0"/>
    <s v="CohortAvg"/>
    <n v="1.8005650252496751E-2"/>
    <s v="CohortAvg_NonZero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0"/>
    <n v="0.81937800000000005"/>
    <n v="0.90980000000000005"/>
    <n v="0.74544299999999997"/>
    <s v="CohortAvg+Seasonal(0.910)"/>
    <n v="0"/>
    <n v="0"/>
    <n v="0"/>
    <x v="0"/>
    <n v="0"/>
    <n v="0.78500000000000003"/>
    <n v="0.24"/>
    <n v="0"/>
    <n v="0"/>
    <n v="0"/>
    <n v="0"/>
    <n v="0"/>
    <n v="0.78467399999999998"/>
    <n v="0"/>
    <n v="0"/>
    <n v="0"/>
    <n v="0"/>
    <n v="0"/>
    <s v="Forecast"/>
  </r>
  <r>
    <x v="21"/>
    <x v="3"/>
    <s v="202101"/>
    <n v="78"/>
    <n v="205953.08"/>
    <n v="-0.1051769097560885"/>
    <s v="CohortAvg"/>
    <n v="-8.110101478060466E-3"/>
    <s v="CohortAvg"/>
    <n v="0.10889298079701849"/>
    <s v="CohortAvg"/>
    <n v="6.1856393470109917E-3"/>
    <s v="CohortAvg_NonZero"/>
    <n v="0"/>
    <s v="CohortAvg"/>
    <n v="0"/>
    <s v="Zero"/>
    <n v="-3.5092032721175172E-6"/>
    <s v="CohortAvg"/>
    <n v="-3.7242182421225073E-8"/>
    <s v="CohortAvg"/>
    <n v="0"/>
    <n v="-21661.51"/>
    <n v="-1670.3"/>
    <n v="1868.9"/>
    <n v="0"/>
    <n v="0"/>
    <n v="-0.72"/>
    <n v="-0.01"/>
    <n v="184490.18"/>
    <n v="0.27618399999999999"/>
    <n v="0.90980000000000005"/>
    <n v="0.25126300000000001"/>
    <s v="CohortAvg+Seasonal(0.910)"/>
    <n v="46355.49"/>
    <n v="54468.76"/>
    <n v="-8113.26"/>
    <x v="0"/>
    <n v="0"/>
    <n v="0.78500000000000003"/>
    <n v="0.24"/>
    <n v="0"/>
    <n v="0"/>
    <n v="0"/>
    <n v="54468.76"/>
    <n v="205953.08"/>
    <n v="0.26447199999999998"/>
    <n v="-8113.26"/>
    <n v="-8113.26"/>
    <n v="0"/>
    <n v="-8113.26"/>
    <n v="192603.44"/>
    <s v="Forecast"/>
  </r>
  <r>
    <x v="21"/>
    <x v="3"/>
    <s v="202201"/>
    <n v="58"/>
    <n v="49905.87"/>
    <n v="-8.8822462570030444E-2"/>
    <s v="CohortAvg"/>
    <n v="-1.0369917098562879E-2"/>
    <s v="CohortAvg"/>
    <n v="0.1126104107525174"/>
    <s v="CohortAvg"/>
    <n v="3.3682312711849453E-2"/>
    <s v="CohortAvg_NonZero"/>
    <n v="9.0851665418587837E-4"/>
    <s v="CohortAvg"/>
    <n v="0"/>
    <s v="Zero"/>
    <n v="-3.6715877791840581E-6"/>
    <s v="CohortAvg"/>
    <n v="-3.1258181345189063E-8"/>
    <s v="CohortAvg"/>
    <n v="0"/>
    <n v="-4432.76"/>
    <n v="-517.52"/>
    <n v="468.33"/>
    <n v="0"/>
    <n v="45.34"/>
    <n v="-0.18"/>
    <n v="0"/>
    <n v="45378.58"/>
    <n v="0.30420700000000001"/>
    <n v="0.90980000000000005"/>
    <n v="0.27675699999999998"/>
    <s v="CohortAvg+Seasonal(0.910)"/>
    <n v="12558.86"/>
    <n v="14537.53"/>
    <n v="-1978.67"/>
    <x v="0"/>
    <n v="0"/>
    <n v="0.78500000000000003"/>
    <n v="0.24"/>
    <n v="0"/>
    <n v="0"/>
    <n v="0"/>
    <n v="14537.53"/>
    <n v="49905.87"/>
    <n v="0.29129899999999997"/>
    <n v="-1978.67"/>
    <n v="-1933.33"/>
    <n v="0"/>
    <n v="-1933.33"/>
    <n v="47311.91"/>
    <s v="Forecast"/>
  </r>
  <r>
    <x v="21"/>
    <x v="3"/>
    <s v="202301"/>
    <n v="49"/>
    <n v="868911.12"/>
    <n v="-6.9806264118921629E-2"/>
    <s v="CohortAvg"/>
    <n v="-1.6140578970104041E-2"/>
    <s v="CohortAvg"/>
    <n v="0.1907736030722566"/>
    <s v="CohortAvg"/>
    <n v="2.52970429797277E-2"/>
    <s v="CohortAvg_NonZero"/>
    <n v="8.7826622173774991E-8"/>
    <s v="CohortAvg"/>
    <n v="0"/>
    <s v="Zero"/>
    <n v="-2.3744038594835401E-3"/>
    <s v="CohortAvg"/>
    <n v="-1.389322736558687E-5"/>
    <s v="CohortAvg"/>
    <n v="0"/>
    <n v="-60655.44"/>
    <n v="-14024.73"/>
    <n v="13813.78"/>
    <n v="0"/>
    <n v="0.08"/>
    <n v="-2063.15"/>
    <n v="-12.07"/>
    <n v="808044.65"/>
    <n v="0.28151300000000001"/>
    <n v="0.90980000000000005"/>
    <n v="0.25611200000000001"/>
    <s v="CohortAvg+Seasonal(0.910)"/>
    <n v="206949.66"/>
    <n v="234095.84"/>
    <n v="-27146.19"/>
    <x v="0"/>
    <n v="0"/>
    <n v="0.78500000000000003"/>
    <n v="0.24"/>
    <n v="0"/>
    <n v="0"/>
    <n v="0"/>
    <n v="234095.84"/>
    <n v="868911.12"/>
    <n v="0.26941300000000001"/>
    <n v="-27146.19"/>
    <n v="-27146.11"/>
    <n v="0"/>
    <n v="-27146.11"/>
    <n v="835190.76"/>
    <s v="Forecast"/>
  </r>
  <r>
    <x v="21"/>
    <x v="3"/>
    <s v="202404"/>
    <n v="39"/>
    <n v="237001.13"/>
    <n v="-5.0054515239787087E-2"/>
    <s v="CohortAvg"/>
    <n v="-1.7543799733927432E-2"/>
    <s v="CohortAvg"/>
    <n v="0.19118163932742749"/>
    <s v="CohortAvg"/>
    <n v="6.353079017603637E-2"/>
    <s v="CohortAvg_NonZero"/>
    <n v="8.4501244395973596E-7"/>
    <s v="CohortAvg"/>
    <n v="0"/>
    <s v="Zero"/>
    <n v="-1.0566673073922381E-2"/>
    <s v="CohortAvg"/>
    <n v="-1.193154037180994E-4"/>
    <s v="CohortAvg"/>
    <n v="0"/>
    <n v="-11862.98"/>
    <n v="-4157.8999999999996"/>
    <n v="3775.86"/>
    <n v="0"/>
    <n v="0.2"/>
    <n v="-2504.31"/>
    <n v="-28.28"/>
    <n v="224755.9"/>
    <n v="0.23521500000000001"/>
    <n v="0.90980000000000005"/>
    <n v="0.21399099999999999"/>
    <s v="CohortTrend+Seasonal(0.910)"/>
    <n v="48095.76"/>
    <n v="52240.6"/>
    <n v="-4144.8500000000004"/>
    <x v="0"/>
    <n v="0"/>
    <n v="0.78500000000000003"/>
    <n v="0.24"/>
    <n v="0"/>
    <n v="0"/>
    <n v="0"/>
    <n v="52240.6"/>
    <n v="237001.13"/>
    <n v="0.22042300000000001"/>
    <n v="-4144.8500000000004"/>
    <n v="-4144.6499999999996"/>
    <n v="0"/>
    <n v="-4144.6499999999996"/>
    <n v="228900.55"/>
    <s v="Forecast"/>
  </r>
  <r>
    <x v="21"/>
    <x v="3"/>
    <s v="202405"/>
    <n v="38"/>
    <n v="228079.69"/>
    <n v="-5.2141528881768311E-2"/>
    <s v="CohortAvg"/>
    <n v="-1.7932221021456529E-2"/>
    <s v="CohortAvg"/>
    <n v="0.1997723101559005"/>
    <s v="CohortAvg"/>
    <n v="4.5809395180018149E-2"/>
    <s v="CohortAvg_NonZero"/>
    <n v="3.4317148514039113E-8"/>
    <s v="CohortAvg"/>
    <n v="0"/>
    <s v="Zero"/>
    <n v="-1.203280074853858E-2"/>
    <s v="CohortAvg"/>
    <n v="-1.074192787483022E-4"/>
    <s v="CohortAvg"/>
    <n v="0"/>
    <n v="-11892.42"/>
    <n v="-4089.98"/>
    <n v="3797"/>
    <n v="0"/>
    <n v="0.01"/>
    <n v="-2744.44"/>
    <n v="-24.5"/>
    <n v="215894.29"/>
    <n v="0.186302"/>
    <n v="0.90980000000000005"/>
    <n v="0.169491"/>
    <s v="CohortTrend+Seasonal(0.910)"/>
    <n v="36592.230000000003"/>
    <n v="39922.92"/>
    <n v="-3330.69"/>
    <x v="0"/>
    <n v="0"/>
    <n v="0.78500000000000003"/>
    <n v="0.24"/>
    <n v="0"/>
    <n v="0"/>
    <n v="0"/>
    <n v="39922.92"/>
    <n v="228079.69"/>
    <n v="0.175039"/>
    <n v="-3330.69"/>
    <n v="-3330.68"/>
    <n v="0"/>
    <n v="-3330.68"/>
    <n v="219224.95999999999"/>
    <s v="Forecast"/>
  </r>
  <r>
    <x v="21"/>
    <x v="3"/>
    <s v="202406"/>
    <n v="37"/>
    <n v="310332.79999999999"/>
    <n v="-4.7996831213532341E-2"/>
    <s v="CohortAvg"/>
    <n v="-1.8105564998392529E-2"/>
    <s v="CohortAvg"/>
    <n v="0.2023559108246317"/>
    <s v="CohortAvg"/>
    <n v="3.9551723194019152E-2"/>
    <s v="CohortAvg_NonZero"/>
    <n v="2.4788078386793051E-8"/>
    <s v="CohortAvg"/>
    <n v="0"/>
    <s v="Zero"/>
    <n v="-1.3751064419754089E-2"/>
    <s v="CohortAvg"/>
    <n v="-1.041195455574724E-4"/>
    <s v="CohortAvg"/>
    <n v="0"/>
    <n v="-14894.99"/>
    <n v="-5618.75"/>
    <n v="5233.1400000000003"/>
    <n v="0"/>
    <n v="0.01"/>
    <n v="-4267.41"/>
    <n v="-32.31"/>
    <n v="295052.19"/>
    <n v="0.14577200000000001"/>
    <n v="0.90980000000000005"/>
    <n v="0.13261800000000001"/>
    <s v="CohortTrend+Seasonal(0.910)"/>
    <n v="39129.300000000003"/>
    <n v="42529.120000000003"/>
    <n v="-3399.82"/>
    <x v="0"/>
    <n v="0"/>
    <n v="0.78500000000000003"/>
    <n v="0.24"/>
    <n v="0"/>
    <n v="0"/>
    <n v="0"/>
    <n v="42529.120000000003"/>
    <n v="310332.79999999999"/>
    <n v="0.137044"/>
    <n v="-3399.82"/>
    <n v="-3399.81"/>
    <n v="0"/>
    <n v="-3399.81"/>
    <n v="298452"/>
    <s v="Forecast"/>
  </r>
  <r>
    <x v="21"/>
    <x v="3"/>
    <s v="202407"/>
    <n v="36"/>
    <n v="224649.78"/>
    <n v="-6.7759539703871038E-2"/>
    <s v="CohortAvg"/>
    <n v="-1.895196141433492E-2"/>
    <s v="CohortAvg"/>
    <n v="0.20661496184379141"/>
    <s v="CohortAvg"/>
    <n v="2.7109162006169561E-2"/>
    <s v="CohortAvg_NonZero"/>
    <n v="4.4090688015964421E-6"/>
    <s v="CohortAvg"/>
    <n v="0"/>
    <s v="Zero"/>
    <n v="-1.689508156937489E-2"/>
    <s v="CohortAvg"/>
    <n v="-2.007921588176106E-4"/>
    <s v="CohortAvg"/>
    <n v="0"/>
    <n v="-15222.17"/>
    <n v="-4257.55"/>
    <n v="3868"/>
    <n v="0"/>
    <n v="0.99"/>
    <n v="-3795.48"/>
    <n v="-45.11"/>
    <n v="209037.07"/>
    <n v="0.11684600000000001"/>
    <n v="0.90980000000000005"/>
    <n v="0.10630299999999999"/>
    <s v="CohortTrend+Seasonal(0.910)"/>
    <n v="22221.18"/>
    <n v="24730.18"/>
    <n v="-2509"/>
    <x v="0"/>
    <n v="0"/>
    <n v="0.78500000000000003"/>
    <n v="0.24"/>
    <n v="0"/>
    <n v="0"/>
    <n v="0"/>
    <n v="24730.18"/>
    <n v="224649.78"/>
    <n v="0.110083"/>
    <n v="-2509"/>
    <n v="-2508.0100000000002"/>
    <n v="0"/>
    <n v="-2508.0100000000002"/>
    <n v="211545.08"/>
    <s v="Forecast"/>
  </r>
  <r>
    <x v="21"/>
    <x v="3"/>
    <s v="202408"/>
    <n v="35"/>
    <n v="350790.48"/>
    <n v="-4.9820639909929798E-2"/>
    <s v="CohortAvg"/>
    <n v="-1.9275294231198691E-2"/>
    <s v="CohortAvg"/>
    <n v="0.21378691434914149"/>
    <s v="CohortAvg"/>
    <n v="3.2216694036026838E-2"/>
    <s v="CohortAvg_NonZero"/>
    <n v="4.504971694658306E-8"/>
    <s v="CohortAvg"/>
    <n v="0"/>
    <s v="Zero"/>
    <n v="-1.1381278554576281E-2"/>
    <s v="CohortAvg"/>
    <n v="-9.7650023221477342E-5"/>
    <s v="CohortAvg"/>
    <n v="0"/>
    <n v="-17476.61"/>
    <n v="-6761.59"/>
    <n v="6249.53"/>
    <n v="0"/>
    <n v="0.02"/>
    <n v="-3992.44"/>
    <n v="-34.25"/>
    <n v="332801.8"/>
    <n v="9.8117999999999997E-2"/>
    <n v="0.90980000000000005"/>
    <n v="8.9263999999999996E-2"/>
    <s v="CohortTrend+Seasonal(0.910)"/>
    <n v="29707.27"/>
    <n v="32515.79"/>
    <n v="-2808.52"/>
    <x v="0"/>
    <n v="0"/>
    <n v="0.78500000000000003"/>
    <n v="0.24"/>
    <n v="0"/>
    <n v="0"/>
    <n v="0"/>
    <n v="32515.79"/>
    <n v="350790.48"/>
    <n v="9.2692999999999998E-2"/>
    <n v="-2808.52"/>
    <n v="-2808.5"/>
    <n v="0"/>
    <n v="-2808.5"/>
    <n v="335610.3"/>
    <s v="Forecast"/>
  </r>
  <r>
    <x v="21"/>
    <x v="3"/>
    <s v="202409"/>
    <n v="34"/>
    <n v="189615.15"/>
    <n v="-7.399450678861863E-2"/>
    <s v="CohortAvg"/>
    <n v="-2.018411898339758E-2"/>
    <s v="CohortAvg"/>
    <n v="0.21042050797425671"/>
    <s v="CohortAvg"/>
    <n v="3.5806337122823183E-2"/>
    <s v="CohortAvg_NonZero"/>
    <n v="3.0825675858925528E-8"/>
    <s v="CohortAvg"/>
    <n v="0"/>
    <s v="Zero"/>
    <n v="-1.404510573727193E-2"/>
    <s v="CohortAvg"/>
    <n v="-1.0927726180354919E-4"/>
    <s v="CohortAvg"/>
    <n v="0"/>
    <n v="-14030.48"/>
    <n v="-3827.21"/>
    <n v="3324.91"/>
    <n v="0"/>
    <n v="0.01"/>
    <n v="-2663.16"/>
    <n v="-20.72"/>
    <n v="175082.36"/>
    <n v="7.9184000000000004E-2"/>
    <n v="0.90980000000000005"/>
    <n v="7.2039000000000006E-2"/>
    <s v="CohortTrend+Seasonal(0.910)"/>
    <n v="12612.68"/>
    <n v="14236.74"/>
    <n v="-1624.06"/>
    <x v="0"/>
    <n v="0"/>
    <n v="0.78500000000000003"/>
    <n v="0.24"/>
    <n v="0"/>
    <n v="0"/>
    <n v="0"/>
    <n v="14236.74"/>
    <n v="189615.15"/>
    <n v="7.5081999999999996E-2"/>
    <n v="-1624.06"/>
    <n v="-1624.05"/>
    <n v="0"/>
    <n v="-1624.05"/>
    <n v="176706.41"/>
    <s v="Forecast"/>
  </r>
  <r>
    <x v="21"/>
    <x v="3"/>
    <s v="202410"/>
    <n v="33"/>
    <n v="293720.37"/>
    <n v="-4.8314077115730332E-2"/>
    <s v="CohortAvg"/>
    <n v="-2.000261185662635E-2"/>
    <s v="CohortAvg"/>
    <n v="0.2130897345653732"/>
    <s v="CohortAvg"/>
    <n v="3.7790655847023097E-2"/>
    <s v="CohortAvg_NonZero"/>
    <n v="8.5360008218709756E-7"/>
    <s v="CohortAvg"/>
    <n v="0"/>
    <s v="Zero"/>
    <n v="-1.9356218618892331E-2"/>
    <s v="CohortAvg"/>
    <n v="-1.5642208614720569E-4"/>
    <s v="CohortAvg"/>
    <n v="0"/>
    <n v="-14190.83"/>
    <n v="-5875.17"/>
    <n v="5215.7299999999996"/>
    <n v="0"/>
    <n v="0.25"/>
    <n v="-5685.32"/>
    <n v="-45.94"/>
    <n v="278869.84999999998"/>
    <n v="7.3104000000000002E-2"/>
    <n v="0.90980000000000005"/>
    <n v="6.6507999999999998E-2"/>
    <s v="CohortTrend+Seasonal(0.910)"/>
    <n v="18546.990000000002"/>
    <n v="20372.73"/>
    <n v="-1825.75"/>
    <x v="0"/>
    <n v="0"/>
    <n v="0.78500000000000003"/>
    <n v="0.24"/>
    <n v="0"/>
    <n v="0"/>
    <n v="0"/>
    <n v="20372.73"/>
    <n v="293720.37"/>
    <n v="6.9361000000000006E-2"/>
    <n v="-1825.75"/>
    <n v="-1825.5"/>
    <n v="0"/>
    <n v="-1825.5"/>
    <n v="280695.34999999998"/>
    <s v="Forecast"/>
  </r>
  <r>
    <x v="21"/>
    <x v="3"/>
    <s v="202411"/>
    <n v="32"/>
    <n v="331116.95"/>
    <n v="-5.2229145404366788E-2"/>
    <s v="CohortAvg"/>
    <n v="-2.0127519412692439E-2"/>
    <s v="CohortAvg"/>
    <n v="0.2230090872111487"/>
    <s v="CohortAvg"/>
    <n v="2.8778487376598591E-2"/>
    <s v="CohortAvg_NonZero"/>
    <n v="1.006807607462601E-8"/>
    <s v="CohortAvg"/>
    <n v="0"/>
    <s v="Zero"/>
    <n v="-2.4215901244180622E-2"/>
    <s v="CohortAvg"/>
    <n v="-2.2350064998031399E-4"/>
    <s v="CohortAvg"/>
    <n v="0"/>
    <n v="-17293.96"/>
    <n v="-6664.56"/>
    <n v="6153.51"/>
    <n v="0"/>
    <n v="0"/>
    <n v="-8018.3"/>
    <n v="-74"/>
    <n v="313311.94"/>
    <n v="6.8673999999999999E-2"/>
    <n v="0.90980000000000005"/>
    <n v="6.2477999999999999E-2"/>
    <s v="CohortTrend+Seasonal(0.910)"/>
    <n v="19574.95"/>
    <n v="21530.43"/>
    <n v="-1955.48"/>
    <x v="0"/>
    <n v="0"/>
    <n v="0.78500000000000003"/>
    <n v="0.24"/>
    <n v="0"/>
    <n v="0"/>
    <n v="0"/>
    <n v="21530.43"/>
    <n v="331116.95"/>
    <n v="6.5023999999999998E-2"/>
    <n v="-1955.48"/>
    <n v="-1955.48"/>
    <n v="0"/>
    <n v="-1955.48"/>
    <n v="315267.42"/>
    <s v="Forecast"/>
  </r>
  <r>
    <x v="21"/>
    <x v="3"/>
    <s v="202412"/>
    <n v="31"/>
    <n v="350790.45"/>
    <n v="-5.0386046343894181E-2"/>
    <s v="CohortAvg"/>
    <n v="-2.0615878983756691E-2"/>
    <s v="CohortAvg"/>
    <n v="0.22197740013397241"/>
    <s v="CohortAvg"/>
    <n v="3.3038573516755147E-2"/>
    <s v="CohortAvg_NonZero"/>
    <n v="8.2955024568814725E-7"/>
    <s v="CohortAvg"/>
    <n v="0"/>
    <s v="Zero"/>
    <n v="-4.4491727348661053E-2"/>
    <s v="CohortAvg"/>
    <n v="-4.6144206329938923E-4"/>
    <s v="CohortAvg"/>
    <n v="0"/>
    <n v="-17674.939999999999"/>
    <n v="-7231.85"/>
    <n v="6488.96"/>
    <n v="0"/>
    <n v="0.28999999999999998"/>
    <n v="-15607.27"/>
    <n v="-161.87"/>
    <n v="332372.32"/>
    <n v="7.2425000000000003E-2"/>
    <n v="0.90980000000000005"/>
    <n v="6.5890000000000004E-2"/>
    <s v="CohortTrend+Seasonal(0.910)"/>
    <n v="21899.97"/>
    <n v="23924.3"/>
    <n v="-2024.34"/>
    <x v="0"/>
    <n v="0"/>
    <n v="0.78500000000000003"/>
    <n v="0.24"/>
    <n v="0"/>
    <n v="0"/>
    <n v="0"/>
    <n v="23924.3"/>
    <n v="350790.45"/>
    <n v="6.8200999999999998E-2"/>
    <n v="-2024.34"/>
    <n v="-2024.04"/>
    <n v="0"/>
    <n v="-2024.04"/>
    <n v="334396.37"/>
    <s v="Forecast"/>
  </r>
  <r>
    <x v="21"/>
    <x v="3"/>
    <s v="202501"/>
    <n v="30"/>
    <n v="621465.46"/>
    <n v="-5.260084971060177E-2"/>
    <s v="CohortAvg"/>
    <n v="-2.0835424978244432E-2"/>
    <s v="CohortAvg"/>
    <n v="0.22494679030171549"/>
    <s v="CohortAvg"/>
    <n v="1.4171141672269979E-2"/>
    <s v="CohortAvg_NonZero"/>
    <n v="1.5185678792280461E-5"/>
    <s v="CohortAvg"/>
    <n v="0"/>
    <s v="Zero"/>
    <n v="-4.3285311037855947E-2"/>
    <s v="CohortAvg"/>
    <n v="-4.6025804292656531E-4"/>
    <s v="CohortAvg"/>
    <n v="0"/>
    <n v="-32689.61"/>
    <n v="-12948.5"/>
    <n v="11649.72"/>
    <n v="0"/>
    <n v="9.44"/>
    <n v="-26900.33"/>
    <n v="-286.02999999999997"/>
    <n v="587467.64"/>
    <n v="7.7553999999999998E-2"/>
    <n v="0.90980000000000005"/>
    <n v="7.0555999999999994E-2"/>
    <s v="CohortTrend+Seasonal(0.910)"/>
    <n v="41449.42"/>
    <n v="45100.61"/>
    <n v="-3651.19"/>
    <x v="0"/>
    <n v="0"/>
    <n v="0.78500000000000003"/>
    <n v="0.24"/>
    <n v="0"/>
    <n v="0"/>
    <n v="0"/>
    <n v="45100.61"/>
    <n v="621465.46"/>
    <n v="7.2570999999999997E-2"/>
    <n v="-3651.19"/>
    <n v="-3641.76"/>
    <n v="0"/>
    <n v="-3641.76"/>
    <n v="591109.39"/>
    <s v="Forecast"/>
  </r>
  <r>
    <x v="21"/>
    <x v="3"/>
    <s v="202502"/>
    <n v="29"/>
    <n v="659163.61"/>
    <n v="-5.3381994056697003E-2"/>
    <s v="CohortAvg"/>
    <n v="-1.9137934835073391E-2"/>
    <s v="CohortAvg"/>
    <n v="0.22666528751226089"/>
    <s v="CohortAvg"/>
    <n v="1.953576370212011E-2"/>
    <s v="CohortAvg_NonZero"/>
    <n v="3.9048302933336019E-4"/>
    <s v="CohortAvg"/>
    <n v="0"/>
    <s v="Zero"/>
    <n v="-9.2278743087168269E-2"/>
    <s v="CohortAvg"/>
    <n v="-1.1999176132811301E-3"/>
    <s v="CohortAvg"/>
    <n v="0"/>
    <n v="-35187.47"/>
    <n v="-12615.03"/>
    <n v="12450.79"/>
    <n v="0"/>
    <n v="257.39"/>
    <n v="-60826.79"/>
    <n v="-790.94"/>
    <n v="623554.52"/>
    <n v="7.6515E-2"/>
    <n v="0.90980000000000005"/>
    <n v="6.9611000000000006E-2"/>
    <s v="CohortTrend+Seasonal(0.910)"/>
    <n v="43406.23"/>
    <n v="47075.6"/>
    <n v="-3669.37"/>
    <x v="0"/>
    <n v="0"/>
    <n v="0.78500000000000003"/>
    <n v="0.24"/>
    <n v="0"/>
    <n v="0"/>
    <n v="0"/>
    <n v="47075.6"/>
    <n v="659163.61"/>
    <n v="7.1416999999999994E-2"/>
    <n v="-3669.37"/>
    <n v="-3411.98"/>
    <n v="0"/>
    <n v="-3411.98"/>
    <n v="626966.49"/>
    <s v="Forecast"/>
  </r>
  <r>
    <x v="21"/>
    <x v="3"/>
    <s v="202503"/>
    <n v="28"/>
    <n v="935669.32"/>
    <n v="-4.5515745724715083E-2"/>
    <s v="CohortAvg"/>
    <n v="-2.1959580144443581E-2"/>
    <s v="CohortAvg"/>
    <n v="0.2547883374262585"/>
    <s v="CohortAvg"/>
    <n v="4.6176837495393924E-3"/>
    <s v="CohortAvg_NonZero"/>
    <n v="3.4556127735137251E-9"/>
    <s v="CohortAvg"/>
    <n v="0"/>
    <s v="Zero"/>
    <n v="0"/>
    <s v="CohortAvg"/>
    <n v="0"/>
    <s v="CohortAvg"/>
    <n v="0"/>
    <n v="-42587.69"/>
    <n v="-20546.91"/>
    <n v="19866.47"/>
    <n v="0"/>
    <n v="0"/>
    <n v="0"/>
    <n v="0"/>
    <n v="892401.2"/>
    <n v="8.7898000000000004E-2"/>
    <n v="0.90980000000000005"/>
    <n v="7.9966999999999996E-2"/>
    <s v="CohortTrend+Seasonal(0.910)"/>
    <n v="71362.789999999994"/>
    <n v="76054.509999999995"/>
    <n v="-4691.72"/>
    <x v="0"/>
    <n v="0"/>
    <n v="0.78500000000000003"/>
    <n v="0.24"/>
    <n v="0"/>
    <n v="0"/>
    <n v="0"/>
    <n v="76054.509999999995"/>
    <n v="935669.32"/>
    <n v="8.1283999999999995E-2"/>
    <n v="-4691.72"/>
    <n v="-4691.72"/>
    <n v="0"/>
    <n v="-4691.72"/>
    <n v="897092.91"/>
    <s v="Forecast"/>
  </r>
  <r>
    <x v="21"/>
    <x v="3"/>
    <s v="202504"/>
    <n v="27"/>
    <n v="693037.06"/>
    <n v="-5.5777853032135997E-2"/>
    <s v="CohortAvg"/>
    <n v="-2.2022600463230329E-2"/>
    <s v="CohortAvg"/>
    <n v="0.25068763691962109"/>
    <s v="CohortAvg"/>
    <n v="2.1791689037598898E-3"/>
    <s v="CohortAvg_NonZero"/>
    <n v="2.7252986115101678E-9"/>
    <s v="CohortAvg"/>
    <n v="0"/>
    <s v="Zero"/>
    <n v="0"/>
    <s v="CohortAvg"/>
    <n v="0"/>
    <s v="CohortAvg"/>
    <n v="0"/>
    <n v="-38656.120000000003"/>
    <n v="-15262.48"/>
    <n v="14477.99"/>
    <n v="0"/>
    <n v="0"/>
    <n v="0"/>
    <n v="0"/>
    <n v="653596.43999999994"/>
    <n v="8.7735999999999995E-2"/>
    <n v="0.90980000000000005"/>
    <n v="7.9819000000000001E-2"/>
    <s v="CohortTrend+Seasonal(0.910)"/>
    <n v="52169.62"/>
    <n v="56051.47"/>
    <n v="-3881.84"/>
    <x v="0"/>
    <n v="0"/>
    <n v="0.78500000000000003"/>
    <n v="0.24"/>
    <n v="0"/>
    <n v="0"/>
    <n v="0"/>
    <n v="56051.47"/>
    <n v="693037.06"/>
    <n v="8.0878000000000005E-2"/>
    <n v="-3881.84"/>
    <n v="-3881.84"/>
    <n v="0"/>
    <n v="-3881.84"/>
    <n v="657478.28"/>
    <s v="Forecast"/>
  </r>
  <r>
    <x v="21"/>
    <x v="3"/>
    <s v="202505"/>
    <n v="26"/>
    <n v="928287.14"/>
    <n v="-4.9443298958178727E-2"/>
    <s v="CohortAvg"/>
    <n v="-2.153728644548656E-2"/>
    <s v="CohortAvg"/>
    <n v="0.24373045222109979"/>
    <s v="CohortAvg"/>
    <n v="0"/>
    <s v="CohortAvg_NoData_ERROR"/>
    <n v="0"/>
    <s v="CohortAvg"/>
    <n v="0"/>
    <s v="Zero"/>
    <n v="0"/>
    <s v="CohortAvg"/>
    <n v="0"/>
    <s v="CohortAvg"/>
    <n v="0"/>
    <n v="-45897.58"/>
    <n v="-19992.79"/>
    <n v="18854.32"/>
    <n v="0"/>
    <n v="0"/>
    <n v="0"/>
    <n v="0"/>
    <n v="881251.1"/>
    <n v="9.4270000000000007E-2"/>
    <n v="0.90980000000000005"/>
    <n v="8.5763000000000006E-2"/>
    <s v="CohortTrend+Seasonal(0.910)"/>
    <n v="75579.02"/>
    <n v="80117.350000000006"/>
    <n v="-4538.33"/>
    <x v="0"/>
    <n v="0"/>
    <n v="0.78500000000000003"/>
    <n v="0.24"/>
    <n v="0"/>
    <n v="0"/>
    <n v="0"/>
    <n v="80117.350000000006"/>
    <n v="928287.14"/>
    <n v="8.6306999999999995E-2"/>
    <n v="-4538.33"/>
    <n v="-4538.33"/>
    <n v="0"/>
    <n v="-4538.33"/>
    <n v="885789.43"/>
    <s v="Forecast"/>
  </r>
  <r>
    <x v="21"/>
    <x v="3"/>
    <s v="202506"/>
    <n v="25"/>
    <n v="995942.49"/>
    <n v="-5.3727766788699942E-2"/>
    <s v="CohortAvg"/>
    <n v="-2.2636005557344598E-2"/>
    <s v="CohortAvg"/>
    <n v="0.25622691115448187"/>
    <s v="CohortAvg"/>
    <n v="0"/>
    <s v="CohortAvg_NoData_ERROR"/>
    <n v="0"/>
    <s v="CohortAvg"/>
    <n v="0"/>
    <s v="Zero"/>
    <n v="0"/>
    <s v="CohortAvg"/>
    <n v="0"/>
    <s v="CohortAvg"/>
    <n v="0"/>
    <n v="-53509.77"/>
    <n v="-22544.16"/>
    <n v="21265.61"/>
    <n v="0"/>
    <n v="0"/>
    <n v="0"/>
    <n v="0"/>
    <n v="941154.17"/>
    <n v="9.3978000000000006E-2"/>
    <n v="0.90980000000000005"/>
    <n v="8.5498000000000005E-2"/>
    <s v="CohortTrend+Seasonal(0.910)"/>
    <n v="80467.27"/>
    <n v="85334.92"/>
    <n v="-4867.66"/>
    <x v="0"/>
    <n v="0"/>
    <n v="0.78500000000000003"/>
    <n v="0.24"/>
    <n v="0"/>
    <n v="0"/>
    <n v="0"/>
    <n v="85334.92"/>
    <n v="995942.49"/>
    <n v="8.5682999999999995E-2"/>
    <n v="-4867.66"/>
    <n v="-4867.66"/>
    <n v="0"/>
    <n v="-4867.66"/>
    <n v="946021.83"/>
    <s v="Forecast"/>
  </r>
  <r>
    <x v="21"/>
    <x v="3"/>
    <s v="202507"/>
    <n v="24"/>
    <n v="1500126.82"/>
    <n v="-3.9722583968517557E-2"/>
    <s v="CohortAvg"/>
    <n v="-2.3853791545528719E-2"/>
    <s v="CohortAvg"/>
    <n v="0.25810372420995242"/>
    <s v="CohortAvg"/>
    <n v="0"/>
    <s v="CohortAvg_NoData_ERROR"/>
    <n v="0"/>
    <s v="CohortAvg"/>
    <n v="0"/>
    <s v="Zero"/>
    <n v="0"/>
    <s v="CohortAvg"/>
    <n v="0"/>
    <s v="CohortAvg"/>
    <n v="0"/>
    <n v="-59588.91"/>
    <n v="-35783.71"/>
    <n v="32265.69"/>
    <n v="0"/>
    <n v="0"/>
    <n v="0"/>
    <n v="0"/>
    <n v="1437019.89"/>
    <n v="8.9480000000000004E-2"/>
    <n v="0.90980000000000005"/>
    <n v="8.1406000000000006E-2"/>
    <s v="CohortTrend+Seasonal(0.910)"/>
    <n v="116981.89"/>
    <n v="122072.78"/>
    <n v="-5090.8900000000003"/>
    <x v="0"/>
    <n v="0"/>
    <n v="0.78500000000000003"/>
    <n v="0.24"/>
    <n v="0"/>
    <n v="0"/>
    <n v="0"/>
    <n v="122072.78"/>
    <n v="1500126.82"/>
    <n v="8.1375000000000003E-2"/>
    <n v="-5090.8900000000003"/>
    <n v="-5090.8900000000003"/>
    <n v="0"/>
    <n v="-5090.8900000000003"/>
    <n v="1442110.78"/>
    <s v="Forecast"/>
  </r>
  <r>
    <x v="21"/>
    <x v="3"/>
    <s v="202508"/>
    <n v="23"/>
    <n v="1765580.92"/>
    <n v="-3.9843781394257483E-2"/>
    <s v="CohortAvg"/>
    <n v="-1.8272497871289411E-2"/>
    <s v="CohortAvg"/>
    <n v="0.24918265450436489"/>
    <s v="CohortAvg"/>
    <n v="0"/>
    <s v="CohortAvg_NoData_ERROR"/>
    <n v="0"/>
    <s v="CohortAvg"/>
    <n v="0"/>
    <s v="Zero"/>
    <n v="0"/>
    <s v="CohortAvg"/>
    <n v="0"/>
    <s v="CohortAvg"/>
    <n v="0"/>
    <n v="-70347.42"/>
    <n v="-32261.57"/>
    <n v="36662.68"/>
    <n v="0"/>
    <n v="0"/>
    <n v="0"/>
    <n v="0"/>
    <n v="1699634.61"/>
    <n v="8.4981000000000001E-2"/>
    <n v="0.90980000000000005"/>
    <n v="7.7313000000000007E-2"/>
    <s v="CohortTrend+Seasonal(0.910)"/>
    <n v="131404.35"/>
    <n v="136068.67000000001"/>
    <n v="-4664.32"/>
    <x v="0"/>
    <n v="0"/>
    <n v="0.78500000000000003"/>
    <n v="0.24"/>
    <n v="0"/>
    <n v="0"/>
    <n v="0"/>
    <n v="136068.67000000001"/>
    <n v="1765580.92"/>
    <n v="7.7066999999999997E-2"/>
    <n v="-4664.32"/>
    <n v="-4664.32"/>
    <n v="0"/>
    <n v="-4664.32"/>
    <n v="1704298.93"/>
    <s v="Forecast"/>
  </r>
  <r>
    <x v="21"/>
    <x v="3"/>
    <s v="202509"/>
    <n v="22"/>
    <n v="47874.37"/>
    <n v="-0.25613439413981359"/>
    <s v="CohortAvg"/>
    <n v="-3.747244429337683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2262.27"/>
    <n v="-1793.97"/>
    <n v="1994.77"/>
    <n v="0"/>
    <n v="0"/>
    <n v="0"/>
    <n v="0"/>
    <n v="35812.89"/>
    <n v="8.0482999999999999E-2"/>
    <n v="0.90980000000000005"/>
    <n v="7.3220999999999994E-2"/>
    <s v="CohortTrend+Seasonal(0.910)"/>
    <n v="2622.24"/>
    <n v="3483.33"/>
    <n v="-861.08"/>
    <x v="0"/>
    <n v="0"/>
    <n v="0.78500000000000003"/>
    <n v="0.24"/>
    <n v="0"/>
    <n v="0"/>
    <n v="0"/>
    <n v="3483.33"/>
    <n v="47874.37"/>
    <n v="7.2760000000000005E-2"/>
    <n v="-861.08"/>
    <n v="-861.08"/>
    <n v="0"/>
    <n v="-861.08"/>
    <n v="36673.97"/>
    <s v="Forecast"/>
  </r>
  <r>
    <x v="21"/>
    <x v="4"/>
    <s v="202101"/>
    <n v="76"/>
    <n v="114971.33"/>
    <n v="-0.1374840498788546"/>
    <s v="CohortAvg"/>
    <n v="-1.153486918019386E-2"/>
    <s v="CohortAvg"/>
    <n v="0.1319516544919524"/>
    <s v="CohortAvg"/>
    <n v="4.6059931333437241E-2"/>
    <s v="CohortAvg_NonZero"/>
    <n v="0"/>
    <s v="CohortAvg"/>
    <n v="0"/>
    <s v="Zero"/>
    <n v="0"/>
    <s v="CohortAvg"/>
    <n v="0"/>
    <s v="CohortAvg"/>
    <n v="0"/>
    <n v="-15806.72"/>
    <n v="-1326.18"/>
    <n v="1264.22"/>
    <n v="0"/>
    <n v="0"/>
    <n v="0"/>
    <n v="0"/>
    <n v="99102.65"/>
    <n v="0.17010800000000001"/>
    <n v="0.97840000000000005"/>
    <n v="0.166434"/>
    <s v="CohortAvg+Seasonal(0.978)"/>
    <n v="16494.02"/>
    <n v="19968.55"/>
    <n v="-3474.53"/>
    <x v="0"/>
    <n v="0"/>
    <n v="0.78500000000000003"/>
    <n v="0.24"/>
    <n v="0"/>
    <n v="0"/>
    <n v="0"/>
    <n v="19968.55"/>
    <n v="114971.33"/>
    <n v="0.173683"/>
    <n v="-3474.53"/>
    <n v="-3474.53"/>
    <n v="0"/>
    <n v="-3474.53"/>
    <n v="102577.18"/>
    <s v="Forecast"/>
  </r>
  <r>
    <x v="21"/>
    <x v="4"/>
    <s v="202201"/>
    <n v="58"/>
    <n v="10456.049999999999"/>
    <n v="-9.8944184639596242E-2"/>
    <s v="CohortAvg"/>
    <n v="-9.572792269818069E-3"/>
    <s v="CohortAvg"/>
    <n v="9.9587286992880761E-2"/>
    <s v="CohortAvg"/>
    <n v="3.631446817669598E-2"/>
    <s v="CohortAvg_NonZero"/>
    <n v="8.643993229487257E-11"/>
    <s v="CohortAvg"/>
    <n v="0"/>
    <s v="Zero"/>
    <n v="0"/>
    <s v="CohortAvg"/>
    <n v="0"/>
    <s v="CohortAvg"/>
    <n v="0"/>
    <n v="-1034.57"/>
    <n v="-100.09"/>
    <n v="86.77"/>
    <n v="0"/>
    <n v="0"/>
    <n v="0"/>
    <n v="0"/>
    <n v="9408.17"/>
    <n v="3.9071000000000002E-2"/>
    <n v="0.97840000000000005"/>
    <n v="3.8226999999999997E-2"/>
    <s v="CohortAvg+Seasonal(0.978)"/>
    <n v="359.65"/>
    <n v="417.05"/>
    <n v="-57.4"/>
    <x v="0"/>
    <n v="0"/>
    <n v="0.78500000000000003"/>
    <n v="0.24"/>
    <n v="0"/>
    <n v="0"/>
    <n v="0"/>
    <n v="417.05"/>
    <n v="10456.049999999999"/>
    <n v="3.9885999999999998E-2"/>
    <n v="-57.4"/>
    <n v="-57.4"/>
    <n v="0"/>
    <n v="-57.4"/>
    <n v="9465.57"/>
    <s v="Forecast"/>
  </r>
  <r>
    <x v="21"/>
    <x v="4"/>
    <s v="202405"/>
    <n v="38"/>
    <n v="3370.43"/>
    <n v="-1.6752745895611411E-2"/>
    <s v="CohortAvg"/>
    <n v="-1.046065579155332E-2"/>
    <s v="CohortAvg"/>
    <n v="0.1215718186711908"/>
    <s v="CohortAvg"/>
    <n v="0"/>
    <s v="CohortAvg_NoData_ERROR"/>
    <n v="0"/>
    <s v="CohortAvg"/>
    <n v="0"/>
    <s v="Zero"/>
    <n v="0"/>
    <s v="CohortAvg"/>
    <n v="0"/>
    <s v="CohortAvg"/>
    <n v="0"/>
    <n v="-56.46"/>
    <n v="-35.26"/>
    <n v="34.15"/>
    <n v="0"/>
    <n v="0"/>
    <n v="0"/>
    <n v="0"/>
    <n v="3312.86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3370.43"/>
    <n v="0"/>
    <n v="0"/>
    <n v="0"/>
    <n v="0"/>
    <n v="0"/>
    <n v="3312.86"/>
    <s v="Forecast"/>
  </r>
  <r>
    <x v="21"/>
    <x v="4"/>
    <s v="202407"/>
    <n v="36"/>
    <n v="977.99"/>
    <n v="-5.3629363311673818E-2"/>
    <s v="CohortAvg"/>
    <n v="-1.0497374041094231E-2"/>
    <s v="CohortAvg"/>
    <n v="0.1204575236011086"/>
    <s v="CohortAvg"/>
    <n v="0"/>
    <s v="CohortAvg_NoData_ERROR"/>
    <n v="0"/>
    <s v="CohortAvg"/>
    <n v="0"/>
    <s v="Zero"/>
    <n v="0"/>
    <s v="CohortAvg"/>
    <n v="0"/>
    <s v="CohortAvg"/>
    <n v="0"/>
    <n v="-52.45"/>
    <n v="-10.27"/>
    <n v="9.82"/>
    <n v="0"/>
    <n v="0"/>
    <n v="0"/>
    <n v="0"/>
    <n v="925.1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977.99"/>
    <n v="0"/>
    <n v="0"/>
    <n v="0"/>
    <n v="0"/>
    <n v="0"/>
    <n v="925.1"/>
    <s v="Forecast"/>
  </r>
  <r>
    <x v="21"/>
    <x v="4"/>
    <s v="202409"/>
    <n v="34"/>
    <n v="4016.95"/>
    <n v="-4.3485727194442159E-2"/>
    <s v="CohortAvg"/>
    <n v="-1.046702513565718E-2"/>
    <s v="CohortAvg"/>
    <n v="0.1208174982050827"/>
    <s v="CohortAvg"/>
    <n v="0"/>
    <s v="CohortAvg_NoData_ERROR"/>
    <n v="0"/>
    <s v="CohortAvg"/>
    <n v="0"/>
    <s v="Zero"/>
    <n v="0"/>
    <s v="CohortAvg"/>
    <n v="0"/>
    <s v="CohortAvg"/>
    <n v="0"/>
    <n v="-174.68"/>
    <n v="-42.05"/>
    <n v="40.44"/>
    <n v="0"/>
    <n v="0"/>
    <n v="0"/>
    <n v="0"/>
    <n v="3840.67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4016.95"/>
    <n v="0"/>
    <n v="0"/>
    <n v="0"/>
    <n v="0"/>
    <n v="0"/>
    <n v="3840.67"/>
    <s v="Forecast"/>
  </r>
  <r>
    <x v="21"/>
    <x v="4"/>
    <s v="202504"/>
    <n v="27"/>
    <n v="3543.42"/>
    <n v="-1.2983159790076641E-2"/>
    <s v="CohortAvg"/>
    <n v="-1.0430270825175411E-2"/>
    <s v="CohortAvg"/>
    <n v="0.1256093757592732"/>
    <s v="CohortAvg"/>
    <n v="0"/>
    <s v="CohortAvg_NoData_ERROR"/>
    <n v="0"/>
    <s v="CohortAvg"/>
    <n v="0"/>
    <s v="Zero"/>
    <n v="0"/>
    <s v="CohortAvg"/>
    <n v="0"/>
    <s v="CohortAvg"/>
    <n v="0"/>
    <n v="-46"/>
    <n v="-36.96"/>
    <n v="37.090000000000003"/>
    <n v="0"/>
    <n v="0"/>
    <n v="0"/>
    <n v="0"/>
    <n v="3497.55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3543.42"/>
    <n v="0"/>
    <n v="0"/>
    <n v="0"/>
    <n v="0"/>
    <n v="0"/>
    <n v="3497.55"/>
    <s v="Forecast"/>
  </r>
  <r>
    <x v="21"/>
    <x v="4"/>
    <s v="202507"/>
    <n v="24"/>
    <n v="8039.19"/>
    <n v="-1.1674593458995771E-2"/>
    <s v="CohortAvg"/>
    <n v="-1.1540229847941451E-2"/>
    <s v="CohortAvg"/>
    <n v="0.13731961049751379"/>
    <s v="CohortAvg"/>
    <n v="0"/>
    <s v="CohortAvg_NoData_ERROR"/>
    <n v="0"/>
    <s v="CohortAvg"/>
    <n v="0"/>
    <s v="Zero"/>
    <n v="0"/>
    <s v="CohortAvg"/>
    <n v="0"/>
    <s v="CohortAvg"/>
    <n v="0"/>
    <n v="-93.85"/>
    <n v="-92.77"/>
    <n v="91.99"/>
    <n v="0"/>
    <n v="0"/>
    <n v="0"/>
    <n v="0"/>
    <n v="7944.56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8039.19"/>
    <n v="0"/>
    <n v="0"/>
    <n v="0"/>
    <n v="0"/>
    <n v="0"/>
    <n v="7944.56"/>
    <s v="Forecast"/>
  </r>
  <r>
    <x v="21"/>
    <x v="4"/>
    <s v="202508"/>
    <n v="23"/>
    <n v="29981.06"/>
    <n v="-7.6106063009639584E-3"/>
    <s v="CohortAvg"/>
    <n v="-3.9170724089934951E-3"/>
    <s v="CohortAvg"/>
    <n v="0.13655679689519351"/>
    <s v="CohortAvg"/>
    <n v="0"/>
    <s v="CohortAvg_NoData_ERROR"/>
    <n v="0"/>
    <s v="CohortAvg"/>
    <n v="0"/>
    <s v="Zero"/>
    <n v="0"/>
    <s v="CohortAvg"/>
    <n v="0"/>
    <s v="CohortAvg"/>
    <n v="0"/>
    <n v="-228.17"/>
    <n v="-117.44"/>
    <n v="341.18"/>
    <n v="0"/>
    <n v="0"/>
    <n v="0"/>
    <n v="0"/>
    <n v="29976.63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29981.06"/>
    <n v="0"/>
    <n v="0"/>
    <n v="0"/>
    <n v="0"/>
    <n v="0"/>
    <n v="29976.63"/>
    <s v="Forecast"/>
  </r>
  <r>
    <x v="21"/>
    <x v="4"/>
    <s v="202509"/>
    <n v="22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7840000000000005"/>
    <n v="0"/>
    <s v="Manual+Seasonal(0.978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2"/>
    <x v="0"/>
    <s v="201912"/>
    <n v="92"/>
    <n v="288553.65999999997"/>
    <n v="-5.1602477905160211E-4"/>
    <s v="CohortAvg"/>
    <n v="1.4773759370381341E-3"/>
    <s v="CohortAvg"/>
    <n v="0"/>
    <s v="CohortAvg"/>
    <n v="2.8918651416927361E-2"/>
    <s v="CohortAvg_NonZero"/>
    <n v="1.3063370528637629E-6"/>
    <s v="CohortAvg"/>
    <n v="0"/>
    <s v="Zero"/>
    <n v="0"/>
    <s v="CohortAvg"/>
    <n v="0"/>
    <s v="CohortAvg"/>
    <n v="0"/>
    <n v="-148.9"/>
    <n v="426.3"/>
    <n v="0"/>
    <n v="0"/>
    <n v="0.38"/>
    <n v="0"/>
    <n v="0"/>
    <n v="287978.08"/>
    <n v="0.99670300000000001"/>
    <n v="0.9657"/>
    <n v="0.962476"/>
    <s v="CohortAvg+Seasonal(0.966)"/>
    <n v="277171.96999999997"/>
    <n v="258425.27"/>
    <n v="18746.71"/>
    <x v="0"/>
    <n v="0"/>
    <n v="0.78500000000000003"/>
    <n v="0.24"/>
    <n v="0"/>
    <n v="0"/>
    <n v="0"/>
    <n v="258425.27"/>
    <n v="288553.65999999997"/>
    <n v="0.89558800000000005"/>
    <n v="18746.71"/>
    <n v="18747.080000000002"/>
    <n v="0"/>
    <n v="18747.080000000002"/>
    <n v="269230.99"/>
    <s v="Forecast"/>
  </r>
  <r>
    <x v="22"/>
    <x v="0"/>
    <s v="202001"/>
    <n v="91"/>
    <n v="37653"/>
    <n v="3.8577262112224862E-2"/>
    <s v="CohortAvg"/>
    <n v="1.6553458467413319E-3"/>
    <s v="CohortAvg"/>
    <n v="0"/>
    <s v="CohortAvg"/>
    <n v="1.3081087031718079E-2"/>
    <s v="CohortAvg_NonZero"/>
    <n v="0"/>
    <s v="CohortAvg"/>
    <n v="0"/>
    <s v="Zero"/>
    <n v="0"/>
    <s v="CohortAvg"/>
    <n v="0"/>
    <s v="CohortAvg"/>
    <n v="0"/>
    <n v="1452.55"/>
    <n v="62.33"/>
    <n v="0"/>
    <n v="0"/>
    <n v="0"/>
    <n v="0"/>
    <n v="0"/>
    <n v="36138.120000000003"/>
    <n v="0.998394"/>
    <n v="0.9657"/>
    <n v="0.96410899999999999"/>
    <s v="CohortAvg+Seasonal(0.966)"/>
    <n v="34841.08"/>
    <n v="33778.83"/>
    <n v="1062.25"/>
    <x v="0"/>
    <n v="0"/>
    <n v="0.78500000000000003"/>
    <n v="0.24"/>
    <n v="0"/>
    <n v="0"/>
    <n v="0"/>
    <n v="33778.83"/>
    <n v="37653"/>
    <n v="0.89710900000000005"/>
    <n v="1062.25"/>
    <n v="1062.25"/>
    <n v="0"/>
    <n v="1062.25"/>
    <n v="35075.870000000003"/>
    <s v="Forecast"/>
  </r>
  <r>
    <x v="22"/>
    <x v="0"/>
    <s v="202101"/>
    <n v="79"/>
    <n v="641168.66"/>
    <n v="-5.275241541793675E-3"/>
    <s v="CohortAvg"/>
    <n v="-2.0588161331419148E-3"/>
    <s v="CohortAvg"/>
    <n v="0"/>
    <s v="CohortAvg"/>
    <n v="1.5411235592113191E-2"/>
    <s v="CohortAvg_NonZero"/>
    <n v="1.0786798241516431E-6"/>
    <s v="CohortAvg"/>
    <n v="0"/>
    <s v="Zero"/>
    <n v="0"/>
    <s v="CohortAvg"/>
    <n v="0"/>
    <s v="CohortAvg"/>
    <n v="0"/>
    <n v="-3382.32"/>
    <n v="-1320.05"/>
    <n v="0"/>
    <n v="0"/>
    <n v="0.69"/>
    <n v="0"/>
    <n v="0"/>
    <n v="636465.6"/>
    <n v="0.94487200000000005"/>
    <n v="0.9657"/>
    <n v="0.91242500000000004"/>
    <s v="CohortAvg+Seasonal(0.966)"/>
    <n v="580727"/>
    <n v="544373.09"/>
    <n v="36353.910000000003"/>
    <x v="0"/>
    <n v="0"/>
    <n v="0.78500000000000003"/>
    <n v="0.24"/>
    <n v="0"/>
    <n v="0"/>
    <n v="0"/>
    <n v="544373.09"/>
    <n v="641168.66"/>
    <n v="0.84903300000000004"/>
    <n v="36353.910000000003"/>
    <n v="36354.6"/>
    <n v="0"/>
    <n v="36354.6"/>
    <n v="600111"/>
    <s v="Forecast"/>
  </r>
  <r>
    <x v="22"/>
    <x v="0"/>
    <s v="202201"/>
    <n v="59"/>
    <n v="52543.48"/>
    <n v="-0.1152118080773413"/>
    <s v="CohortAvg"/>
    <n v="-5.9090628532946334E-3"/>
    <s v="CohortAvg"/>
    <n v="2.4952006167203E-2"/>
    <s v="CohortAvg"/>
    <n v="4.2730323080481247E-2"/>
    <s v="CohortAvg_NonZero"/>
    <n v="4.5503496594250141E-3"/>
    <s v="CohortAvg"/>
    <n v="0"/>
    <s v="Zero"/>
    <n v="-1.6307097479085981E-6"/>
    <s v="CohortAvg"/>
    <n v="-3.5926847462722223E-8"/>
    <s v="CohortAvg"/>
    <n v="0"/>
    <n v="-6053.63"/>
    <n v="-310.48"/>
    <n v="109.26"/>
    <n v="0"/>
    <n v="239.09"/>
    <n v="-0.09"/>
    <n v="0"/>
    <n v="46049.53"/>
    <n v="0.58490799999999998"/>
    <n v="0.9657"/>
    <n v="0.56482299999999996"/>
    <s v="CohortAvg+Seasonal(0.966)"/>
    <n v="26009.81"/>
    <n v="27614.18"/>
    <n v="-1604.37"/>
    <x v="0"/>
    <n v="0"/>
    <n v="0.78500000000000003"/>
    <n v="0.24"/>
    <n v="0"/>
    <n v="0"/>
    <n v="0"/>
    <n v="27614.18"/>
    <n v="52543.48"/>
    <n v="0.52554900000000004"/>
    <n v="-1604.37"/>
    <n v="-1365.27"/>
    <n v="0"/>
    <n v="-1365.27"/>
    <n v="47414.8"/>
    <s v="Forecast"/>
  </r>
  <r>
    <x v="22"/>
    <x v="0"/>
    <s v="202301"/>
    <n v="50"/>
    <n v="884047.22"/>
    <n v="-6.9356111866170328E-2"/>
    <s v="CohortAvg"/>
    <n v="-1.6834711278943561E-2"/>
    <s v="CohortAvg"/>
    <n v="0.20595742719459961"/>
    <s v="CohortAvg"/>
    <n v="6.6426657474532164E-2"/>
    <s v="CohortAvg_NonZero"/>
    <n v="1.1048293102957991E-4"/>
    <s v="CohortAvg"/>
    <n v="0"/>
    <s v="Zero"/>
    <n v="-5.1694892972353112E-3"/>
    <s v="CohortAvg"/>
    <n v="-7.0848514158580617E-5"/>
    <s v="CohortAvg"/>
    <n v="0"/>
    <n v="-61314.080000000002"/>
    <n v="-14882.68"/>
    <n v="15173.01"/>
    <n v="0"/>
    <n v="97.67"/>
    <n v="-4570.07"/>
    <n v="-62.63"/>
    <n v="822925.8"/>
    <n v="0.607711"/>
    <n v="0.9657"/>
    <n v="0.58684199999999997"/>
    <s v="CohortAvg+Seasonal(0.966)"/>
    <n v="482927.54"/>
    <n v="482916.25"/>
    <n v="11.3"/>
    <x v="0"/>
    <n v="0"/>
    <n v="0.78500000000000003"/>
    <n v="0.24"/>
    <n v="0"/>
    <n v="0"/>
    <n v="0"/>
    <n v="482916.25"/>
    <n v="884047.22"/>
    <n v="0.54625599999999996"/>
    <n v="11.3"/>
    <n v="108.97"/>
    <n v="0"/>
    <n v="108.97"/>
    <n v="822816.83"/>
    <s v="Forecast"/>
  </r>
  <r>
    <x v="22"/>
    <x v="0"/>
    <s v="202404"/>
    <n v="40"/>
    <n v="112041.8"/>
    <n v="-7.2378660648708348E-2"/>
    <s v="CohortAvg"/>
    <n v="-2.407272154153935E-2"/>
    <s v="CohortAvg"/>
    <n v="0.25292411885057731"/>
    <s v="CohortAvg"/>
    <n v="0.109691723404945"/>
    <s v="CohortAvg_NonZero"/>
    <n v="9.4674340288305165E-5"/>
    <s v="CohortAvg"/>
    <n v="0"/>
    <s v="Zero"/>
    <n v="-7.6157324850149484E-3"/>
    <s v="CohortAvg"/>
    <n v="-1.619950288593078E-4"/>
    <s v="CohortAvg"/>
    <n v="0"/>
    <n v="-8109.44"/>
    <n v="-2697.15"/>
    <n v="2361.5100000000002"/>
    <n v="0"/>
    <n v="10.61"/>
    <n v="-853.28"/>
    <n v="-18.149999999999999"/>
    <n v="103586.11"/>
    <n v="0.47562199999999999"/>
    <n v="0.9657"/>
    <n v="0.459289"/>
    <s v="CohortAvg+Seasonal(0.966)"/>
    <n v="47576.01"/>
    <n v="50391.17"/>
    <n v="-2815.16"/>
    <x v="0"/>
    <n v="0"/>
    <n v="0.78500000000000003"/>
    <n v="0.24"/>
    <n v="0"/>
    <n v="0"/>
    <n v="0"/>
    <n v="50391.17"/>
    <n v="112041.8"/>
    <n v="0.44975300000000001"/>
    <n v="-2815.16"/>
    <n v="-2804.55"/>
    <n v="0"/>
    <n v="-2804.55"/>
    <n v="106390.66"/>
    <s v="Forecast"/>
  </r>
  <r>
    <x v="22"/>
    <x v="0"/>
    <s v="202405"/>
    <n v="39"/>
    <n v="184064.25"/>
    <n v="-6.0924879581131082E-2"/>
    <s v="CohortAvg"/>
    <n v="-2.4304696865645022E-2"/>
    <s v="CohortAvg"/>
    <n v="0.26156460130033549"/>
    <s v="CohortAvg"/>
    <n v="0.1059368940721466"/>
    <s v="CohortAvg_NonZero"/>
    <n v="1.503091402170172E-4"/>
    <s v="CohortAvg"/>
    <n v="0"/>
    <s v="Zero"/>
    <n v="-1.144964589341207E-2"/>
    <s v="CohortAvg"/>
    <n v="-2.0154614572665531E-4"/>
    <s v="CohortAvg"/>
    <n v="0"/>
    <n v="-11214.09"/>
    <n v="-4473.63"/>
    <n v="4012.06"/>
    <n v="0"/>
    <n v="27.67"/>
    <n v="-2107.4699999999998"/>
    <n v="-37.1"/>
    <n v="172360.92"/>
    <n v="0.43578499999999998"/>
    <n v="0.9657"/>
    <n v="0.42082000000000003"/>
    <s v="CohortTrend+Seasonal(0.966)"/>
    <n v="72532.88"/>
    <n v="70846.12"/>
    <n v="1686.76"/>
    <x v="0"/>
    <n v="0"/>
    <n v="0.78500000000000003"/>
    <n v="0.24"/>
    <n v="0"/>
    <n v="0"/>
    <n v="0"/>
    <n v="70846.12"/>
    <n v="184064.25"/>
    <n v="0.38489899999999999"/>
    <n v="1686.76"/>
    <n v="1714.42"/>
    <n v="0"/>
    <n v="1714.42"/>
    <n v="170646.5"/>
    <s v="Forecast"/>
  </r>
  <r>
    <x v="22"/>
    <x v="0"/>
    <s v="202406"/>
    <n v="38"/>
    <n v="376032.35"/>
    <n v="-5.598675856890372E-2"/>
    <s v="CohortAvg"/>
    <n v="-2.5464717705164751E-2"/>
    <s v="CohortAvg"/>
    <n v="0.28031206874877002"/>
    <s v="CohortAvg"/>
    <n v="6.6248817019625747E-2"/>
    <s v="CohortAvg_NonZero"/>
    <n v="1.423903216429002E-5"/>
    <s v="CohortAvg"/>
    <n v="0"/>
    <s v="Zero"/>
    <n v="-9.5184541287838629E-3"/>
    <s v="CohortAvg"/>
    <n v="-2.0714464020740381E-4"/>
    <s v="CohortAvg"/>
    <n v="0"/>
    <n v="-21052.83"/>
    <n v="-9575.56"/>
    <n v="8783.8700000000008"/>
    <n v="0"/>
    <n v="5.35"/>
    <n v="-3579.25"/>
    <n v="-77.89"/>
    <n v="354182.47"/>
    <n v="0.39458799999999999"/>
    <n v="0.9657"/>
    <n v="0.38103799999999999"/>
    <s v="CohortTrend+Seasonal(0.966)"/>
    <n v="134956.84"/>
    <n v="130846.29"/>
    <n v="4110.55"/>
    <x v="0"/>
    <n v="0"/>
    <n v="0.78500000000000003"/>
    <n v="0.24"/>
    <n v="0"/>
    <n v="0"/>
    <n v="0"/>
    <n v="130846.29"/>
    <n v="376032.35"/>
    <n v="0.347966"/>
    <n v="4110.55"/>
    <n v="4115.8999999999996"/>
    <n v="0"/>
    <n v="4115.8999999999996"/>
    <n v="350066.57"/>
    <s v="Forecast"/>
  </r>
  <r>
    <x v="22"/>
    <x v="0"/>
    <s v="202407"/>
    <n v="37"/>
    <n v="395010.01"/>
    <n v="-5.2822309864892697E-2"/>
    <s v="CohortAvg"/>
    <n v="-2.678352549477471E-2"/>
    <s v="CohortAvg"/>
    <n v="0.28890075368701501"/>
    <s v="CohortAvg"/>
    <n v="7.3962471466227975E-2"/>
    <s v="CohortAvg_NonZero"/>
    <n v="1.8373242124411498E-5"/>
    <s v="CohortAvg"/>
    <n v="0"/>
    <s v="Zero"/>
    <n v="-1.21018422450465E-2"/>
    <s v="CohortAvg"/>
    <n v="-6.4006865540422073E-5"/>
    <s v="CohortAvg"/>
    <n v="0"/>
    <n v="-20865.34"/>
    <n v="-10579.76"/>
    <n v="9509.89"/>
    <n v="0"/>
    <n v="7.26"/>
    <n v="-4780.3500000000004"/>
    <n v="-25.28"/>
    <n v="373067.54"/>
    <n v="0.32655000000000001"/>
    <n v="0.9657"/>
    <n v="0.31533600000000001"/>
    <s v="CohortTrend+Seasonal(0.966)"/>
    <n v="117641.62"/>
    <n v="114073.8"/>
    <n v="3567.81"/>
    <x v="0"/>
    <n v="0"/>
    <n v="0.78500000000000003"/>
    <n v="0.24"/>
    <n v="0"/>
    <n v="0"/>
    <n v="0"/>
    <n v="114073.8"/>
    <n v="395010.01"/>
    <n v="0.28878700000000002"/>
    <n v="3567.81"/>
    <n v="3575.07"/>
    <n v="0"/>
    <n v="3575.07"/>
    <n v="369492.47"/>
    <s v="Forecast"/>
  </r>
  <r>
    <x v="22"/>
    <x v="0"/>
    <s v="202408"/>
    <n v="36"/>
    <n v="268536.84000000003"/>
    <n v="-6.4848573839405704E-2"/>
    <s v="CohortAvg"/>
    <n v="-2.6135299234224751E-2"/>
    <s v="CohortAvg"/>
    <n v="0.27904520830890672"/>
    <s v="CohortAvg"/>
    <n v="9.7480550597448701E-2"/>
    <s v="CohortAvg_NonZero"/>
    <n v="1.222839687093576E-4"/>
    <s v="CohortAvg"/>
    <n v="0"/>
    <s v="Zero"/>
    <n v="-1.3527601253213201E-2"/>
    <s v="CohortAvg"/>
    <n v="-3.0992809148832419E-4"/>
    <s v="CohortAvg"/>
    <n v="0"/>
    <n v="-17414.23"/>
    <n v="-7018.29"/>
    <n v="6244.49"/>
    <n v="0"/>
    <n v="32.840000000000003"/>
    <n v="-3632.66"/>
    <n v="-83.23"/>
    <n v="250315.98"/>
    <n v="0.299375"/>
    <n v="0.9657"/>
    <n v="0.28909400000000002"/>
    <s v="CohortTrend+Seasonal(0.966)"/>
    <n v="72364.850000000006"/>
    <n v="71160.710000000006"/>
    <n v="1204.1500000000001"/>
    <x v="0"/>
    <n v="0"/>
    <n v="0.78500000000000003"/>
    <n v="0.24"/>
    <n v="0"/>
    <n v="0"/>
    <n v="0"/>
    <n v="71160.710000000006"/>
    <n v="268536.84000000003"/>
    <n v="0.26499400000000001"/>
    <n v="1204.1500000000001"/>
    <n v="1236.98"/>
    <n v="0"/>
    <n v="1236.98"/>
    <n v="249078.99"/>
    <s v="Forecast"/>
  </r>
  <r>
    <x v="22"/>
    <x v="0"/>
    <s v="202409"/>
    <n v="35"/>
    <n v="216143.87"/>
    <n v="-7.0468327609696263E-2"/>
    <s v="CohortAvg"/>
    <n v="-2.9374907967166231E-2"/>
    <s v="CohortAvg"/>
    <n v="0.29635834870081118"/>
    <s v="CohortAvg"/>
    <n v="0.1016392183284122"/>
    <s v="CohortAvg_NonZero"/>
    <n v="3.3188283787674003E-4"/>
    <s v="CohortAvg"/>
    <n v="0"/>
    <s v="Zero"/>
    <n v="-1.554678477831809E-2"/>
    <s v="CohortAvg"/>
    <n v="9.8763369529220025E-4"/>
    <s v="CohortAvg"/>
    <n v="0"/>
    <n v="-15231.3"/>
    <n v="-6349.21"/>
    <n v="5338"/>
    <n v="0"/>
    <n v="71.73"/>
    <n v="-3360.34"/>
    <n v="213.47"/>
    <n v="199829.64"/>
    <n v="0.28082200000000002"/>
    <n v="0.9657"/>
    <n v="0.27117799999999997"/>
    <s v="CohortTrend+Seasonal(0.966)"/>
    <n v="54189.46"/>
    <n v="53706.05"/>
    <n v="483.41"/>
    <x v="0"/>
    <n v="0"/>
    <n v="0.78500000000000003"/>
    <n v="0.24"/>
    <n v="0"/>
    <n v="0"/>
    <n v="0"/>
    <n v="53706.05"/>
    <n v="216143.87"/>
    <n v="0.248474"/>
    <n v="483.41"/>
    <n v="555.14"/>
    <n v="0"/>
    <n v="555.14"/>
    <n v="199274.49"/>
    <s v="Forecast"/>
  </r>
  <r>
    <x v="22"/>
    <x v="0"/>
    <s v="202410"/>
    <n v="34"/>
    <n v="351189.91"/>
    <n v="-6.4994643232487437E-2"/>
    <s v="CohortAvg"/>
    <n v="-2.9862716640218809E-2"/>
    <s v="CohortAvg"/>
    <n v="0.29582700582803523"/>
    <s v="CohortAvg"/>
    <n v="9.1322489207601679E-2"/>
    <s v="CohortAvg_NonZero"/>
    <n v="8.405476141807855E-5"/>
    <s v="CohortAvg"/>
    <n v="0"/>
    <s v="Zero"/>
    <n v="-1.9164651950898368E-2"/>
    <s v="CohortAvg"/>
    <n v="-2.8043906510796622E-4"/>
    <s v="CohortAvg"/>
    <n v="0"/>
    <n v="-22825.46"/>
    <n v="-10487.48"/>
    <n v="8657.6200000000008"/>
    <n v="0"/>
    <n v="29.52"/>
    <n v="-6730.43"/>
    <n v="-98.49"/>
    <n v="326505.06"/>
    <n v="0.26351999999999998"/>
    <n v="0.9657"/>
    <n v="0.254471"/>
    <s v="CohortTrend+Seasonal(0.966)"/>
    <n v="83085.95"/>
    <n v="81960.47"/>
    <n v="1125.48"/>
    <x v="0"/>
    <n v="0"/>
    <n v="0.78500000000000003"/>
    <n v="0.24"/>
    <n v="0"/>
    <n v="0"/>
    <n v="0"/>
    <n v="81960.47"/>
    <n v="351189.91"/>
    <n v="0.233379"/>
    <n v="1125.48"/>
    <n v="1154.99"/>
    <n v="0"/>
    <n v="1154.99"/>
    <n v="325350.07"/>
    <s v="Forecast"/>
  </r>
  <r>
    <x v="22"/>
    <x v="0"/>
    <s v="202411"/>
    <n v="33"/>
    <n v="372099.62"/>
    <n v="-6.960872873896011E-2"/>
    <s v="CohortAvg"/>
    <n v="-3.0861166674243129E-2"/>
    <s v="CohortAvg"/>
    <n v="0.31650343775736239"/>
    <s v="CohortAvg"/>
    <n v="8.1172084097472355E-2"/>
    <s v="CohortAvg_NonZero"/>
    <n v="1.052603178109755E-5"/>
    <s v="CohortAvg"/>
    <n v="0"/>
    <s v="Zero"/>
    <n v="-1.8294642465142591E-2"/>
    <s v="CohortAvg"/>
    <n v="-3.6607385432247888E-4"/>
    <s v="CohortAvg"/>
    <n v="0"/>
    <n v="-25901.38"/>
    <n v="-11483.43"/>
    <n v="9814.23"/>
    <n v="0"/>
    <n v="3.92"/>
    <n v="-6807.43"/>
    <n v="-136.22"/>
    <n v="344525.13"/>
    <n v="0.26037100000000002"/>
    <n v="0.9657"/>
    <n v="0.25142900000000001"/>
    <s v="CohortTrend+Seasonal(0.966)"/>
    <n v="86623.77"/>
    <n v="85663.21"/>
    <n v="960.56"/>
    <x v="0"/>
    <n v="0"/>
    <n v="0.78500000000000003"/>
    <n v="0.24"/>
    <n v="0"/>
    <n v="0"/>
    <n v="0"/>
    <n v="85663.21"/>
    <n v="372099.62"/>
    <n v="0.230216"/>
    <n v="960.56"/>
    <n v="964.47"/>
    <n v="0"/>
    <n v="964.47"/>
    <n v="343560.65"/>
    <s v="Forecast"/>
  </r>
  <r>
    <x v="22"/>
    <x v="0"/>
    <s v="202412"/>
    <n v="32"/>
    <n v="448452.29"/>
    <n v="-6.5998322178844257E-2"/>
    <s v="CohortAvg"/>
    <n v="-3.2056258325043309E-2"/>
    <s v="CohortAvg"/>
    <n v="0.32606831141112907"/>
    <s v="CohortAvg"/>
    <n v="7.7720771084072368E-2"/>
    <s v="CohortAvg_NonZero"/>
    <n v="3.5171956981458493E-5"/>
    <s v="CohortAvg"/>
    <n v="0"/>
    <s v="Zero"/>
    <n v="-3.3053833206684251E-2"/>
    <s v="CohortAvg"/>
    <n v="-4.3969360522770688E-4"/>
    <s v="CohortAvg"/>
    <n v="0"/>
    <n v="-29597.1"/>
    <n v="-14375.7"/>
    <n v="12185.51"/>
    <n v="0"/>
    <n v="15.77"/>
    <n v="-14823.07"/>
    <n v="-197.18"/>
    <n v="416649.22"/>
    <n v="0.27670299999999998"/>
    <n v="0.9657"/>
    <n v="0.26720100000000002"/>
    <s v="CohortTrend+Seasonal(0.966)"/>
    <n v="111329.05"/>
    <n v="109202.89"/>
    <n v="2126.16"/>
    <x v="0"/>
    <n v="0"/>
    <n v="0.78500000000000003"/>
    <n v="0.24"/>
    <n v="0"/>
    <n v="0"/>
    <n v="0"/>
    <n v="109202.89"/>
    <n v="448452.29"/>
    <n v="0.24351100000000001"/>
    <n v="2126.16"/>
    <n v="2141.9299999999998"/>
    <n v="0"/>
    <n v="2141.9299999999998"/>
    <n v="414507.28"/>
    <s v="Forecast"/>
  </r>
  <r>
    <x v="22"/>
    <x v="0"/>
    <s v="202501"/>
    <n v="31"/>
    <n v="592276.92000000004"/>
    <n v="-6.35824622456828E-2"/>
    <s v="CohortAvg"/>
    <n v="-3.1447248207884922E-2"/>
    <s v="CohortAvg"/>
    <n v="0.33537788999187418"/>
    <s v="CohortAvg"/>
    <n v="6.8135929184918245E-2"/>
    <s v="CohortAvg_NonZero"/>
    <n v="8.2876024296629376E-5"/>
    <s v="CohortAvg"/>
    <n v="0"/>
    <s v="Zero"/>
    <n v="-4.6048620982827387E-2"/>
    <s v="CohortAvg"/>
    <n v="-9.0676554631895971E-4"/>
    <s v="CohortAvg"/>
    <n v="0"/>
    <n v="-37658.43"/>
    <n v="-18625.48"/>
    <n v="16553.05"/>
    <n v="0"/>
    <n v="49.09"/>
    <n v="-27273.54"/>
    <n v="-537.05999999999995"/>
    <n v="552496.98"/>
    <n v="0.28496500000000002"/>
    <n v="0.9657"/>
    <n v="0.27517900000000001"/>
    <s v="CohortTrend+Seasonal(0.966)"/>
    <n v="152035.64000000001"/>
    <n v="148050.87"/>
    <n v="3984.77"/>
    <x v="0"/>
    <n v="0"/>
    <n v="0.78500000000000003"/>
    <n v="0.24"/>
    <n v="0"/>
    <n v="0"/>
    <n v="0"/>
    <n v="148050.87"/>
    <n v="592276.92000000004"/>
    <n v="0.249969"/>
    <n v="3984.77"/>
    <n v="4033.86"/>
    <n v="0"/>
    <n v="4033.86"/>
    <n v="548463.12"/>
    <s v="Forecast"/>
  </r>
  <r>
    <x v="22"/>
    <x v="0"/>
    <s v="202502"/>
    <n v="30"/>
    <n v="1002030.05"/>
    <n v="-6.4746662606334479E-2"/>
    <s v="CohortAvg"/>
    <n v="-3.179878126301227E-2"/>
    <s v="CohortAvg"/>
    <n v="0.35192520496979462"/>
    <s v="CohortAvg"/>
    <n v="4.0084554629262269E-2"/>
    <s v="CohortAvg_NonZero"/>
    <n v="1.1841968861722619E-4"/>
    <s v="CohortAvg"/>
    <n v="0"/>
    <s v="Zero"/>
    <n v="-0.10071183415864721"/>
    <s v="CohortAvg"/>
    <n v="-2.177617413011629E-3"/>
    <s v="CohortAvg"/>
    <n v="0"/>
    <n v="-64878.1"/>
    <n v="-31863.33"/>
    <n v="29386.639999999999"/>
    <n v="0"/>
    <n v="118.66"/>
    <n v="-100916.28"/>
    <n v="-2182.04"/>
    <n v="934556.59"/>
    <n v="0.27728999999999998"/>
    <n v="0.9657"/>
    <n v="0.26776800000000001"/>
    <s v="CohortTrend+Seasonal(0.966)"/>
    <n v="250244.53"/>
    <n v="243542.99"/>
    <n v="6701.54"/>
    <x v="0"/>
    <n v="0"/>
    <n v="0.78500000000000003"/>
    <n v="0.24"/>
    <n v="0"/>
    <n v="0"/>
    <n v="0"/>
    <n v="243542.99"/>
    <n v="1002030.05"/>
    <n v="0.24304999999999999"/>
    <n v="6701.54"/>
    <n v="6820.2"/>
    <n v="0"/>
    <n v="6820.2"/>
    <n v="927736.39"/>
    <s v="Forecast"/>
  </r>
  <r>
    <x v="22"/>
    <x v="0"/>
    <s v="202503"/>
    <n v="29"/>
    <n v="1861399.87"/>
    <n v="-5.4849018773262731E-2"/>
    <s v="CohortAvg"/>
    <n v="-3.495294439225808E-2"/>
    <s v="CohortAvg"/>
    <n v="0.42514261904113498"/>
    <s v="CohortAvg"/>
    <n v="2.337347755521255E-2"/>
    <s v="CohortAvg_NonZero"/>
    <n v="7.0728544536651601E-6"/>
    <s v="CohortAvg"/>
    <n v="0"/>
    <s v="Zero"/>
    <n v="0"/>
    <s v="CohortAvg"/>
    <n v="0"/>
    <s v="CohortAvg"/>
    <n v="0"/>
    <n v="-102095.96"/>
    <n v="-65061.41"/>
    <n v="65946.7"/>
    <n v="0"/>
    <n v="13.17"/>
    <n v="0"/>
    <n v="0"/>
    <n v="1760176.05"/>
    <n v="0.27748299999999998"/>
    <n v="0.9657"/>
    <n v="0.26795400000000003"/>
    <s v="CohortTrend+Seasonal(0.966)"/>
    <n v="471646.41"/>
    <n v="451755.72"/>
    <n v="19890.7"/>
    <x v="0"/>
    <n v="0"/>
    <n v="0.78500000000000003"/>
    <n v="0.24"/>
    <n v="0"/>
    <n v="0"/>
    <n v="0"/>
    <n v="451755.72"/>
    <n v="1861399.87"/>
    <n v="0.242697"/>
    <n v="19890.7"/>
    <n v="19903.86"/>
    <n v="0"/>
    <n v="19903.86"/>
    <n v="1740272.18"/>
    <s v="Forecast"/>
  </r>
  <r>
    <x v="22"/>
    <x v="0"/>
    <s v="202504"/>
    <n v="28"/>
    <n v="2531865.87"/>
    <n v="-5.3665371365377988E-2"/>
    <s v="CohortAvg"/>
    <n v="-3.7425589022477952E-2"/>
    <s v="CohortAvg"/>
    <n v="0.43757239511783008"/>
    <s v="CohortAvg"/>
    <n v="1.013329171740706E-2"/>
    <s v="CohortAvg_NonZero"/>
    <n v="1.632282210019855E-6"/>
    <s v="CohortAvg"/>
    <n v="0"/>
    <s v="Zero"/>
    <n v="0"/>
    <s v="CohortAvg"/>
    <n v="0"/>
    <s v="CohortAvg"/>
    <n v="0"/>
    <n v="-135873.51999999999"/>
    <n v="-94756.57"/>
    <n v="92322.880000000005"/>
    <n v="0"/>
    <n v="4.13"/>
    <n v="0"/>
    <n v="0"/>
    <n v="2393554.5299999998"/>
    <n v="0.28035700000000002"/>
    <n v="0.9657"/>
    <n v="0.270729"/>
    <s v="CohortTrend+Seasonal(0.966)"/>
    <n v="648005.79"/>
    <n v="619157.01"/>
    <n v="28848.79"/>
    <x v="0"/>
    <n v="0"/>
    <n v="0.78500000000000003"/>
    <n v="0.24"/>
    <n v="0"/>
    <n v="0"/>
    <n v="0"/>
    <n v="619157.01"/>
    <n v="2531865.87"/>
    <n v="0.24454600000000001"/>
    <n v="28848.79"/>
    <n v="28852.92"/>
    <n v="0"/>
    <n v="28852.92"/>
    <n v="2364701.61"/>
    <s v="Forecast"/>
  </r>
  <r>
    <x v="22"/>
    <x v="0"/>
    <s v="202505"/>
    <n v="27"/>
    <n v="3916098.72"/>
    <n v="-4.6739052134760282E-2"/>
    <s v="CohortAvg"/>
    <n v="-3.6744611030588063E-2"/>
    <s v="CohortAvg"/>
    <n v="0.44300152020318873"/>
    <s v="CohortAvg"/>
    <n v="0"/>
    <s v="CohortAvg_NoData_ERROR"/>
    <n v="9.286637526532693E-7"/>
    <s v="CohortAvg"/>
    <n v="0"/>
    <s v="Zero"/>
    <n v="0"/>
    <s v="CohortAvg"/>
    <n v="0"/>
    <s v="CohortAvg"/>
    <n v="0"/>
    <n v="-183034.74"/>
    <n v="-143895.51999999999"/>
    <n v="144569.81"/>
    <n v="0"/>
    <n v="3.64"/>
    <n v="0"/>
    <n v="0"/>
    <n v="3733734.62"/>
    <n v="0.28339599999999998"/>
    <n v="0.9657"/>
    <n v="0.27366400000000002"/>
    <s v="CohortTrend+Seasonal(0.966)"/>
    <n v="1021789.03"/>
    <n v="965114.75"/>
    <n v="56674.28"/>
    <x v="0"/>
    <n v="0"/>
    <n v="0.78500000000000003"/>
    <n v="0.24"/>
    <n v="0"/>
    <n v="0"/>
    <n v="0"/>
    <n v="965114.75"/>
    <n v="3916098.72"/>
    <n v="0.246448"/>
    <n v="56674.28"/>
    <n v="56677.91"/>
    <n v="0"/>
    <n v="56677.91"/>
    <n v="3677056.71"/>
    <s v="Forecast"/>
  </r>
  <r>
    <x v="22"/>
    <x v="0"/>
    <s v="202506"/>
    <n v="26"/>
    <n v="4545662.6900000004"/>
    <n v="-4.5246796597062627E-2"/>
    <s v="CohortAvg"/>
    <n v="-3.8252942319336507E-2"/>
    <s v="CohortAvg"/>
    <n v="0.45988900124193549"/>
    <s v="CohortAvg"/>
    <n v="0"/>
    <s v="CohortAvg_NoData_ERROR"/>
    <n v="0"/>
    <s v="CohortAvg"/>
    <n v="0"/>
    <s v="Zero"/>
    <n v="0"/>
    <s v="CohortAvg"/>
    <n v="0"/>
    <s v="CohortAvg"/>
    <n v="0"/>
    <n v="-205676.68"/>
    <n v="-173884.97"/>
    <n v="174208.36"/>
    <n v="0"/>
    <n v="0"/>
    <n v="0"/>
    <n v="0"/>
    <n v="4340309.4000000004"/>
    <n v="0.28838000000000003"/>
    <n v="0.9657"/>
    <n v="0.27847699999999997"/>
    <s v="CohortTrend+Seasonal(0.966)"/>
    <n v="1208677.01"/>
    <n v="1135688.55"/>
    <n v="72988.47"/>
    <x v="0"/>
    <n v="0"/>
    <n v="0.78500000000000003"/>
    <n v="0.24"/>
    <n v="0"/>
    <n v="0"/>
    <n v="0"/>
    <n v="1135688.55"/>
    <n v="4545662.6900000004"/>
    <n v="0.24984000000000001"/>
    <n v="72988.47"/>
    <n v="72988.47"/>
    <n v="0"/>
    <n v="72988.47"/>
    <n v="4267320.93"/>
    <s v="Forecast"/>
  </r>
  <r>
    <x v="22"/>
    <x v="0"/>
    <s v="202507"/>
    <n v="25"/>
    <n v="5738903.7999999998"/>
    <n v="-4.3526282970619952E-2"/>
    <s v="CohortAvg"/>
    <n v="-4.1015356748986612E-2"/>
    <s v="CohortAvg"/>
    <n v="0.45936902696352699"/>
    <s v="CohortAvg"/>
    <n v="0"/>
    <s v="CohortAvg_NoData_ERROR"/>
    <n v="1.331792645434113E-5"/>
    <s v="CohortAvg"/>
    <n v="0"/>
    <s v="Zero"/>
    <n v="0"/>
    <s v="CohortAvg"/>
    <n v="0"/>
    <s v="CohortAvg"/>
    <n v="0"/>
    <n v="-249793.15"/>
    <n v="-235383.19"/>
    <n v="219689.55"/>
    <n v="0"/>
    <n v="76.430000000000007"/>
    <n v="0"/>
    <n v="0"/>
    <n v="5473340.5899999999"/>
    <n v="0.27804699999999999"/>
    <n v="0.9657"/>
    <n v="0.26849899999999999"/>
    <s v="CohortTrend+Seasonal(0.966)"/>
    <n v="1469586.68"/>
    <n v="1380523.95"/>
    <n v="89062.73"/>
    <x v="0"/>
    <n v="0"/>
    <n v="0.78500000000000003"/>
    <n v="0.24"/>
    <n v="0"/>
    <n v="0"/>
    <n v="0"/>
    <n v="1380523.95"/>
    <n v="5738903.7999999998"/>
    <n v="0.24055499999999999"/>
    <n v="89062.73"/>
    <n v="89139.16"/>
    <n v="0"/>
    <n v="89139.16"/>
    <n v="5384201.4199999999"/>
    <s v="Forecast"/>
  </r>
  <r>
    <x v="22"/>
    <x v="0"/>
    <s v="202508"/>
    <n v="24"/>
    <n v="4960193.29"/>
    <n v="-4.9054509610278331E-2"/>
    <s v="CohortAvg"/>
    <n v="-3.2759112192195558E-2"/>
    <s v="CohortAvg"/>
    <n v="0.46104462354551901"/>
    <s v="CohortAvg"/>
    <n v="0"/>
    <s v="CohortAvg_NoData_ERROR"/>
    <n v="1.1431036217381841E-5"/>
    <s v="CohortAvg"/>
    <n v="0"/>
    <s v="Zero"/>
    <n v="0"/>
    <s v="CohortAvg"/>
    <n v="0"/>
    <s v="CohortAvg"/>
    <n v="0"/>
    <n v="-243319.85"/>
    <n v="-162491.53"/>
    <n v="190572.54"/>
    <n v="0"/>
    <n v="56.7"/>
    <n v="0"/>
    <n v="0"/>
    <n v="4744897.75"/>
    <n v="0.26771400000000001"/>
    <n v="0.9657"/>
    <n v="0.258521"/>
    <s v="CohortTrend+Seasonal(0.966)"/>
    <n v="1226655.33"/>
    <n v="1147147.07"/>
    <n v="79508.27"/>
    <x v="0"/>
    <n v="0"/>
    <n v="0.78500000000000003"/>
    <n v="0.24"/>
    <n v="0"/>
    <n v="0"/>
    <n v="0"/>
    <n v="1147147.07"/>
    <n v="4960193.29"/>
    <n v="0.231271"/>
    <n v="79508.27"/>
    <n v="79564.97"/>
    <n v="0"/>
    <n v="79564.97"/>
    <n v="4665332.78"/>
    <s v="Forecast"/>
  </r>
  <r>
    <x v="22"/>
    <x v="0"/>
    <s v="202509"/>
    <n v="23"/>
    <n v="980.66"/>
    <n v="-0.41028256542978381"/>
    <s v="CohortAvg"/>
    <n v="-8.52764876618551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402.35"/>
    <n v="-83.63"/>
    <n v="40.86"/>
    <n v="0"/>
    <n v="0"/>
    <n v="0"/>
    <n v="0"/>
    <n v="535.54999999999995"/>
    <n v="0.25738100000000003"/>
    <n v="0.9657"/>
    <n v="0.24854299999999999"/>
    <s v="CohortTrend+Seasonal(0.966)"/>
    <n v="133.11000000000001"/>
    <n v="217.69"/>
    <n v="-84.59"/>
    <x v="0"/>
    <n v="0"/>
    <n v="0.78500000000000003"/>
    <n v="0.24"/>
    <n v="0"/>
    <n v="0"/>
    <n v="0"/>
    <n v="217.69"/>
    <n v="980.66"/>
    <n v="0.22198599999999999"/>
    <n v="-84.59"/>
    <n v="-84.59"/>
    <n v="0"/>
    <n v="-84.59"/>
    <n v="620.13"/>
    <s v="Forecast"/>
  </r>
  <r>
    <x v="22"/>
    <x v="1"/>
    <s v="202301"/>
    <n v="45"/>
    <n v="794281.77"/>
    <n v="-8.4202952546397654E-3"/>
    <s v="CohortAvg"/>
    <n v="-4.5478563520295707E-3"/>
    <s v="CohortAvg"/>
    <n v="8.8958281482102899E-2"/>
    <s v="CohortAvg"/>
    <n v="2.3828173340464252E-2"/>
    <s v="CohortAvg_NonZero"/>
    <n v="0"/>
    <s v="CohortAvg"/>
    <n v="0"/>
    <s v="Zero"/>
    <n v="0"/>
    <s v="CohortAvg"/>
    <n v="0"/>
    <s v="CohortAvg"/>
    <n v="0"/>
    <n v="-6688.09"/>
    <n v="-3612.28"/>
    <n v="5888.16"/>
    <n v="0"/>
    <n v="0"/>
    <n v="0"/>
    <n v="0"/>
    <n v="789869.56"/>
    <n v="0.39823500000000001"/>
    <n v="1.2702"/>
    <n v="0.50585800000000003"/>
    <s v="CohortAvg+Seasonal(1.270)"/>
    <n v="399561.48"/>
    <n v="331579"/>
    <n v="67982.47"/>
    <x v="0"/>
    <n v="0"/>
    <n v="0.78500000000000003"/>
    <n v="0.24"/>
    <n v="0"/>
    <n v="0"/>
    <n v="0"/>
    <n v="331579"/>
    <n v="794281.77"/>
    <n v="0.417458"/>
    <n v="67982.47"/>
    <n v="67982.47"/>
    <n v="0"/>
    <n v="67982.47"/>
    <n v="721887.09"/>
    <s v="Forecast"/>
  </r>
  <r>
    <x v="22"/>
    <x v="1"/>
    <s v="202404"/>
    <n v="40"/>
    <n v="53675.59"/>
    <n v="-6.3506032891941788E-2"/>
    <s v="CohortAvg"/>
    <n v="-1.5228391182180801E-2"/>
    <s v="CohortAvg"/>
    <n v="0.15653411642529391"/>
    <s v="CohortAvg"/>
    <n v="5.0291058455095621E-2"/>
    <s v="CohortAvg_NonZero"/>
    <n v="0"/>
    <s v="CohortAvg"/>
    <n v="0"/>
    <s v="Zero"/>
    <n v="0"/>
    <s v="CohortAvg"/>
    <n v="0"/>
    <s v="CohortAvg"/>
    <n v="0"/>
    <n v="-3408.72"/>
    <n v="-817.39"/>
    <n v="700.17"/>
    <n v="0"/>
    <n v="0"/>
    <n v="0"/>
    <n v="0"/>
    <n v="50149.65"/>
    <n v="0.24243999999999999"/>
    <n v="1.2702"/>
    <n v="0.30795899999999998"/>
    <s v="CohortAvg+Seasonal(1.270)"/>
    <n v="15444.03"/>
    <n v="14300.56"/>
    <n v="1143.47"/>
    <x v="0"/>
    <n v="0"/>
    <n v="0.78500000000000003"/>
    <n v="0.24"/>
    <n v="0"/>
    <n v="0"/>
    <n v="0"/>
    <n v="14300.56"/>
    <n v="53675.59"/>
    <n v="0.266426"/>
    <n v="1143.47"/>
    <n v="1143.47"/>
    <n v="0"/>
    <n v="1143.47"/>
    <n v="49006.18"/>
    <s v="Forecast"/>
  </r>
  <r>
    <x v="22"/>
    <x v="1"/>
    <s v="202405"/>
    <n v="39"/>
    <n v="200112.64000000001"/>
    <n v="-1.166829024516121E-2"/>
    <s v="CohortAvg"/>
    <n v="-1.272517650670066E-2"/>
    <s v="CohortAvg"/>
    <n v="0.14721497486573751"/>
    <s v="CohortAvg"/>
    <n v="6.9896436966597766E-2"/>
    <s v="CohortAvg_NonZero"/>
    <n v="6.6147073441412867E-9"/>
    <s v="CohortAvg"/>
    <n v="0"/>
    <s v="Zero"/>
    <n v="0"/>
    <s v="CohortAvg"/>
    <n v="0"/>
    <s v="CohortAvg"/>
    <n v="0"/>
    <n v="-2334.9699999999998"/>
    <n v="-2546.4699999999998"/>
    <n v="2454.96"/>
    <n v="0"/>
    <n v="0"/>
    <n v="0"/>
    <n v="0"/>
    <n v="197686.16"/>
    <n v="0.49863299999999999"/>
    <n v="1.2702"/>
    <n v="0.63338799999999995"/>
    <s v="CohortTrend+Seasonal(1.270)"/>
    <n v="125211.98"/>
    <n v="101209.43"/>
    <n v="24002.55"/>
    <x v="0"/>
    <n v="0"/>
    <n v="0.78500000000000003"/>
    <n v="0.24"/>
    <n v="0"/>
    <n v="0"/>
    <n v="0"/>
    <n v="101209.43"/>
    <n v="200112.64000000001"/>
    <n v="0.50576200000000004"/>
    <n v="24002.55"/>
    <n v="24002.55"/>
    <n v="0"/>
    <n v="24002.55"/>
    <n v="173683.6"/>
    <s v="Forecast"/>
  </r>
  <r>
    <x v="22"/>
    <x v="1"/>
    <s v="202406"/>
    <n v="38"/>
    <n v="117576.69"/>
    <n v="-1.545463572060058E-2"/>
    <s v="CohortAvg"/>
    <n v="-1.487838849302976E-2"/>
    <s v="CohortAvg"/>
    <n v="0.17821160013501211"/>
    <s v="CohortAvg"/>
    <n v="5.620844502272148E-2"/>
    <s v="CohortAvg_NonZero"/>
    <n v="0"/>
    <s v="CohortAvg"/>
    <n v="0"/>
    <s v="Zero"/>
    <n v="0"/>
    <s v="CohortAvg"/>
    <n v="0"/>
    <s v="CohortAvg"/>
    <n v="0"/>
    <n v="-1817.1"/>
    <n v="-1749.35"/>
    <n v="1746.13"/>
    <n v="0"/>
    <n v="0"/>
    <n v="0"/>
    <n v="0"/>
    <n v="115756.36"/>
    <n v="0.34121000000000001"/>
    <n v="1.2702"/>
    <n v="0.433421"/>
    <s v="CohortTrend+Seasonal(1.270)"/>
    <n v="50171.24"/>
    <n v="40760.129999999997"/>
    <n v="9411.11"/>
    <x v="0"/>
    <n v="0"/>
    <n v="0.78500000000000003"/>
    <n v="0.24"/>
    <n v="0"/>
    <n v="0"/>
    <n v="0"/>
    <n v="40760.129999999997"/>
    <n v="117576.69"/>
    <n v="0.34666799999999998"/>
    <n v="9411.11"/>
    <n v="9411.11"/>
    <n v="0"/>
    <n v="9411.11"/>
    <n v="106345.25"/>
    <s v="Forecast"/>
  </r>
  <r>
    <x v="22"/>
    <x v="1"/>
    <s v="202407"/>
    <n v="37"/>
    <n v="96311.16"/>
    <n v="-4.2447071243509271E-2"/>
    <s v="CohortAvg"/>
    <n v="-1.532903128856151E-2"/>
    <s v="CohortAvg"/>
    <n v="0.16902045512566691"/>
    <s v="CohortAvg"/>
    <n v="8.2761551975630079E-2"/>
    <s v="CohortAvg_NonZero"/>
    <n v="0"/>
    <s v="CohortAvg"/>
    <n v="0"/>
    <s v="Zero"/>
    <n v="0"/>
    <s v="CohortAvg"/>
    <n v="0"/>
    <s v="CohortAvg"/>
    <n v="0"/>
    <n v="-4088.13"/>
    <n v="-1476.36"/>
    <n v="1356.55"/>
    <n v="0"/>
    <n v="0"/>
    <n v="0"/>
    <n v="0"/>
    <n v="92103.22"/>
    <n v="0.29926599999999998"/>
    <n v="1.2702"/>
    <n v="0.38014199999999998"/>
    <s v="CohortTrend+Seasonal(1.270)"/>
    <n v="35012.33"/>
    <n v="29394.83"/>
    <n v="5617.5"/>
    <x v="0"/>
    <n v="0"/>
    <n v="0.78500000000000003"/>
    <n v="0.24"/>
    <n v="0"/>
    <n v="0"/>
    <n v="0"/>
    <n v="29394.83"/>
    <n v="96311.16"/>
    <n v="0.30520700000000001"/>
    <n v="5617.5"/>
    <n v="5617.5"/>
    <n v="0"/>
    <n v="5617.5"/>
    <n v="86485.72"/>
    <s v="Forecast"/>
  </r>
  <r>
    <x v="22"/>
    <x v="1"/>
    <s v="202408"/>
    <n v="36"/>
    <n v="64901.14"/>
    <n v="-6.2390231092774952E-2"/>
    <s v="CohortAvg"/>
    <n v="-1.6608465586290731E-2"/>
    <s v="CohortAvg"/>
    <n v="0.18294645896227121"/>
    <s v="CohortAvg"/>
    <n v="0.1104761026857973"/>
    <s v="CohortAvg_NonZero"/>
    <n v="2.1143650865159309E-11"/>
    <s v="CohortAvg"/>
    <n v="0"/>
    <s v="Zero"/>
    <n v="0"/>
    <s v="CohortAvg"/>
    <n v="0"/>
    <s v="CohortAvg"/>
    <n v="0"/>
    <n v="-4049.2"/>
    <n v="-1077.9100000000001"/>
    <n v="989.45"/>
    <n v="0"/>
    <n v="0"/>
    <n v="0"/>
    <n v="0"/>
    <n v="60763.49"/>
    <n v="0.311145"/>
    <n v="1.2702"/>
    <n v="0.395231"/>
    <s v="CohortTrend+Seasonal(1.270)"/>
    <n v="24015.64"/>
    <n v="20572.36"/>
    <n v="3443.27"/>
    <x v="0"/>
    <n v="0"/>
    <n v="0.78500000000000003"/>
    <n v="0.24"/>
    <n v="0"/>
    <n v="0"/>
    <n v="0"/>
    <n v="20572.36"/>
    <n v="64901.14"/>
    <n v="0.31697999999999998"/>
    <n v="3443.27"/>
    <n v="3443.27"/>
    <n v="0"/>
    <n v="3443.27"/>
    <n v="57320.21"/>
    <s v="Forecast"/>
  </r>
  <r>
    <x v="22"/>
    <x v="1"/>
    <s v="202409"/>
    <n v="35"/>
    <n v="205621.38"/>
    <n v="-4.1064738445695637E-2"/>
    <s v="CohortAvg"/>
    <n v="-1.5071818257076821E-2"/>
    <s v="CohortAvg"/>
    <n v="0.18230604534526029"/>
    <s v="CohortAvg"/>
    <n v="3.1836256912292589E-2"/>
    <s v="CohortAvg_NonZero"/>
    <n v="0"/>
    <s v="CohortAvg"/>
    <n v="0"/>
    <s v="Zero"/>
    <n v="0"/>
    <s v="CohortAvg"/>
    <n v="0"/>
    <s v="CohortAvg"/>
    <n v="0"/>
    <n v="-8443.7900000000009"/>
    <n v="-3099.09"/>
    <n v="3123.84"/>
    <n v="0"/>
    <n v="0"/>
    <n v="0"/>
    <n v="0"/>
    <n v="197202.34"/>
    <n v="0.37401200000000001"/>
    <n v="1.2702"/>
    <n v="0.47508899999999998"/>
    <s v="CohortTrend+Seasonal(1.270)"/>
    <n v="93688.62"/>
    <n v="77889.429999999993"/>
    <n v="15799.19"/>
    <x v="0"/>
    <n v="0"/>
    <n v="0.78500000000000003"/>
    <n v="0.24"/>
    <n v="0"/>
    <n v="0"/>
    <n v="0"/>
    <n v="77889.429999999993"/>
    <n v="205621.38"/>
    <n v="0.37880000000000003"/>
    <n v="15799.19"/>
    <n v="15799.19"/>
    <n v="0"/>
    <n v="15799.19"/>
    <n v="181403.15"/>
    <s v="Forecast"/>
  </r>
  <r>
    <x v="22"/>
    <x v="1"/>
    <s v="202410"/>
    <n v="34"/>
    <n v="244756.39"/>
    <n v="-1.2595403546825829E-2"/>
    <s v="CohortAvg"/>
    <n v="-1.8283054729769498E-2"/>
    <s v="CohortAvg"/>
    <n v="0.18753494236090951"/>
    <s v="CohortAvg"/>
    <n v="3.5382226915769747E-2"/>
    <s v="CohortAvg_NonZero"/>
    <n v="9.2765075930736341E-9"/>
    <s v="CohortAvg"/>
    <n v="0"/>
    <s v="Zero"/>
    <n v="0"/>
    <s v="CohortAvg"/>
    <n v="0"/>
    <s v="CohortAvg"/>
    <n v="0"/>
    <n v="-3082.81"/>
    <n v="-4474.8900000000003"/>
    <n v="3825.03"/>
    <n v="0"/>
    <n v="0"/>
    <n v="0"/>
    <n v="0"/>
    <n v="241023.71"/>
    <n v="0.375973"/>
    <n v="1.2702"/>
    <n v="0.47757899999999998"/>
    <s v="CohortTrend+Seasonal(1.270)"/>
    <n v="115107.97"/>
    <n v="93048.13"/>
    <n v="22059.83"/>
    <x v="0"/>
    <n v="0"/>
    <n v="0.78500000000000003"/>
    <n v="0.24"/>
    <n v="0"/>
    <n v="0"/>
    <n v="0"/>
    <n v="93048.13"/>
    <n v="244756.39"/>
    <n v="0.380166"/>
    <n v="22059.83"/>
    <n v="22059.83"/>
    <n v="0"/>
    <n v="22059.83"/>
    <n v="218963.88"/>
    <s v="Forecast"/>
  </r>
  <r>
    <x v="22"/>
    <x v="1"/>
    <s v="202411"/>
    <n v="33"/>
    <n v="179928.67"/>
    <n v="-4.4637884248669497E-2"/>
    <s v="CohortAvg"/>
    <n v="-1.4800959545812731E-2"/>
    <s v="CohortAvg"/>
    <n v="0.17334404772336121"/>
    <s v="CohortAvg"/>
    <n v="3.2246435444604912E-2"/>
    <s v="CohortAvg_NonZero"/>
    <n v="0"/>
    <s v="CohortAvg"/>
    <n v="0"/>
    <s v="Zero"/>
    <n v="0"/>
    <s v="CohortAvg"/>
    <n v="0"/>
    <s v="CohortAvg"/>
    <n v="0"/>
    <n v="-8031.64"/>
    <n v="-2663.12"/>
    <n v="2599.13"/>
    <n v="0"/>
    <n v="0"/>
    <n v="0"/>
    <n v="0"/>
    <n v="171833.05"/>
    <n v="0.284806"/>
    <n v="1.2702"/>
    <n v="0.36177399999999998"/>
    <s v="CohortTrend+Seasonal(1.270)"/>
    <n v="62164.79"/>
    <n v="52221.97"/>
    <n v="9942.82"/>
    <x v="0"/>
    <n v="0"/>
    <n v="0.78500000000000003"/>
    <n v="0.24"/>
    <n v="0"/>
    <n v="0"/>
    <n v="0"/>
    <n v="52221.97"/>
    <n v="179928.67"/>
    <n v="0.29023700000000002"/>
    <n v="9942.82"/>
    <n v="9942.82"/>
    <n v="0"/>
    <n v="9942.82"/>
    <n v="161890.23000000001"/>
    <s v="Forecast"/>
  </r>
  <r>
    <x v="22"/>
    <x v="1"/>
    <s v="202412"/>
    <n v="32"/>
    <n v="9063.8700000000008"/>
    <n v="-8.5837039440180927E-3"/>
    <s v="CohortAvg"/>
    <n v="-1.24146004864723E-2"/>
    <s v="CohortAvg"/>
    <n v="0.14519745041799331"/>
    <s v="CohortAvg"/>
    <n v="0.2"/>
    <s v="CohortAvg_NonZero"/>
    <n v="0"/>
    <s v="CohortAvg"/>
    <n v="0"/>
    <s v="Zero"/>
    <n v="0"/>
    <s v="CohortAvg"/>
    <n v="0"/>
    <s v="CohortAvg"/>
    <n v="0"/>
    <n v="-77.8"/>
    <n v="-112.52"/>
    <n v="109.67"/>
    <n v="0"/>
    <n v="0"/>
    <n v="0"/>
    <n v="0"/>
    <n v="8983.2099999999991"/>
    <n v="0.26195600000000002"/>
    <n v="1.2702"/>
    <n v="0.33274999999999999"/>
    <s v="CohortTrend+Seasonal(1.270)"/>
    <n v="2989.16"/>
    <n v="2422.91"/>
    <n v="566.25"/>
    <x v="0"/>
    <n v="0"/>
    <n v="0.78500000000000003"/>
    <n v="0.24"/>
    <n v="0"/>
    <n v="0"/>
    <n v="0"/>
    <n v="2422.91"/>
    <n v="9063.8700000000008"/>
    <n v="0.26731500000000002"/>
    <n v="566.25"/>
    <n v="566.25"/>
    <n v="0"/>
    <n v="566.25"/>
    <n v="8416.9599999999991"/>
    <s v="Forecast"/>
  </r>
  <r>
    <x v="22"/>
    <x v="1"/>
    <s v="202501"/>
    <n v="31"/>
    <n v="42719.03"/>
    <n v="-1.5293941535479061E-2"/>
    <s v="CohortAvg"/>
    <n v="-1.752512746251329E-2"/>
    <s v="CohortAvg"/>
    <n v="0.2043657081549223"/>
    <s v="CohortAvg"/>
    <n v="0"/>
    <s v="CohortAvg_NoData_ERROR"/>
    <n v="0"/>
    <s v="CohortAvg"/>
    <n v="0"/>
    <s v="Zero"/>
    <n v="0"/>
    <s v="CohortAvg"/>
    <n v="0"/>
    <s v="CohortAvg"/>
    <n v="0"/>
    <n v="-653.34"/>
    <n v="-748.66"/>
    <n v="727.53"/>
    <n v="0"/>
    <n v="0"/>
    <n v="0"/>
    <n v="0"/>
    <n v="42044.56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42719.03"/>
    <n v="0"/>
    <n v="0"/>
    <n v="0"/>
    <n v="0"/>
    <n v="0"/>
    <n v="42044.56"/>
    <s v="Forecast"/>
  </r>
  <r>
    <x v="22"/>
    <x v="1"/>
    <s v="202502"/>
    <n v="30"/>
    <n v="89426.57"/>
    <n v="-1.3861854386155651E-2"/>
    <s v="CohortAvg"/>
    <n v="-1.8946312767695501E-2"/>
    <s v="CohortAvg"/>
    <n v="0.19408038186125609"/>
    <s v="CohortAvg"/>
    <n v="0"/>
    <s v="CohortAvg_NoData_ERROR"/>
    <n v="0"/>
    <s v="CohortAvg"/>
    <n v="0"/>
    <s v="Zero"/>
    <n v="0"/>
    <s v="CohortAvg"/>
    <n v="0"/>
    <s v="CohortAvg"/>
    <n v="0"/>
    <n v="-1239.6199999999999"/>
    <n v="-1694.3"/>
    <n v="1446.33"/>
    <n v="0"/>
    <n v="0"/>
    <n v="0"/>
    <n v="0"/>
    <n v="87938.98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89426.57"/>
    <n v="0"/>
    <n v="0"/>
    <n v="0"/>
    <n v="0"/>
    <n v="0"/>
    <n v="87938.98"/>
    <s v="Forecast"/>
  </r>
  <r>
    <x v="22"/>
    <x v="1"/>
    <s v="202503"/>
    <n v="29"/>
    <n v="72104.899999999994"/>
    <n v="-9.8304608647473719E-3"/>
    <s v="CohortAvg"/>
    <n v="-1.375934276756354E-2"/>
    <s v="CohortAvg"/>
    <n v="0.2083706696875598"/>
    <s v="CohortAvg"/>
    <n v="0"/>
    <s v="CohortAvg_NoData_ERROR"/>
    <n v="0"/>
    <s v="CohortAvg"/>
    <n v="0"/>
    <s v="Zero"/>
    <n v="0"/>
    <s v="CohortAvg"/>
    <n v="0"/>
    <s v="CohortAvg"/>
    <n v="0"/>
    <n v="-708.82"/>
    <n v="-992.12"/>
    <n v="1252.05"/>
    <n v="0"/>
    <n v="0"/>
    <n v="0"/>
    <n v="0"/>
    <n v="71656"/>
    <n v="0.32967800000000003"/>
    <n v="1.2702"/>
    <n v="0.41877199999999998"/>
    <s v="CohortTrend+Seasonal(1.270)"/>
    <n v="30007.56"/>
    <n v="23893.49"/>
    <n v="6114.07"/>
    <x v="0"/>
    <n v="0"/>
    <n v="0.78500000000000003"/>
    <n v="0.24"/>
    <n v="0"/>
    <n v="0"/>
    <n v="0"/>
    <n v="23893.49"/>
    <n v="72104.899999999994"/>
    <n v="0.33137100000000003"/>
    <n v="6114.07"/>
    <n v="6114.07"/>
    <n v="0"/>
    <n v="6114.07"/>
    <n v="65541.929999999993"/>
    <s v="Forecast"/>
  </r>
  <r>
    <x v="22"/>
    <x v="1"/>
    <s v="202504"/>
    <n v="28"/>
    <n v="39726.5"/>
    <n v="-2.0713063121582439E-2"/>
    <s v="CohortAvg"/>
    <n v="-1.6747363370534021E-2"/>
    <s v="CohortAvg"/>
    <n v="0.20222141621367051"/>
    <s v="CohortAvg"/>
    <n v="0"/>
    <s v="CohortAvg_NoData_ERROR"/>
    <n v="0"/>
    <s v="CohortAvg"/>
    <n v="0"/>
    <s v="Zero"/>
    <n v="0"/>
    <s v="CohortAvg"/>
    <n v="0"/>
    <s v="CohortAvg"/>
    <n v="0"/>
    <n v="-822.86"/>
    <n v="-665.31"/>
    <n v="669.46"/>
    <n v="0"/>
    <n v="0"/>
    <n v="0"/>
    <n v="0"/>
    <n v="38907.79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39726.5"/>
    <n v="0"/>
    <n v="0"/>
    <n v="0"/>
    <n v="0"/>
    <n v="0"/>
    <n v="38907.79"/>
    <s v="Forecast"/>
  </r>
  <r>
    <x v="22"/>
    <x v="1"/>
    <s v="202505"/>
    <n v="27"/>
    <n v="13458.65"/>
    <n v="-1.02480873166095E-2"/>
    <s v="CohortAvg"/>
    <n v="-1.6734668293703039E-2"/>
    <s v="CohortAvg"/>
    <n v="0.20231556335815329"/>
    <s v="CohortAvg"/>
    <n v="0"/>
    <s v="CohortAvg_NoData_ERROR"/>
    <n v="0"/>
    <s v="CohortAvg"/>
    <n v="0"/>
    <s v="Zero"/>
    <n v="0"/>
    <s v="CohortAvg"/>
    <n v="0"/>
    <s v="CohortAvg"/>
    <n v="0"/>
    <n v="-137.93"/>
    <n v="-225.23"/>
    <n v="226.91"/>
    <n v="0"/>
    <n v="0"/>
    <n v="0"/>
    <n v="0"/>
    <n v="13322.41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13458.65"/>
    <n v="0"/>
    <n v="0"/>
    <n v="0"/>
    <n v="0"/>
    <n v="0"/>
    <n v="13322.41"/>
    <s v="Forecast"/>
  </r>
  <r>
    <x v="22"/>
    <x v="1"/>
    <s v="202506"/>
    <n v="26"/>
    <n v="22523.01"/>
    <n v="-1.431909810560684E-2"/>
    <s v="CohortAvg"/>
    <n v="-1.692851217159716E-2"/>
    <s v="CohortAvg"/>
    <n v="0.19667791583645869"/>
    <s v="CohortAvg"/>
    <n v="0"/>
    <s v="CohortAvg_NoData_ERROR"/>
    <n v="0"/>
    <s v="CohortAvg"/>
    <n v="0"/>
    <s v="Zero"/>
    <n v="0"/>
    <s v="CohortAvg"/>
    <n v="0"/>
    <s v="CohortAvg"/>
    <n v="0"/>
    <n v="-322.51"/>
    <n v="-381.28"/>
    <n v="369.15"/>
    <n v="0"/>
    <n v="0"/>
    <n v="0"/>
    <n v="0"/>
    <n v="22188.3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22523.01"/>
    <n v="0"/>
    <n v="0"/>
    <n v="0"/>
    <n v="0"/>
    <n v="0"/>
    <n v="22188.37"/>
    <s v="Forecast"/>
  </r>
  <r>
    <x v="22"/>
    <x v="1"/>
    <s v="202507"/>
    <n v="25"/>
    <n v="90326.080000000002"/>
    <n v="-1.1458226912692731E-2"/>
    <s v="CohortAvg"/>
    <n v="-1.8493687901716821E-2"/>
    <s v="CohortAvg"/>
    <n v="0.20486999584001289"/>
    <s v="CohortAvg"/>
    <n v="0"/>
    <s v="CohortAvg_NoData_ERROR"/>
    <n v="0"/>
    <s v="CohortAvg"/>
    <n v="0"/>
    <s v="Zero"/>
    <n v="0"/>
    <s v="CohortAvg"/>
    <n v="0"/>
    <s v="CohortAvg"/>
    <n v="0"/>
    <n v="-1034.98"/>
    <n v="-1670.46"/>
    <n v="1542.09"/>
    <n v="0"/>
    <n v="0"/>
    <n v="0"/>
    <n v="0"/>
    <n v="89162.74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90326.080000000002"/>
    <n v="0"/>
    <n v="0"/>
    <n v="0"/>
    <n v="0"/>
    <n v="0"/>
    <n v="89162.74"/>
    <s v="Forecast"/>
  </r>
  <r>
    <x v="22"/>
    <x v="1"/>
    <s v="202508"/>
    <n v="24"/>
    <n v="36414.79"/>
    <n v="-1.504494110767029E-2"/>
    <s v="CohortAvg"/>
    <n v="-1.512157674884897E-2"/>
    <s v="CohortAvg"/>
    <n v="0.18614894569566209"/>
    <s v="CohortAvg"/>
    <n v="0"/>
    <s v="CohortAvg_NoData_ERROR"/>
    <n v="0"/>
    <s v="CohortAvg"/>
    <n v="0"/>
    <s v="Zero"/>
    <n v="0"/>
    <s v="CohortAvg"/>
    <n v="0"/>
    <s v="CohortAvg"/>
    <n v="0"/>
    <n v="-547.86"/>
    <n v="-550.65"/>
    <n v="564.88"/>
    <n v="0"/>
    <n v="0"/>
    <n v="0"/>
    <n v="0"/>
    <n v="35881.1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36414.79"/>
    <n v="0"/>
    <n v="0"/>
    <n v="0"/>
    <n v="0"/>
    <n v="0"/>
    <n v="35881.17"/>
    <s v="Forecast"/>
  </r>
  <r>
    <x v="22"/>
    <x v="1"/>
    <s v="202509"/>
    <n v="23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2702"/>
    <n v="0"/>
    <s v="Manual+Seasonal(1.270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22"/>
    <x v="2"/>
    <s v="202101"/>
    <n v="79"/>
    <n v="28844.05"/>
    <n v="-0.1932525743800356"/>
    <s v="CohortAvg"/>
    <n v="-1.430505542939552E-2"/>
    <s v="CohortAvg"/>
    <n v="0.15662007272112899"/>
    <s v="CohortAvg"/>
    <n v="1.7900361617060271E-2"/>
    <s v="CohortAvg_NonZero"/>
    <n v="0"/>
    <s v="CohortAvg"/>
    <n v="0"/>
    <s v="Zero"/>
    <n v="0"/>
    <s v="CohortAvg"/>
    <n v="0"/>
    <s v="CohortAvg"/>
    <n v="0"/>
    <n v="-5574.19"/>
    <n v="-412.62"/>
    <n v="376.46"/>
    <n v="0"/>
    <n v="0"/>
    <n v="0"/>
    <n v="0"/>
    <n v="23233.71"/>
    <n v="0.26069999999999999"/>
    <n v="0.99739999999999995"/>
    <n v="0.26002199999999998"/>
    <s v="CohortAvg+Seasonal(0.997)"/>
    <n v="6041.27"/>
    <n v="6838.73"/>
    <n v="-797.47"/>
    <x v="0"/>
    <n v="0"/>
    <n v="0.78500000000000003"/>
    <n v="0.24"/>
    <n v="0"/>
    <n v="0"/>
    <n v="0"/>
    <n v="6838.73"/>
    <n v="28844.05"/>
    <n v="0.237093"/>
    <n v="-797.47"/>
    <n v="-797.47"/>
    <n v="0"/>
    <n v="-797.47"/>
    <n v="24031.18"/>
    <s v="Forecast"/>
  </r>
  <r>
    <x v="22"/>
    <x v="2"/>
    <s v="202201"/>
    <n v="59"/>
    <n v="32383.73"/>
    <n v="-6.4343686281173054E-2"/>
    <s v="CohortAvg"/>
    <n v="-1.346868299140308E-2"/>
    <s v="CohortAvg"/>
    <n v="0.14987278277495039"/>
    <s v="CohortAvg"/>
    <n v="3.4435895800172103E-2"/>
    <s v="CohortAvg_NonZero"/>
    <n v="4.0273264200829818E-7"/>
    <s v="CohortAvg"/>
    <n v="0"/>
    <s v="Zero"/>
    <n v="-2.7800683999131909E-7"/>
    <s v="CohortAvg"/>
    <n v="-1.255151057872182E-9"/>
    <s v="CohortAvg"/>
    <n v="0"/>
    <n v="-2083.69"/>
    <n v="-436.17"/>
    <n v="404.45"/>
    <n v="0"/>
    <n v="0.01"/>
    <n v="-0.01"/>
    <n v="0"/>
    <n v="30268.32"/>
    <n v="0.186283"/>
    <n v="0.99739999999999995"/>
    <n v="0.18579799999999999"/>
    <s v="CohortAvg+Seasonal(0.997)"/>
    <n v="5623.79"/>
    <n v="5484.96"/>
    <n v="138.83000000000001"/>
    <x v="0"/>
    <n v="0"/>
    <n v="0.78500000000000003"/>
    <n v="0.24"/>
    <n v="0"/>
    <n v="0"/>
    <n v="0"/>
    <n v="5484.96"/>
    <n v="32383.73"/>
    <n v="0.169374"/>
    <n v="138.83000000000001"/>
    <n v="138.85"/>
    <n v="0"/>
    <n v="138.85"/>
    <n v="30129.47"/>
    <s v="Forecast"/>
  </r>
  <r>
    <x v="22"/>
    <x v="2"/>
    <s v="202301"/>
    <n v="50"/>
    <n v="4350070.5599999996"/>
    <n v="-3.5823800524029448E-2"/>
    <s v="CohortAvg"/>
    <n v="-1.532782319352005E-2"/>
    <s v="CohortAvg"/>
    <n v="0.1743596303199853"/>
    <s v="CohortAvg"/>
    <n v="1.8573637119146651E-2"/>
    <s v="CohortAvg_NonZero"/>
    <n v="1.9456851632594102E-9"/>
    <s v="CohortAvg"/>
    <n v="0"/>
    <s v="Zero"/>
    <n v="-5.6583206831249876E-6"/>
    <s v="CohortAvg"/>
    <n v="-1.404638427171158E-8"/>
    <s v="CohortAvg"/>
    <n v="0"/>
    <n v="-155836.06"/>
    <n v="-66677.11"/>
    <n v="63206.39"/>
    <n v="0"/>
    <n v="0.01"/>
    <n v="-24.61"/>
    <n v="-0.06"/>
    <n v="4190763.77"/>
    <n v="0.219393"/>
    <n v="0.99739999999999995"/>
    <n v="0.21882199999999999"/>
    <s v="CohortAvg+Seasonal(0.997)"/>
    <n v="917029.88"/>
    <n v="868289.87"/>
    <n v="48740.01"/>
    <x v="0"/>
    <n v="0"/>
    <n v="0.78500000000000003"/>
    <n v="0.24"/>
    <n v="0"/>
    <n v="0"/>
    <n v="0"/>
    <n v="868289.87"/>
    <n v="4350070.5599999996"/>
    <n v="0.199604"/>
    <n v="48740.01"/>
    <n v="48740.02"/>
    <n v="0"/>
    <n v="48740.02"/>
    <n v="4142023.75"/>
    <s v="Forecast"/>
  </r>
  <r>
    <x v="22"/>
    <x v="2"/>
    <s v="202404"/>
    <n v="40"/>
    <n v="969891.89"/>
    <n v="-4.2828281647598498E-2"/>
    <s v="CohortAvg"/>
    <n v="-1.6118706793265051E-2"/>
    <s v="CohortAvg"/>
    <n v="0.1758856659107445"/>
    <s v="CohortAvg"/>
    <n v="2.1295465176544931E-2"/>
    <s v="CohortAvg_NonZero"/>
    <n v="4.1731507964890433E-8"/>
    <s v="CohortAvg"/>
    <n v="0"/>
    <s v="Zero"/>
    <n v="-2.3948483449923669E-3"/>
    <s v="CohortAvg"/>
    <n v="-1.079411791046561E-5"/>
    <s v="CohortAvg"/>
    <n v="0"/>
    <n v="-41538.800000000003"/>
    <n v="-15633.4"/>
    <n v="14215.84"/>
    <n v="0"/>
    <n v="0.04"/>
    <n v="-2322.7399999999998"/>
    <n v="-10.47"/>
    <n v="926935.48"/>
    <n v="0.21199100000000001"/>
    <n v="0.99739999999999995"/>
    <n v="0.21143899999999999"/>
    <s v="CohortAvg+Seasonal(0.997)"/>
    <n v="195990.64"/>
    <n v="198643.22"/>
    <n v="-2652.58"/>
    <x v="0"/>
    <n v="0"/>
    <n v="0.78500000000000003"/>
    <n v="0.24"/>
    <n v="0"/>
    <n v="0"/>
    <n v="0"/>
    <n v="198643.22"/>
    <n v="969891.89"/>
    <n v="0.20480999999999999"/>
    <n v="-2652.58"/>
    <n v="-2652.54"/>
    <n v="0"/>
    <n v="-2652.54"/>
    <n v="929588.02"/>
    <s v="Forecast"/>
  </r>
  <r>
    <x v="22"/>
    <x v="2"/>
    <s v="202405"/>
    <n v="39"/>
    <n v="1361121.52"/>
    <n v="-1.9050569526166149E-2"/>
    <s v="CohortAvg"/>
    <n v="-1.5115944632424791E-2"/>
    <s v="CohortAvg"/>
    <n v="0.173205542932138"/>
    <s v="CohortAvg"/>
    <n v="3.1722596639177272E-2"/>
    <s v="CohortAvg_NonZero"/>
    <n v="9.3279758971661336E-9"/>
    <s v="CohortAvg"/>
    <n v="0"/>
    <s v="Zero"/>
    <n v="-5.6517287668547168E-3"/>
    <s v="CohortAvg"/>
    <n v="-3.3962239668451607E-5"/>
    <s v="CohortAvg"/>
    <n v="0"/>
    <n v="-25930.14"/>
    <n v="-20574.64"/>
    <n v="19646.150000000001"/>
    <n v="0"/>
    <n v="0.01"/>
    <n v="-7692.69"/>
    <n v="-46.23"/>
    <n v="1334262.8700000001"/>
    <n v="0.19573199999999999"/>
    <n v="0.99739999999999995"/>
    <n v="0.19522200000000001"/>
    <s v="CohortTrend+Seasonal(0.997)"/>
    <n v="260477.96"/>
    <n v="236724.36"/>
    <n v="23753.599999999999"/>
    <x v="0"/>
    <n v="0"/>
    <n v="0.78500000000000003"/>
    <n v="0.24"/>
    <n v="0"/>
    <n v="0"/>
    <n v="0"/>
    <n v="236724.36"/>
    <n v="1361121.52"/>
    <n v="0.17391899999999999"/>
    <n v="23753.599999999999"/>
    <n v="23753.61"/>
    <n v="0"/>
    <n v="23753.61"/>
    <n v="1310509.26"/>
    <s v="Forecast"/>
  </r>
  <r>
    <x v="22"/>
    <x v="2"/>
    <s v="202406"/>
    <n v="38"/>
    <n v="865296.63"/>
    <n v="-2.7595136592666741E-2"/>
    <s v="CohortAvg"/>
    <n v="-1.5148872264026491E-2"/>
    <s v="CohortAvg"/>
    <n v="0.1718241066308186"/>
    <s v="CohortAvg"/>
    <n v="6.2920311111280935E-2"/>
    <s v="CohortAvg_NonZero"/>
    <n v="8.0953079867816137E-9"/>
    <s v="CohortAvg"/>
    <n v="0"/>
    <s v="Zero"/>
    <n v="-3.4610104314633E-3"/>
    <s v="CohortAvg"/>
    <n v="-5.4402689325700448E-5"/>
    <s v="CohortAvg"/>
    <n v="0"/>
    <n v="-23877.98"/>
    <n v="-13108.27"/>
    <n v="12389.9"/>
    <n v="0"/>
    <n v="0.01"/>
    <n v="-2994.8"/>
    <n v="-47.07"/>
    <n v="840700.28"/>
    <n v="0.19897000000000001"/>
    <n v="0.99739999999999995"/>
    <n v="0.19845199999999999"/>
    <s v="CohortTrend+Seasonal(0.997)"/>
    <n v="166838.47"/>
    <n v="153167.03"/>
    <n v="13671.44"/>
    <x v="0"/>
    <n v="0"/>
    <n v="0.78500000000000003"/>
    <n v="0.24"/>
    <n v="0"/>
    <n v="0"/>
    <n v="0"/>
    <n v="153167.03"/>
    <n v="865296.63"/>
    <n v="0.177011"/>
    <n v="13671.44"/>
    <n v="13671.45"/>
    <n v="0"/>
    <n v="13671.45"/>
    <n v="827028.83"/>
    <s v="Forecast"/>
  </r>
  <r>
    <x v="22"/>
    <x v="2"/>
    <s v="202407"/>
    <n v="37"/>
    <n v="1851392.15"/>
    <n v="-2.727618902513573E-2"/>
    <s v="CohortAvg"/>
    <n v="-1.5655438599436938E-2"/>
    <s v="CohortAvg"/>
    <n v="0.17581971275087321"/>
    <s v="CohortAvg"/>
    <n v="3.1810867501349739E-2"/>
    <s v="CohortAvg_NonZero"/>
    <n v="6.5652548581556042E-6"/>
    <s v="CohortAvg"/>
    <n v="0"/>
    <s v="Zero"/>
    <n v="-4.8828245113647596E-3"/>
    <s v="CohortAvg"/>
    <n v="-4.0836377010260338E-5"/>
    <s v="CohortAvg"/>
    <n v="0"/>
    <n v="-50498.92"/>
    <n v="-28984.36"/>
    <n v="27125.94"/>
    <n v="0"/>
    <n v="12.15"/>
    <n v="-9040.02"/>
    <n v="-75.599999999999994"/>
    <n v="1799022.65"/>
    <n v="0.17446700000000001"/>
    <n v="0.99739999999999995"/>
    <n v="0.174013"/>
    <s v="CohortTrend+Seasonal(0.997)"/>
    <n v="313052.78000000003"/>
    <n v="286773.59000000003"/>
    <n v="26279.19"/>
    <x v="0"/>
    <n v="0"/>
    <n v="0.78500000000000003"/>
    <n v="0.24"/>
    <n v="0"/>
    <n v="0"/>
    <n v="0"/>
    <n v="286773.59000000003"/>
    <n v="1851392.15"/>
    <n v="0.15489600000000001"/>
    <n v="26279.19"/>
    <n v="26291.35"/>
    <n v="0"/>
    <n v="26291.35"/>
    <n v="1772731.3"/>
    <s v="Forecast"/>
  </r>
  <r>
    <x v="22"/>
    <x v="2"/>
    <s v="202408"/>
    <n v="36"/>
    <n v="1456048.79"/>
    <n v="-2.3926086968952251E-2"/>
    <s v="CohortAvg"/>
    <n v="-1.6488700948813249E-2"/>
    <s v="CohortAvg"/>
    <n v="0.18796803749569829"/>
    <s v="CohortAvg"/>
    <n v="2.173406450960488E-2"/>
    <s v="CohortAvg_NonZero"/>
    <n v="3.2676232820726322E-9"/>
    <s v="CohortAvg"/>
    <n v="0"/>
    <s v="Zero"/>
    <n v="-2.0745127306911878E-3"/>
    <s v="CohortAvg"/>
    <n v="-2.258207596789677E-5"/>
    <s v="CohortAvg"/>
    <n v="0"/>
    <n v="-34837.550000000003"/>
    <n v="-24008.35"/>
    <n v="22807.55"/>
    <n v="0"/>
    <n v="0"/>
    <n v="-3020.59"/>
    <n v="-32.880000000000003"/>
    <n v="1420010.44"/>
    <n v="0.18181700000000001"/>
    <n v="0.99739999999999995"/>
    <n v="0.181343"/>
    <s v="CohortTrend+Seasonal(0.997)"/>
    <n v="257509.14"/>
    <n v="234228.95"/>
    <n v="23280.19"/>
    <x v="0"/>
    <n v="0"/>
    <n v="0.78500000000000003"/>
    <n v="0.24"/>
    <n v="0"/>
    <n v="0"/>
    <n v="0"/>
    <n v="234228.95"/>
    <n v="1456048.79"/>
    <n v="0.16086600000000001"/>
    <n v="23280.19"/>
    <n v="23280.2"/>
    <n v="0"/>
    <n v="23280.2"/>
    <n v="1396730.24"/>
    <s v="Forecast"/>
  </r>
  <r>
    <x v="22"/>
    <x v="2"/>
    <s v="202409"/>
    <n v="35"/>
    <n v="1120713.67"/>
    <n v="-3.262451413775979E-2"/>
    <s v="CohortAvg"/>
    <n v="-1.676700752993409E-2"/>
    <s v="CohortAvg"/>
    <n v="0.18510957282191931"/>
    <s v="CohortAvg"/>
    <n v="3.5247387141941151E-2"/>
    <s v="CohortAvg_NonZero"/>
    <n v="7.289307444385063E-6"/>
    <s v="CohortAvg"/>
    <n v="0"/>
    <s v="Zero"/>
    <n v="-1.159323531757862E-2"/>
    <s v="CohortAvg"/>
    <n v="-9.351187992631922E-5"/>
    <s v="CohortAvg"/>
    <n v="0"/>
    <n v="-36562.74"/>
    <n v="-18791.009999999998"/>
    <n v="17287.900000000001"/>
    <n v="0"/>
    <n v="8.17"/>
    <n v="-12992.7"/>
    <n v="-104.8"/>
    <n v="1082639.6499999999"/>
    <n v="0.15942799999999999"/>
    <n v="0.99739999999999995"/>
    <n v="0.15901299999999999"/>
    <s v="CohortTrend+Seasonal(0.997)"/>
    <n v="172153.86"/>
    <n v="158086.13"/>
    <n v="14067.73"/>
    <x v="0"/>
    <n v="0"/>
    <n v="0.78500000000000003"/>
    <n v="0.24"/>
    <n v="0"/>
    <n v="0"/>
    <n v="0"/>
    <n v="158086.13"/>
    <n v="1120713.67"/>
    <n v="0.14105799999999999"/>
    <n v="14067.73"/>
    <n v="14075.9"/>
    <n v="0"/>
    <n v="14075.9"/>
    <n v="1068563.75"/>
    <s v="Forecast"/>
  </r>
  <r>
    <x v="22"/>
    <x v="2"/>
    <s v="202410"/>
    <n v="34"/>
    <n v="972828.71"/>
    <n v="-4.0712786794589249E-2"/>
    <s v="CohortAvg"/>
    <n v="-1.6724893641916691E-2"/>
    <s v="CohortAvg"/>
    <n v="0.181934314110235"/>
    <s v="CohortAvg"/>
    <n v="2.955944116783233E-2"/>
    <s v="CohortAvg_NonZero"/>
    <n v="1.50116630207924E-8"/>
    <s v="CohortAvg"/>
    <n v="0"/>
    <s v="Zero"/>
    <n v="-7.1656998949186056E-3"/>
    <s v="CohortAvg"/>
    <n v="-1.104393323736634E-4"/>
    <s v="CohortAvg"/>
    <n v="0"/>
    <n v="-39606.57"/>
    <n v="-16270.46"/>
    <n v="14749.24"/>
    <n v="0"/>
    <n v="0.01"/>
    <n v="-6971"/>
    <n v="-107.44"/>
    <n v="931700.92"/>
    <n v="0.142398"/>
    <n v="0.99739999999999995"/>
    <n v="0.14202699999999999"/>
    <s v="CohortTrend+Seasonal(0.997)"/>
    <n v="132326.76"/>
    <n v="122862.59"/>
    <n v="9464.17"/>
    <x v="0"/>
    <n v="0"/>
    <n v="0.78500000000000003"/>
    <n v="0.24"/>
    <n v="0"/>
    <n v="0"/>
    <n v="0"/>
    <n v="122862.59"/>
    <n v="972828.71"/>
    <n v="0.12629399999999999"/>
    <n v="9464.17"/>
    <n v="9464.18"/>
    <n v="0"/>
    <n v="9464.18"/>
    <n v="922236.73"/>
    <s v="Forecast"/>
  </r>
  <r>
    <x v="22"/>
    <x v="2"/>
    <s v="202411"/>
    <n v="33"/>
    <n v="1202806.25"/>
    <n v="-3.7067048099724727E-2"/>
    <s v="CohortAvg"/>
    <n v="-1.7568828133323451E-2"/>
    <s v="CohortAvg"/>
    <n v="0.1900205757004671"/>
    <s v="CohortAvg"/>
    <n v="2.173930112985966E-2"/>
    <s v="CohortAvg_NonZero"/>
    <n v="1.698473835870035E-6"/>
    <s v="CohortAvg"/>
    <n v="0"/>
    <s v="Zero"/>
    <n v="-1.0815677937780609E-2"/>
    <s v="CohortAvg"/>
    <n v="-9.4656788876230341E-5"/>
    <s v="CohortAvg"/>
    <n v="0"/>
    <n v="-44584.480000000003"/>
    <n v="-21131.9"/>
    <n v="19046.490000000002"/>
    <n v="0"/>
    <n v="2.04"/>
    <n v="-13009.17"/>
    <n v="-113.85"/>
    <n v="1156134.33"/>
    <n v="0.15071899999999999"/>
    <n v="0.99739999999999995"/>
    <n v="0.15032699999999999"/>
    <s v="CohortTrend+Seasonal(0.997)"/>
    <n v="173797.73"/>
    <n v="159892.64000000001"/>
    <n v="13905.09"/>
    <x v="0"/>
    <n v="0"/>
    <n v="0.78500000000000003"/>
    <n v="0.24"/>
    <n v="0"/>
    <n v="0"/>
    <n v="0"/>
    <n v="159892.64000000001"/>
    <n v="1202806.25"/>
    <n v="0.132933"/>
    <n v="13905.09"/>
    <n v="13907.13"/>
    <n v="0"/>
    <n v="13907.13"/>
    <n v="1142227.2"/>
    <s v="Forecast"/>
  </r>
  <r>
    <x v="22"/>
    <x v="2"/>
    <s v="202412"/>
    <n v="32"/>
    <n v="1362178.61"/>
    <n v="-1.9966648289479121E-2"/>
    <s v="CohortAvg"/>
    <n v="-1.6656740153593759E-2"/>
    <s v="CohortAvg"/>
    <n v="0.1894099094648577"/>
    <s v="CohortAvg"/>
    <n v="2.8240214734831081E-2"/>
    <s v="CohortAvg_NonZero"/>
    <n v="9.4842247017492335E-9"/>
    <s v="CohortAvg"/>
    <n v="0"/>
    <s v="Zero"/>
    <n v="-1.014607774271359E-2"/>
    <s v="CohortAvg"/>
    <n v="-6.8567659358926544E-5"/>
    <s v="CohortAvg"/>
    <n v="0"/>
    <n v="-27198.14"/>
    <n v="-22689.46"/>
    <n v="21500.84"/>
    <n v="0"/>
    <n v="0.01"/>
    <n v="-13820.77"/>
    <n v="-93.4"/>
    <n v="1333791.8500000001"/>
    <n v="0.11498"/>
    <n v="0.99739999999999995"/>
    <n v="0.11468100000000001"/>
    <s v="CohortTrend+Seasonal(0.997)"/>
    <n v="152959.94"/>
    <n v="139115.66"/>
    <n v="13844.28"/>
    <x v="0"/>
    <n v="0"/>
    <n v="0.78500000000000003"/>
    <n v="0.24"/>
    <n v="0"/>
    <n v="0"/>
    <n v="0"/>
    <n v="139115.66"/>
    <n v="1362178.61"/>
    <n v="0.102127"/>
    <n v="13844.28"/>
    <n v="13844.29"/>
    <n v="0"/>
    <n v="13844.29"/>
    <n v="1319947.55"/>
    <s v="Forecast"/>
  </r>
  <r>
    <x v="22"/>
    <x v="2"/>
    <s v="202501"/>
    <n v="31"/>
    <n v="2196407.08"/>
    <n v="-3.0463088849886352E-2"/>
    <s v="CohortAvg"/>
    <n v="-1.754680523449946E-2"/>
    <s v="CohortAvg"/>
    <n v="0.19072268398875661"/>
    <s v="CohortAvg"/>
    <n v="1.559329283589596E-2"/>
    <s v="CohortAvg_NonZero"/>
    <n v="3.9915110309183611E-7"/>
    <s v="CohortAvg"/>
    <n v="0"/>
    <s v="Zero"/>
    <n v="-1.8920868554591179E-2"/>
    <s v="CohortAvg"/>
    <n v="-1.543218471436895E-4"/>
    <s v="CohortAvg"/>
    <n v="0"/>
    <n v="-66909.34"/>
    <n v="-38539.93"/>
    <n v="34908.720000000001"/>
    <n v="0"/>
    <n v="0.88"/>
    <n v="-41557.93"/>
    <n v="-338.95"/>
    <n v="2125865.65"/>
    <n v="0.12857299999999999"/>
    <n v="0.99739999999999995"/>
    <n v="0.12823799999999999"/>
    <s v="CohortTrend+Seasonal(0.997)"/>
    <n v="272616.46000000002"/>
    <n v="249165.34"/>
    <n v="23451.119999999999"/>
    <x v="0"/>
    <n v="0"/>
    <n v="0.78500000000000003"/>
    <n v="0.24"/>
    <n v="0"/>
    <n v="0"/>
    <n v="0"/>
    <n v="249165.34"/>
    <n v="2196407.08"/>
    <n v="0.113442"/>
    <n v="23451.119999999999"/>
    <n v="23451.99"/>
    <n v="0"/>
    <n v="23451.99"/>
    <n v="2102413.66"/>
    <s v="Forecast"/>
  </r>
  <r>
    <x v="22"/>
    <x v="2"/>
    <s v="202502"/>
    <n v="30"/>
    <n v="2229299.1"/>
    <n v="-3.4077118561528563E-2"/>
    <s v="CohortAvg"/>
    <n v="-1.7641534451365671E-2"/>
    <s v="CohortAvg"/>
    <n v="0.1971546058231681"/>
    <s v="CohortAvg"/>
    <n v="7.9645373695133598E-3"/>
    <s v="CohortAvg_NonZero"/>
    <n v="0"/>
    <s v="CohortAvg"/>
    <n v="0"/>
    <s v="Zero"/>
    <n v="-3.4830821979290397E-2"/>
    <s v="CohortAvg"/>
    <n v="-3.184278496212208E-4"/>
    <s v="CohortAvg"/>
    <n v="0"/>
    <n v="-75968.09"/>
    <n v="-39328.26"/>
    <n v="36626.379999999997"/>
    <n v="0"/>
    <n v="0"/>
    <n v="-77648.320000000007"/>
    <n v="-709.87"/>
    <n v="2150629.14"/>
    <n v="0.139879"/>
    <n v="0.99739999999999995"/>
    <n v="0.139514"/>
    <s v="CohortTrend+Seasonal(0.997)"/>
    <n v="300043.63"/>
    <n v="273605.94"/>
    <n v="26437.7"/>
    <x v="0"/>
    <n v="0"/>
    <n v="0.78500000000000003"/>
    <n v="0.24"/>
    <n v="0"/>
    <n v="0"/>
    <n v="0"/>
    <n v="273605.94"/>
    <n v="2229299.1"/>
    <n v="0.12273199999999999"/>
    <n v="26437.7"/>
    <n v="26437.7"/>
    <n v="0"/>
    <n v="26437.7"/>
    <n v="2124191.44"/>
    <s v="Forecast"/>
  </r>
  <r>
    <x v="22"/>
    <x v="2"/>
    <s v="202503"/>
    <n v="29"/>
    <n v="3508439.13"/>
    <n v="-2.2744810396888731E-2"/>
    <s v="CohortAvg"/>
    <n v="-1.698585071278548E-2"/>
    <s v="CohortAvg"/>
    <n v="0.20120818061134771"/>
    <s v="CohortAvg"/>
    <n v="7.1848262480383477E-3"/>
    <s v="CohortAvg_NonZero"/>
    <n v="5.5809044432625084E-10"/>
    <s v="CohortAvg"/>
    <n v="0"/>
    <s v="Zero"/>
    <n v="0"/>
    <s v="CohortAvg"/>
    <n v="0"/>
    <s v="CohortAvg"/>
    <n v="0"/>
    <n v="-79798.78"/>
    <n v="-59593.82"/>
    <n v="58827.22"/>
    <n v="0"/>
    <n v="0"/>
    <n v="0"/>
    <n v="0"/>
    <n v="3427873.74"/>
    <n v="0.137488"/>
    <n v="0.99739999999999995"/>
    <n v="0.13713"/>
    <s v="CohortTrend+Seasonal(0.997)"/>
    <n v="470064.56"/>
    <n v="422242.37"/>
    <n v="47822.19"/>
    <x v="0"/>
    <n v="0"/>
    <n v="0.78500000000000003"/>
    <n v="0.24"/>
    <n v="0"/>
    <n v="0"/>
    <n v="0"/>
    <n v="422242.37"/>
    <n v="3508439.13"/>
    <n v="0.12035"/>
    <n v="47822.19"/>
    <n v="47822.19"/>
    <n v="0"/>
    <n v="47822.19"/>
    <n v="3380051.55"/>
    <s v="Forecast"/>
  </r>
  <r>
    <x v="22"/>
    <x v="2"/>
    <s v="202504"/>
    <n v="28"/>
    <n v="4367960.2300000004"/>
    <n v="-2.462644646693021E-2"/>
    <s v="CohortAvg"/>
    <n v="-1.6909666831890709E-2"/>
    <s v="CohortAvg"/>
    <n v="0.1964226842468545"/>
    <s v="CohortAvg"/>
    <n v="3.260907177009143E-3"/>
    <s v="CohortAvg_NonZero"/>
    <n v="0"/>
    <s v="CohortAvg"/>
    <n v="0"/>
    <s v="Zero"/>
    <n v="0"/>
    <s v="CohortAvg"/>
    <n v="0"/>
    <s v="CohortAvg"/>
    <n v="0"/>
    <n v="-107567.34"/>
    <n v="-73860.75"/>
    <n v="71497.210000000006"/>
    <n v="0"/>
    <n v="0"/>
    <n v="0"/>
    <n v="0"/>
    <n v="4258029.34"/>
    <n v="0.13808400000000001"/>
    <n v="0.99739999999999995"/>
    <n v="0.13772400000000001"/>
    <s v="CohortTrend+Seasonal(0.997)"/>
    <n v="586432.80000000005"/>
    <n v="526277.92000000004"/>
    <n v="60154.879999999997"/>
    <x v="0"/>
    <n v="0"/>
    <n v="0.78500000000000003"/>
    <n v="0.24"/>
    <n v="0"/>
    <n v="0"/>
    <n v="0"/>
    <n v="526277.92000000004"/>
    <n v="4367960.2300000004"/>
    <n v="0.120486"/>
    <n v="60154.879999999997"/>
    <n v="60154.879999999997"/>
    <n v="0"/>
    <n v="60154.879999999997"/>
    <n v="4197874.46"/>
    <s v="Forecast"/>
  </r>
  <r>
    <x v="22"/>
    <x v="2"/>
    <s v="202505"/>
    <n v="27"/>
    <n v="4178101.11"/>
    <n v="-2.7479810808485852E-2"/>
    <s v="CohortAvg"/>
    <n v="-1.6602206407483149E-2"/>
    <s v="CohortAvg"/>
    <n v="0.19422312511821141"/>
    <s v="CohortAvg"/>
    <n v="0"/>
    <s v="CohortAvg_NoData_ERROR"/>
    <n v="0"/>
    <s v="CohortAvg"/>
    <n v="0"/>
    <s v="Zero"/>
    <n v="0"/>
    <s v="CohortAvg"/>
    <n v="0"/>
    <s v="CohortAvg"/>
    <n v="0"/>
    <n v="-114813.43"/>
    <n v="-69365.7"/>
    <n v="67623.649999999994"/>
    <n v="0"/>
    <n v="0"/>
    <n v="0"/>
    <n v="0"/>
    <n v="4061545.63"/>
    <n v="0.135432"/>
    <n v="0.99739999999999995"/>
    <n v="0.13508000000000001"/>
    <s v="CohortTrend+Seasonal(0.997)"/>
    <n v="548631.75"/>
    <n v="492391.11"/>
    <n v="56240.63"/>
    <x v="0"/>
    <n v="0"/>
    <n v="0.78500000000000003"/>
    <n v="0.24"/>
    <n v="0"/>
    <n v="0"/>
    <n v="0"/>
    <n v="492391.11"/>
    <n v="4178101.11"/>
    <n v="0.11785"/>
    <n v="56240.63"/>
    <n v="56240.63"/>
    <n v="0"/>
    <n v="56240.63"/>
    <n v="4005305"/>
    <s v="Forecast"/>
  </r>
  <r>
    <x v="22"/>
    <x v="2"/>
    <s v="202506"/>
    <n v="26"/>
    <n v="4828710.5999999996"/>
    <n v="-2.0103987730706398E-2"/>
    <s v="CohortAvg"/>
    <n v="-1.628191010058842E-2"/>
    <s v="CohortAvg"/>
    <n v="0.1979310190328446"/>
    <s v="CohortAvg"/>
    <n v="0"/>
    <s v="CohortAvg_NoData_ERROR"/>
    <n v="0"/>
    <s v="CohortAvg"/>
    <n v="0"/>
    <s v="Zero"/>
    <n v="0"/>
    <s v="CohortAvg"/>
    <n v="0"/>
    <s v="CohortAvg"/>
    <n v="0"/>
    <n v="-97076.34"/>
    <n v="-78620.63"/>
    <n v="79645.97"/>
    <n v="0"/>
    <n v="0"/>
    <n v="0"/>
    <n v="0"/>
    <n v="4732659.5999999996"/>
    <n v="0.13520199999999999"/>
    <n v="0.99739999999999995"/>
    <n v="0.13485"/>
    <s v="CohortTrend+Seasonal(0.997)"/>
    <n v="638196.9"/>
    <n v="565939.03"/>
    <n v="72257.87"/>
    <x v="0"/>
    <n v="0"/>
    <n v="0.78500000000000003"/>
    <n v="0.24"/>
    <n v="0"/>
    <n v="0"/>
    <n v="0"/>
    <n v="565939.03"/>
    <n v="4828710.5999999996"/>
    <n v="0.117203"/>
    <n v="72257.87"/>
    <n v="72257.87"/>
    <n v="0"/>
    <n v="72257.87"/>
    <n v="4660401.72"/>
    <s v="Forecast"/>
  </r>
  <r>
    <x v="22"/>
    <x v="2"/>
    <s v="202507"/>
    <n v="25"/>
    <n v="6280048.6200000001"/>
    <n v="-1.632978542797037E-2"/>
    <s v="CohortAvg"/>
    <n v="-1.7162506053920241E-2"/>
    <s v="CohortAvg"/>
    <n v="0.1891011800460401"/>
    <s v="CohortAvg"/>
    <n v="0"/>
    <s v="CohortAvg_NoData_ERROR"/>
    <n v="0"/>
    <s v="CohortAvg"/>
    <n v="0"/>
    <s v="Zero"/>
    <n v="0"/>
    <s v="CohortAvg"/>
    <n v="0"/>
    <s v="CohortAvg"/>
    <n v="0"/>
    <n v="-102551.85"/>
    <n v="-107781.37"/>
    <n v="98963.72"/>
    <n v="0"/>
    <n v="0"/>
    <n v="0"/>
    <n v="0"/>
    <n v="6168679.1200000001"/>
    <n v="0.12887399999999999"/>
    <n v="0.99739999999999995"/>
    <n v="0.12853800000000001"/>
    <s v="CohortTrend+Seasonal(0.997)"/>
    <n v="792909.08"/>
    <n v="699898.18"/>
    <n v="93010.91"/>
    <x v="0"/>
    <n v="0"/>
    <n v="0.78500000000000003"/>
    <n v="0.24"/>
    <n v="0"/>
    <n v="0"/>
    <n v="0"/>
    <n v="699898.18"/>
    <n v="6280048.6200000001"/>
    <n v="0.11144800000000001"/>
    <n v="93010.91"/>
    <n v="93010.91"/>
    <n v="0"/>
    <n v="93010.91"/>
    <n v="6075668.2199999997"/>
    <s v="Forecast"/>
  </r>
  <r>
    <x v="22"/>
    <x v="2"/>
    <s v="202508"/>
    <n v="24"/>
    <n v="5710146.3499999996"/>
    <n v="-1.9850294509959478E-2"/>
    <s v="CohortAvg"/>
    <n v="-1.214282120503038E-2"/>
    <s v="CohortAvg"/>
    <n v="0.19137548673341981"/>
    <s v="CohortAvg"/>
    <n v="0"/>
    <s v="CohortAvg_NoData_ERROR"/>
    <n v="3.5409734736439583E-5"/>
    <s v="CohortAvg"/>
    <n v="0"/>
    <s v="Zero"/>
    <n v="0"/>
    <s v="CohortAvg"/>
    <n v="0"/>
    <s v="CohortAvg"/>
    <n v="0"/>
    <n v="-113348.09"/>
    <n v="-69337.289999999994"/>
    <n v="91065.17"/>
    <n v="0"/>
    <n v="202.19"/>
    <n v="0"/>
    <n v="0"/>
    <n v="5618323.9500000002"/>
    <n v="0.122545"/>
    <n v="0.99739999999999995"/>
    <n v="0.122226"/>
    <s v="CohortTrend+Seasonal(0.997)"/>
    <n v="686706.85"/>
    <n v="603521.66"/>
    <n v="83185.19"/>
    <x v="0"/>
    <n v="0"/>
    <n v="0.78500000000000003"/>
    <n v="0.24"/>
    <n v="0"/>
    <n v="0"/>
    <n v="0"/>
    <n v="603521.66"/>
    <n v="5710146.3499999996"/>
    <n v="0.105693"/>
    <n v="83185.19"/>
    <n v="83387.38"/>
    <n v="0"/>
    <n v="83387.38"/>
    <n v="5534936.5700000003"/>
    <s v="Forecast"/>
  </r>
  <r>
    <x v="22"/>
    <x v="2"/>
    <s v="202509"/>
    <n v="23"/>
    <n v="86361.279999999999"/>
    <n v="-0.26541126902597989"/>
    <s v="CohortAvg"/>
    <n v="-3.2564704206568269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2921.26"/>
    <n v="-2812.33"/>
    <n v="3598.39"/>
    <n v="0"/>
    <n v="0"/>
    <n v="0"/>
    <n v="0"/>
    <n v="64226.080000000002"/>
    <n v="0.116217"/>
    <n v="0.99739999999999995"/>
    <n v="0.115915"/>
    <s v="CohortTrend+Seasonal(0.997)"/>
    <n v="7444.74"/>
    <n v="8630.76"/>
    <n v="-1186.01"/>
    <x v="0"/>
    <n v="0"/>
    <n v="0.78500000000000003"/>
    <n v="0.24"/>
    <n v="0"/>
    <n v="0"/>
    <n v="0"/>
    <n v="8630.76"/>
    <n v="86361.279999999999"/>
    <n v="9.9937999999999999E-2"/>
    <n v="-1186.01"/>
    <n v="-1186.01"/>
    <n v="0"/>
    <n v="-1186.01"/>
    <n v="65412.1"/>
    <s v="Forecast"/>
  </r>
  <r>
    <x v="22"/>
    <x v="3"/>
    <s v="201912"/>
    <n v="92"/>
    <n v="41315.64"/>
    <n v="-6.8343514135705344E-3"/>
    <s v="CohortAvg"/>
    <n v="-6.4275879101170904E-4"/>
    <s v="CohortAvg"/>
    <n v="0"/>
    <s v="CohortAvg"/>
    <n v="3.007812330862808E-2"/>
    <s v="CohortAvg_NonZero"/>
    <n v="1.055882802950482E-8"/>
    <s v="CohortAvg"/>
    <n v="0"/>
    <s v="Zero"/>
    <n v="0"/>
    <s v="CohortAvg"/>
    <n v="0"/>
    <s v="CohortAvg"/>
    <n v="0"/>
    <n v="-282.37"/>
    <n v="-26.56"/>
    <n v="0"/>
    <n v="0"/>
    <n v="0"/>
    <n v="0"/>
    <n v="0"/>
    <n v="41006.720000000001"/>
    <n v="0.98814900000000006"/>
    <n v="0.97"/>
    <n v="0.958507"/>
    <s v="CohortAvg+Seasonal(0.970)"/>
    <n v="39305.25"/>
    <n v="37142.160000000003"/>
    <n v="2163.09"/>
    <x v="0"/>
    <n v="0"/>
    <n v="0.78500000000000003"/>
    <n v="0.24"/>
    <n v="0"/>
    <n v="0"/>
    <n v="0"/>
    <n v="37142.160000000003"/>
    <n v="41315.64"/>
    <n v="0.89898500000000003"/>
    <n v="2163.09"/>
    <n v="2163.09"/>
    <n v="0"/>
    <n v="2163.09"/>
    <n v="38843.629999999997"/>
    <s v="Forecast"/>
  </r>
  <r>
    <x v="22"/>
    <x v="3"/>
    <s v="202001"/>
    <n v="91"/>
    <n v="0"/>
    <n v="-0.5"/>
    <s v="CohortAvg"/>
    <n v="-2.8415816555702002E-7"/>
    <s v="CohortAvg"/>
    <n v="0"/>
    <s v="CohortAvg"/>
    <n v="1.800451943530262E-2"/>
    <s v="CohortAvg_NonZero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0"/>
    <n v="0.81931799999999999"/>
    <n v="0.97"/>
    <n v="0.79474100000000003"/>
    <s v="CohortAvg+Seasonal(0.970)"/>
    <n v="0"/>
    <n v="0"/>
    <n v="0"/>
    <x v="0"/>
    <n v="0"/>
    <n v="0.78500000000000003"/>
    <n v="0.24"/>
    <n v="0"/>
    <n v="0"/>
    <n v="0"/>
    <n v="0"/>
    <n v="0"/>
    <n v="0.74544299999999997"/>
    <n v="0"/>
    <n v="0"/>
    <n v="0"/>
    <n v="0"/>
    <n v="0"/>
    <s v="Forecast"/>
  </r>
  <r>
    <x v="22"/>
    <x v="3"/>
    <s v="202101"/>
    <n v="79"/>
    <n v="184490.18"/>
    <n v="-0.10517522242862851"/>
    <s v="CohortAvg"/>
    <n v="-8.109284922285279E-3"/>
    <s v="CohortAvg"/>
    <n v="0.1088894678233089"/>
    <s v="CohortAvg"/>
    <n v="6.1875014282243958E-3"/>
    <s v="CohortAvg_NonZero"/>
    <n v="0"/>
    <s v="CohortAvg"/>
    <n v="0"/>
    <s v="Zero"/>
    <n v="-2.525567869923732E-6"/>
    <s v="CohortAvg"/>
    <n v="-2.6803519715618051E-8"/>
    <s v="CohortAvg"/>
    <n v="0"/>
    <n v="-19403.8"/>
    <n v="-1496.08"/>
    <n v="1674.09"/>
    <n v="0"/>
    <n v="0"/>
    <n v="-0.47"/>
    <n v="0"/>
    <n v="165264.39000000001"/>
    <n v="0.27617799999999998"/>
    <n v="0.97"/>
    <n v="0.26789299999999999"/>
    <s v="CohortAvg+Seasonal(0.970)"/>
    <n v="44273.25"/>
    <n v="46355.49"/>
    <n v="-2082.25"/>
    <x v="0"/>
    <n v="0"/>
    <n v="0.78500000000000003"/>
    <n v="0.24"/>
    <n v="0"/>
    <n v="0"/>
    <n v="0"/>
    <n v="46355.49"/>
    <n v="184490.18"/>
    <n v="0.25126300000000001"/>
    <n v="-2082.25"/>
    <n v="-2082.25"/>
    <n v="0"/>
    <n v="-2082.25"/>
    <n v="167346.63"/>
    <s v="Forecast"/>
  </r>
  <r>
    <x v="22"/>
    <x v="3"/>
    <s v="202201"/>
    <n v="59"/>
    <n v="45378.58"/>
    <n v="-8.882249417965031E-2"/>
    <s v="CohortAvg"/>
    <n v="-1.036971427361688E-2"/>
    <s v="CohortAvg"/>
    <n v="0.11260832928011839"/>
    <s v="CohortAvg"/>
    <n v="3.3687824888640923E-2"/>
    <s v="CohortAvg_NonZero"/>
    <n v="9.0867339625831862E-4"/>
    <s v="CohortAvg"/>
    <n v="0"/>
    <s v="Zero"/>
    <n v="-2.643192733785154E-6"/>
    <s v="CohortAvg"/>
    <n v="-2.2503586581808381E-8"/>
    <s v="CohortAvg"/>
    <n v="0"/>
    <n v="-4030.64"/>
    <n v="-470.56"/>
    <n v="425.83"/>
    <n v="0"/>
    <n v="41.23"/>
    <n v="-0.12"/>
    <n v="0"/>
    <n v="41261.980000000003"/>
    <n v="0.30422399999999999"/>
    <n v="0.97"/>
    <n v="0.29509800000000003"/>
    <s v="CohortAvg+Seasonal(0.970)"/>
    <n v="12176.32"/>
    <n v="12558.86"/>
    <n v="-382.54"/>
    <x v="0"/>
    <n v="0"/>
    <n v="0.78500000000000003"/>
    <n v="0.24"/>
    <n v="0"/>
    <n v="0"/>
    <n v="0"/>
    <n v="12558.86"/>
    <n v="45378.58"/>
    <n v="0.27675699999999998"/>
    <n v="-382.54"/>
    <n v="-341.3"/>
    <n v="0"/>
    <n v="-341.3"/>
    <n v="41603.279999999999"/>
    <s v="Forecast"/>
  </r>
  <r>
    <x v="22"/>
    <x v="3"/>
    <s v="202301"/>
    <n v="50"/>
    <n v="808044.65"/>
    <n v="-6.980544562479736E-2"/>
    <s v="CohortAvg"/>
    <n v="-1.614058632628973E-2"/>
    <s v="CohortAvg"/>
    <n v="0.19077280724905571"/>
    <s v="CohortAvg"/>
    <n v="2.529948326959839E-2"/>
    <s v="CohortAvg_NonZero"/>
    <n v="6.3206415185299945E-8"/>
    <s v="CohortAvg"/>
    <n v="0"/>
    <s v="Zero"/>
    <n v="-2.373875812201639E-3"/>
    <s v="CohortAvg"/>
    <n v="-1.388308029034513E-5"/>
    <s v="CohortAvg"/>
    <n v="0"/>
    <n v="-56405.919999999998"/>
    <n v="-13042.31"/>
    <n v="12846.08"/>
    <n v="0"/>
    <n v="0.05"/>
    <n v="-1918.2"/>
    <n v="-11.22"/>
    <n v="751442.45"/>
    <n v="0.28140599999999999"/>
    <n v="0.97"/>
    <n v="0.27296500000000001"/>
    <s v="CohortAvg+Seasonal(0.970)"/>
    <n v="205117.26"/>
    <n v="206949.66"/>
    <n v="-1832.39"/>
    <x v="0"/>
    <n v="0"/>
    <n v="0.78500000000000003"/>
    <n v="0.24"/>
    <n v="0"/>
    <n v="0"/>
    <n v="0"/>
    <n v="206949.66"/>
    <n v="808044.65"/>
    <n v="0.25611200000000001"/>
    <n v="-1832.39"/>
    <n v="-1832.34"/>
    <n v="0"/>
    <n v="-1832.34"/>
    <n v="753274.79"/>
    <s v="Forecast"/>
  </r>
  <r>
    <x v="22"/>
    <x v="3"/>
    <s v="202404"/>
    <n v="40"/>
    <n v="224755.9"/>
    <n v="-5.0055175862228143E-2"/>
    <s v="CohortAvg"/>
    <n v="-1.7543852446649692E-2"/>
    <s v="CohortAvg"/>
    <n v="0.19117937865948839"/>
    <s v="CohortAvg"/>
    <n v="6.35375393344942E-2"/>
    <s v="CohortAvg_NonZero"/>
    <n v="8.3908707998943737E-7"/>
    <s v="CohortAvg"/>
    <n v="0"/>
    <s v="Zero"/>
    <n v="-1.0566100326847291E-2"/>
    <s v="CohortAvg"/>
    <n v="-1.193127446075337E-4"/>
    <s v="CohortAvg"/>
    <n v="0"/>
    <n v="-11250.2"/>
    <n v="-3943.08"/>
    <n v="3580.72"/>
    <n v="0"/>
    <n v="0.19"/>
    <n v="-2374.79"/>
    <n v="-26.82"/>
    <n v="213143.16"/>
    <n v="0.22265799999999999"/>
    <n v="0.97"/>
    <n v="0.215979"/>
    <s v="CohortAvg+Seasonal(0.970)"/>
    <n v="46034.42"/>
    <n v="48095.76"/>
    <n v="-2061.33"/>
    <x v="0"/>
    <n v="0"/>
    <n v="0.78500000000000003"/>
    <n v="0.24"/>
    <n v="0"/>
    <n v="0"/>
    <n v="0"/>
    <n v="48095.76"/>
    <n v="224755.9"/>
    <n v="0.21399099999999999"/>
    <n v="-2061.33"/>
    <n v="-2061.14"/>
    <n v="0"/>
    <n v="-2061.14"/>
    <n v="215204.3"/>
    <s v="Forecast"/>
  </r>
  <r>
    <x v="22"/>
    <x v="3"/>
    <s v="202405"/>
    <n v="39"/>
    <n v="215894.29"/>
    <n v="-5.2141945038688721E-2"/>
    <s v="CohortAvg"/>
    <n v="-1.793220884716664E-2"/>
    <s v="CohortAvg"/>
    <n v="0.19977033783462919"/>
    <s v="CohortAvg"/>
    <n v="4.5812731129023981E-2"/>
    <s v="CohortAvg_NonZero"/>
    <n v="2.470226178512304E-8"/>
    <s v="CohortAvg"/>
    <n v="0"/>
    <s v="Zero"/>
    <n v="-1.2032354345714921E-2"/>
    <s v="CohortAvg"/>
    <n v="-1.0741397880791969E-4"/>
    <s v="CohortAvg"/>
    <n v="0"/>
    <n v="-11257.15"/>
    <n v="-3871.46"/>
    <n v="3594.11"/>
    <n v="0"/>
    <n v="0.01"/>
    <n v="-2597.7199999999998"/>
    <n v="-23.19"/>
    <n v="204359.78"/>
    <n v="0.189807"/>
    <n v="0.97"/>
    <n v="0.184113"/>
    <s v="CohortTrend+Seasonal(0.970)"/>
    <n v="37625.39"/>
    <n v="36592.230000000003"/>
    <n v="1033.1500000000001"/>
    <x v="0"/>
    <n v="0"/>
    <n v="0.78500000000000003"/>
    <n v="0.24"/>
    <n v="0"/>
    <n v="0"/>
    <n v="0"/>
    <n v="36592.230000000003"/>
    <n v="215894.29"/>
    <n v="0.169491"/>
    <n v="1033.1500000000001"/>
    <n v="1033.1600000000001"/>
    <n v="0"/>
    <n v="1033.1600000000001"/>
    <n v="203326.62"/>
    <s v="Forecast"/>
  </r>
  <r>
    <x v="22"/>
    <x v="3"/>
    <s v="202406"/>
    <n v="38"/>
    <n v="295052.19"/>
    <n v="-4.79960662649907E-2"/>
    <s v="CohortAvg"/>
    <n v="-1.8105507697013221E-2"/>
    <s v="CohortAvg"/>
    <n v="0.20235336371559171"/>
    <s v="CohortAvg"/>
    <n v="3.9554941482101473E-2"/>
    <s v="CohortAvg_NonZero"/>
    <n v="1.7841725383461861E-8"/>
    <s v="CohortAvg"/>
    <n v="0"/>
    <s v="Zero"/>
    <n v="-1.3749593874128999E-2"/>
    <s v="CohortAvg"/>
    <n v="-1.040934733211589E-4"/>
    <s v="CohortAvg"/>
    <n v="0"/>
    <n v="-14161.34"/>
    <n v="-5342.07"/>
    <n v="4975.3999999999996"/>
    <n v="0"/>
    <n v="0.01"/>
    <n v="-4056.85"/>
    <n v="-30.71"/>
    <n v="280524.17"/>
    <n v="0.148426"/>
    <n v="0.97"/>
    <n v="0.14397399999999999"/>
    <s v="CohortTrend+Seasonal(0.970)"/>
    <n v="40388.1"/>
    <n v="39129.300000000003"/>
    <n v="1258.8"/>
    <x v="0"/>
    <n v="0"/>
    <n v="0.78500000000000003"/>
    <n v="0.24"/>
    <n v="0"/>
    <n v="0"/>
    <n v="0"/>
    <n v="39129.300000000003"/>
    <n v="295052.19"/>
    <n v="0.13261800000000001"/>
    <n v="1258.8"/>
    <n v="1258.81"/>
    <n v="0"/>
    <n v="1258.81"/>
    <n v="279265.36"/>
    <s v="Forecast"/>
  </r>
  <r>
    <x v="22"/>
    <x v="3"/>
    <s v="202407"/>
    <n v="37"/>
    <n v="209037.07"/>
    <n v="-6.7763027093120418E-2"/>
    <s v="CohortAvg"/>
    <n v="-1.8952124710256119E-2"/>
    <s v="CohortAvg"/>
    <n v="0.20661259832147191"/>
    <s v="CohortAvg"/>
    <n v="2.7110687537933619E-2"/>
    <s v="CohortAvg_NonZero"/>
    <n v="4.4008390093764678E-6"/>
    <s v="CohortAvg"/>
    <n v="0"/>
    <s v="Zero"/>
    <n v="-1.68942428240016E-2"/>
    <s v="CohortAvg"/>
    <n v="-2.0078668292657561E-4"/>
    <s v="CohortAvg"/>
    <n v="0"/>
    <n v="-14164.98"/>
    <n v="-3961.7"/>
    <n v="3599.14"/>
    <n v="0"/>
    <n v="0.92"/>
    <n v="-3531.52"/>
    <n v="-41.97"/>
    <n v="194508.61"/>
    <n v="0.11873"/>
    <n v="0.97"/>
    <n v="0.11516800000000001"/>
    <s v="CohortTrend+Seasonal(0.970)"/>
    <n v="22401.22"/>
    <n v="22221.18"/>
    <n v="180.04"/>
    <x v="0"/>
    <n v="0"/>
    <n v="0.78500000000000003"/>
    <n v="0.24"/>
    <n v="0"/>
    <n v="0"/>
    <n v="0"/>
    <n v="22221.18"/>
    <n v="209037.07"/>
    <n v="0.10630299999999999"/>
    <n v="180.04"/>
    <n v="180.96"/>
    <n v="0"/>
    <n v="180.96"/>
    <n v="194327.65"/>
    <s v="Forecast"/>
  </r>
  <r>
    <x v="22"/>
    <x v="3"/>
    <s v="202408"/>
    <n v="36"/>
    <n v="332801.8"/>
    <n v="-4.9821689826608027E-2"/>
    <s v="CohortAvg"/>
    <n v="-1.9275403863874361E-2"/>
    <s v="CohortAvg"/>
    <n v="0.2137854116253296"/>
    <s v="CohortAvg"/>
    <n v="3.2219390895939302E-2"/>
    <s v="CohortAvg_NonZero"/>
    <n v="3.2422350004371527E-8"/>
    <s v="CohortAvg"/>
    <n v="0"/>
    <s v="Zero"/>
    <n v="-1.137836314937596E-2"/>
    <s v="CohortAvg"/>
    <n v="-9.7611302593839455E-5"/>
    <s v="CohortAvg"/>
    <n v="0"/>
    <n v="-16580.75"/>
    <n v="-6414.89"/>
    <n v="5929.01"/>
    <n v="0"/>
    <n v="0.01"/>
    <n v="-3786.74"/>
    <n v="-32.49"/>
    <n v="315735.17"/>
    <n v="9.9433999999999995E-2"/>
    <n v="0.97"/>
    <n v="9.6450999999999995E-2"/>
    <s v="CohortTrend+Seasonal(0.970)"/>
    <n v="30453.13"/>
    <n v="29707.27"/>
    <n v="745.86"/>
    <x v="0"/>
    <n v="0"/>
    <n v="0.78500000000000003"/>
    <n v="0.24"/>
    <n v="0"/>
    <n v="0"/>
    <n v="0"/>
    <n v="29707.27"/>
    <n v="332801.8"/>
    <n v="8.9263999999999996E-2"/>
    <n v="745.86"/>
    <n v="745.87"/>
    <n v="0"/>
    <n v="745.87"/>
    <n v="314989.3"/>
    <s v="Forecast"/>
  </r>
  <r>
    <x v="22"/>
    <x v="3"/>
    <s v="202409"/>
    <n v="35"/>
    <n v="175082.36"/>
    <n v="-7.4000814741283089E-2"/>
    <s v="CohortAvg"/>
    <n v="-2.0184460256554682E-2"/>
    <s v="CohortAvg"/>
    <n v="0.21041881673631219"/>
    <s v="CohortAvg"/>
    <n v="3.5810338391562363E-2"/>
    <s v="CohortAvg_NonZero"/>
    <n v="2.2189411650406778E-8"/>
    <s v="CohortAvg"/>
    <n v="0"/>
    <s v="Zero"/>
    <n v="-1.404119233629351E-2"/>
    <s v="CohortAvg"/>
    <n v="-1.092251373057095E-4"/>
    <s v="CohortAvg"/>
    <n v="0"/>
    <n v="-12956.24"/>
    <n v="-3533.94"/>
    <n v="3070.05"/>
    <n v="0"/>
    <n v="0"/>
    <n v="-2458.37"/>
    <n v="-19.12"/>
    <n v="161662.22"/>
    <n v="7.9957E-2"/>
    <n v="0.97"/>
    <n v="7.7559000000000003E-2"/>
    <s v="CohortTrend+Seasonal(0.970)"/>
    <n v="12538.31"/>
    <n v="12612.68"/>
    <n v="-74.37"/>
    <x v="0"/>
    <n v="0"/>
    <n v="0.78500000000000003"/>
    <n v="0.24"/>
    <n v="0"/>
    <n v="0"/>
    <n v="0"/>
    <n v="12612.68"/>
    <n v="175082.36"/>
    <n v="7.2039000000000006E-2"/>
    <n v="-74.37"/>
    <n v="-74.36"/>
    <n v="0"/>
    <n v="-74.36"/>
    <n v="161736.59"/>
    <s v="Forecast"/>
  </r>
  <r>
    <x v="22"/>
    <x v="3"/>
    <s v="202410"/>
    <n v="34"/>
    <n v="278869.84999999998"/>
    <n v="-4.8313279453010692E-2"/>
    <s v="CohortAvg"/>
    <n v="-2.0002907821020231E-2"/>
    <s v="CohortAvg"/>
    <n v="0.2130876220672174"/>
    <s v="CohortAvg"/>
    <n v="3.7795472750560381E-2"/>
    <s v="CohortAvg_NonZero"/>
    <n v="8.4940844942376764E-7"/>
    <s v="CohortAvg"/>
    <n v="0"/>
    <s v="Zero"/>
    <n v="-1.935042218229378E-2"/>
    <s v="CohortAvg"/>
    <n v="-1.5634154825878131E-4"/>
    <s v="CohortAvg"/>
    <n v="0"/>
    <n v="-13473.12"/>
    <n v="-5578.21"/>
    <n v="4951.9799999999996"/>
    <n v="0"/>
    <n v="0.24"/>
    <n v="-5396.25"/>
    <n v="-43.6"/>
    <n v="264770.27"/>
    <n v="7.3773000000000005E-2"/>
    <n v="0.97"/>
    <n v="7.1559999999999999E-2"/>
    <s v="CohortTrend+Seasonal(0.970)"/>
    <n v="18947.009999999998"/>
    <n v="18546.990000000002"/>
    <n v="400.02"/>
    <x v="0"/>
    <n v="0"/>
    <n v="0.78500000000000003"/>
    <n v="0.24"/>
    <n v="0"/>
    <n v="0"/>
    <n v="0"/>
    <n v="18546.990000000002"/>
    <n v="278869.84999999998"/>
    <n v="6.6507999999999998E-2"/>
    <n v="400.02"/>
    <n v="400.26"/>
    <n v="0"/>
    <n v="400.26"/>
    <n v="264370.01"/>
    <s v="Forecast"/>
  </r>
  <r>
    <x v="22"/>
    <x v="3"/>
    <s v="202411"/>
    <n v="33"/>
    <n v="313311.94"/>
    <n v="-5.2229648993335903E-2"/>
    <s v="CohortAvg"/>
    <n v="-2.012772529545212E-2"/>
    <s v="CohortAvg"/>
    <n v="0.22300751500828761"/>
    <s v="CohortAvg"/>
    <n v="2.87803712149826E-2"/>
    <s v="CohortAvg_NonZero"/>
    <n v="7.2466424380860131E-9"/>
    <s v="CohortAvg"/>
    <n v="0"/>
    <s v="Zero"/>
    <n v="-2.4210224449158341E-2"/>
    <s v="CohortAvg"/>
    <n v="-2.2342801803910511E-4"/>
    <s v="CohortAvg"/>
    <n v="0"/>
    <n v="-16364.17"/>
    <n v="-6306.26"/>
    <n v="5822.58"/>
    <n v="0"/>
    <n v="0"/>
    <n v="-7585.35"/>
    <n v="-70"/>
    <n v="296464.08"/>
    <n v="6.9443000000000005E-2"/>
    <n v="0.97"/>
    <n v="6.7360000000000003E-2"/>
    <s v="CohortTrend+Seasonal(0.970)"/>
    <n v="19969.77"/>
    <n v="19574.95"/>
    <n v="394.83"/>
    <x v="0"/>
    <n v="0"/>
    <n v="0.78500000000000003"/>
    <n v="0.24"/>
    <n v="0"/>
    <n v="0"/>
    <n v="0"/>
    <n v="19574.95"/>
    <n v="313311.94"/>
    <n v="6.2477999999999999E-2"/>
    <n v="394.83"/>
    <n v="394.83"/>
    <n v="0"/>
    <n v="394.83"/>
    <n v="296069.25"/>
    <s v="Forecast"/>
  </r>
  <r>
    <x v="22"/>
    <x v="3"/>
    <s v="202412"/>
    <n v="32"/>
    <n v="332372.32"/>
    <n v="-5.0385622782357253E-2"/>
    <s v="CohortAvg"/>
    <n v="-2.0616026813136078E-2"/>
    <s v="CohortAvg"/>
    <n v="0.22197371181400941"/>
    <s v="CohortAvg"/>
    <n v="3.3042727620129823E-2"/>
    <s v="CohortAvg_NonZero"/>
    <n v="8.2365957047087242E-7"/>
    <s v="CohortAvg"/>
    <n v="0"/>
    <s v="Zero"/>
    <n v="-4.449161605558944E-2"/>
    <s v="CohortAvg"/>
    <n v="-4.6142250267120692E-4"/>
    <s v="CohortAvg"/>
    <n v="0"/>
    <n v="-16746.79"/>
    <n v="-6852.2"/>
    <n v="6148.16"/>
    <n v="0"/>
    <n v="0.27"/>
    <n v="-14787.78"/>
    <n v="-153.36000000000001"/>
    <n v="314921.23"/>
    <n v="7.3625999999999997E-2"/>
    <n v="0.97"/>
    <n v="7.1417999999999995E-2"/>
    <s v="CohortTrend+Seasonal(0.970)"/>
    <n v="22490.94"/>
    <n v="21899.97"/>
    <n v="590.97"/>
    <x v="0"/>
    <n v="0"/>
    <n v="0.78500000000000003"/>
    <n v="0.24"/>
    <n v="0"/>
    <n v="0"/>
    <n v="0"/>
    <n v="21899.97"/>
    <n v="332372.32"/>
    <n v="6.5890000000000004E-2"/>
    <n v="590.97"/>
    <n v="591.25"/>
    <n v="0"/>
    <n v="591.25"/>
    <n v="314329.98"/>
    <s v="Forecast"/>
  </r>
  <r>
    <x v="22"/>
    <x v="3"/>
    <s v="202501"/>
    <n v="31"/>
    <n v="587467.64"/>
    <n v="-5.2602321429790003E-2"/>
    <s v="CohortAvg"/>
    <n v="-2.08356217179681E-2"/>
    <s v="CohortAvg"/>
    <n v="0.2249439553522615"/>
    <s v="CohortAvg"/>
    <n v="1.417266444305044E-2"/>
    <s v="CohortAvg_NonZero"/>
    <n v="1.518267452224925E-5"/>
    <s v="CohortAvg"/>
    <n v="0"/>
    <s v="Zero"/>
    <n v="-4.328477491750863E-2"/>
    <s v="CohortAvg"/>
    <n v="-4.6023425345712959E-4"/>
    <s v="CohortAvg"/>
    <n v="0"/>
    <n v="-30902.16"/>
    <n v="-12240.25"/>
    <n v="11012.27"/>
    <n v="0"/>
    <n v="8.92"/>
    <n v="-25428.400000000001"/>
    <n v="-270.37"/>
    <n v="555328.57999999996"/>
    <n v="7.9320000000000002E-2"/>
    <n v="0.97"/>
    <n v="7.6940999999999996E-2"/>
    <s v="CohortTrend+Seasonal(0.970)"/>
    <n v="42727.519999999997"/>
    <n v="41449.42"/>
    <n v="1278.0999999999999"/>
    <x v="0"/>
    <n v="0"/>
    <n v="0.78500000000000003"/>
    <n v="0.24"/>
    <n v="0"/>
    <n v="0"/>
    <n v="0"/>
    <n v="41449.42"/>
    <n v="587467.64"/>
    <n v="7.0555999999999994E-2"/>
    <n v="1278.0999999999999"/>
    <n v="1287.02"/>
    <n v="0"/>
    <n v="1287.02"/>
    <n v="554041.56000000006"/>
    <s v="Forecast"/>
  </r>
  <r>
    <x v="22"/>
    <x v="3"/>
    <s v="202502"/>
    <n v="30"/>
    <n v="623554.52"/>
    <n v="-5.3383081906535908E-2"/>
    <s v="CohortAvg"/>
    <n v="-1.9137440062729761E-2"/>
    <s v="CohortAvg"/>
    <n v="0.22665908450940081"/>
    <s v="CohortAvg"/>
    <n v="1.9538716444155869E-2"/>
    <s v="CohortAvg_NonZero"/>
    <n v="3.9056922863233101E-4"/>
    <s v="CohortAvg"/>
    <n v="0"/>
    <s v="Zero"/>
    <n v="-9.2299468634243098E-2"/>
    <s v="CohortAvg"/>
    <n v="-1.200187111414156E-3"/>
    <s v="CohortAvg"/>
    <n v="0"/>
    <n v="-33287.26"/>
    <n v="-11933.24"/>
    <n v="11777.86"/>
    <n v="0"/>
    <n v="243.54"/>
    <n v="-57553.75"/>
    <n v="-748.38"/>
    <n v="589868.32999999996"/>
    <n v="7.8448000000000004E-2"/>
    <n v="0.97"/>
    <n v="7.6094999999999996E-2"/>
    <s v="CohortTrend+Seasonal(0.970)"/>
    <n v="44885.9"/>
    <n v="43406.23"/>
    <n v="1479.67"/>
    <x v="0"/>
    <n v="0"/>
    <n v="0.78500000000000003"/>
    <n v="0.24"/>
    <n v="0"/>
    <n v="0"/>
    <n v="0"/>
    <n v="43406.23"/>
    <n v="623554.52"/>
    <n v="6.9611000000000006E-2"/>
    <n v="1479.67"/>
    <n v="1723.21"/>
    <n v="0"/>
    <n v="1723.21"/>
    <n v="588145.12"/>
    <s v="Forecast"/>
  </r>
  <r>
    <x v="22"/>
    <x v="3"/>
    <s v="202503"/>
    <n v="29"/>
    <n v="892401.2"/>
    <n v="-4.5514863927996869E-2"/>
    <s v="CohortAvg"/>
    <n v="-2.195967634963444E-2"/>
    <s v="CohortAvg"/>
    <n v="0.254788733429898"/>
    <s v="CohortAvg"/>
    <n v="4.6176837495393924E-3"/>
    <s v="CohortAvg_NonZero"/>
    <n v="2.4869429007897712E-9"/>
    <s v="CohortAvg"/>
    <n v="0"/>
    <s v="Zero"/>
    <n v="0"/>
    <s v="CohortAvg"/>
    <n v="0"/>
    <s v="CohortAvg"/>
    <n v="0"/>
    <n v="-40617.519999999997"/>
    <n v="-19596.84"/>
    <n v="18947.810000000001"/>
    <n v="0"/>
    <n v="0"/>
    <n v="0"/>
    <n v="0"/>
    <n v="851134.65"/>
    <n v="9.0911000000000006E-2"/>
    <n v="0.97"/>
    <n v="8.8183999999999998E-2"/>
    <s v="CohortTrend+Seasonal(0.970)"/>
    <n v="75056.460000000006"/>
    <n v="71362.789999999994"/>
    <n v="3693.67"/>
    <x v="0"/>
    <n v="0"/>
    <n v="0.78500000000000003"/>
    <n v="0.24"/>
    <n v="0"/>
    <n v="0"/>
    <n v="0"/>
    <n v="71362.789999999994"/>
    <n v="892401.2"/>
    <n v="7.9966999999999996E-2"/>
    <n v="3693.67"/>
    <n v="3693.67"/>
    <n v="0"/>
    <n v="3693.67"/>
    <n v="847440.98"/>
    <s v="Forecast"/>
  </r>
  <r>
    <x v="22"/>
    <x v="3"/>
    <s v="202504"/>
    <n v="28"/>
    <n v="653596.43999999994"/>
    <n v="-5.5778817454865667E-2"/>
    <s v="CohortAvg"/>
    <n v="-2.2022769518698079E-2"/>
    <s v="CohortAvg"/>
    <n v="0.2506868834827255"/>
    <s v="CohortAvg"/>
    <n v="2.1791689037598898E-3"/>
    <s v="CohortAvg_NonZero"/>
    <n v="1.9618986059233328E-9"/>
    <s v="CohortAvg"/>
    <n v="0"/>
    <s v="Zero"/>
    <n v="0"/>
    <s v="CohortAvg"/>
    <n v="0"/>
    <s v="CohortAvg"/>
    <n v="0"/>
    <n v="-36456.839999999997"/>
    <n v="-14394"/>
    <n v="13654"/>
    <n v="0"/>
    <n v="0"/>
    <n v="0"/>
    <n v="0"/>
    <n v="616399.6"/>
    <n v="9.1009999999999994E-2"/>
    <n v="0.97"/>
    <n v="8.8279999999999997E-2"/>
    <s v="CohortTrend+Seasonal(0.970)"/>
    <n v="54415.46"/>
    <n v="52169.62"/>
    <n v="2245.84"/>
    <x v="0"/>
    <n v="0"/>
    <n v="0.78500000000000003"/>
    <n v="0.24"/>
    <n v="0"/>
    <n v="0"/>
    <n v="0"/>
    <n v="52169.62"/>
    <n v="653596.43999999994"/>
    <n v="7.9819000000000001E-2"/>
    <n v="2245.84"/>
    <n v="2245.84"/>
    <n v="0"/>
    <n v="2245.84"/>
    <n v="614153.77"/>
    <s v="Forecast"/>
  </r>
  <r>
    <x v="22"/>
    <x v="3"/>
    <s v="202505"/>
    <n v="27"/>
    <n v="881251.1"/>
    <n v="-4.9451579158531017E-2"/>
    <s v="CohortAvg"/>
    <n v="-2.1540893264824491E-2"/>
    <s v="CohortAvg"/>
    <n v="0.24377126942017169"/>
    <s v="CohortAvg"/>
    <n v="0"/>
    <s v="CohortAvg_NoData_ERROR"/>
    <n v="0"/>
    <s v="CohortAvg"/>
    <n v="0"/>
    <s v="Zero"/>
    <n v="0"/>
    <s v="CohortAvg"/>
    <n v="0"/>
    <s v="CohortAvg"/>
    <n v="0"/>
    <n v="-43579.26"/>
    <n v="-18982.939999999999"/>
    <n v="17901.97"/>
    <n v="0"/>
    <n v="0"/>
    <n v="0"/>
    <n v="0"/>
    <n v="836590.88"/>
    <n v="9.8406999999999994E-2"/>
    <n v="0.97"/>
    <n v="9.5454999999999998E-2"/>
    <s v="CohortTrend+Seasonal(0.970)"/>
    <n v="79857.17"/>
    <n v="75579.02"/>
    <n v="4278.1499999999996"/>
    <x v="0"/>
    <n v="0"/>
    <n v="0.78500000000000003"/>
    <n v="0.24"/>
    <n v="0"/>
    <n v="0"/>
    <n v="0"/>
    <n v="75579.02"/>
    <n v="881251.1"/>
    <n v="8.5763000000000006E-2"/>
    <n v="4278.1499999999996"/>
    <n v="4278.1499999999996"/>
    <n v="0"/>
    <n v="4278.1499999999996"/>
    <n v="832312.73"/>
    <s v="Forecast"/>
  </r>
  <r>
    <x v="22"/>
    <x v="3"/>
    <s v="202506"/>
    <n v="26"/>
    <n v="941154.17"/>
    <n v="-5.3739409354333217E-2"/>
    <s v="CohortAvg"/>
    <n v="-2.2640910678032249E-2"/>
    <s v="CohortAvg"/>
    <n v="0.25628243437475379"/>
    <s v="CohortAvg"/>
    <n v="0"/>
    <s v="CohortAvg_NoData_ERROR"/>
    <n v="0"/>
    <s v="CohortAvg"/>
    <n v="0"/>
    <s v="Zero"/>
    <n v="0"/>
    <s v="CohortAvg"/>
    <n v="0"/>
    <s v="CohortAvg"/>
    <n v="0"/>
    <n v="-50577.07"/>
    <n v="-21308.59"/>
    <n v="20100.11"/>
    <n v="0"/>
    <n v="0"/>
    <n v="0"/>
    <n v="0"/>
    <n v="889368.62"/>
    <n v="9.8476999999999995E-2"/>
    <n v="0.97"/>
    <n v="9.5522999999999997E-2"/>
    <s v="CohortTrend+Seasonal(0.970)"/>
    <n v="84955.09"/>
    <n v="80467.27"/>
    <n v="4487.83"/>
    <x v="0"/>
    <n v="0"/>
    <n v="0.78500000000000003"/>
    <n v="0.24"/>
    <n v="0"/>
    <n v="0"/>
    <n v="0"/>
    <n v="80467.27"/>
    <n v="941154.17"/>
    <n v="8.5498000000000005E-2"/>
    <n v="4487.83"/>
    <n v="4487.83"/>
    <n v="0"/>
    <n v="4487.83"/>
    <n v="884880.8"/>
    <s v="Forecast"/>
  </r>
  <r>
    <x v="22"/>
    <x v="3"/>
    <s v="202507"/>
    <n v="25"/>
    <n v="1437019.89"/>
    <n v="-3.9734548995168928E-2"/>
    <s v="CohortAvg"/>
    <n v="-2.3860976658456021E-2"/>
    <s v="CohortAvg"/>
    <n v="0.25818146884865562"/>
    <s v="CohortAvg"/>
    <n v="0"/>
    <s v="CohortAvg_NoData_ERROR"/>
    <n v="0"/>
    <s v="CohortAvg"/>
    <n v="0"/>
    <s v="Zero"/>
    <n v="0"/>
    <s v="CohortAvg"/>
    <n v="0"/>
    <s v="CohortAvg"/>
    <n v="0"/>
    <n v="-57099.34"/>
    <n v="-34288.699999999997"/>
    <n v="30917.66"/>
    <n v="0"/>
    <n v="0"/>
    <n v="0"/>
    <n v="0"/>
    <n v="1376549.51"/>
    <n v="9.3978000000000006E-2"/>
    <n v="0.97"/>
    <n v="9.1159000000000004E-2"/>
    <s v="CohortTrend+Seasonal(0.970)"/>
    <n v="125485.36"/>
    <n v="116981.89"/>
    <n v="8503.4699999999993"/>
    <x v="0"/>
    <n v="0"/>
    <n v="0.78500000000000003"/>
    <n v="0.24"/>
    <n v="0"/>
    <n v="0"/>
    <n v="0"/>
    <n v="116981.89"/>
    <n v="1437019.89"/>
    <n v="8.1406000000000006E-2"/>
    <n v="8503.4699999999993"/>
    <n v="8503.4699999999993"/>
    <n v="0"/>
    <n v="8503.4699999999993"/>
    <n v="1368046.04"/>
    <s v="Forecast"/>
  </r>
  <r>
    <x v="22"/>
    <x v="3"/>
    <s v="202508"/>
    <n v="24"/>
    <n v="1699634.61"/>
    <n v="-3.9860444058555038E-2"/>
    <s v="CohortAvg"/>
    <n v="-1.828013942756878E-2"/>
    <s v="CohortAvg"/>
    <n v="0.24928686265869901"/>
    <s v="CohortAvg"/>
    <n v="0"/>
    <s v="CohortAvg_NoData_ERROR"/>
    <n v="0"/>
    <s v="CohortAvg"/>
    <n v="0"/>
    <s v="Zero"/>
    <n v="0"/>
    <s v="CohortAvg"/>
    <n v="0"/>
    <s v="CohortAvg"/>
    <n v="0"/>
    <n v="-67748.19"/>
    <n v="-31069.56"/>
    <n v="35308.050000000003"/>
    <n v="0"/>
    <n v="0"/>
    <n v="0"/>
    <n v="0"/>
    <n v="1636124.91"/>
    <n v="8.9480000000000004E-2"/>
    <n v="0.97"/>
    <n v="8.6795999999999998E-2"/>
    <s v="CohortTrend+Seasonal(0.970)"/>
    <n v="142008.74"/>
    <n v="131404.35"/>
    <n v="10604.39"/>
    <x v="0"/>
    <n v="0"/>
    <n v="0.78500000000000003"/>
    <n v="0.24"/>
    <n v="0"/>
    <n v="0"/>
    <n v="0"/>
    <n v="131404.35"/>
    <n v="1699634.61"/>
    <n v="7.7313000000000007E-2"/>
    <n v="10604.39"/>
    <n v="10604.39"/>
    <n v="0"/>
    <n v="10604.39"/>
    <n v="1625520.52"/>
    <s v="Forecast"/>
  </r>
  <r>
    <x v="22"/>
    <x v="3"/>
    <s v="202509"/>
    <n v="23"/>
    <n v="35812.89"/>
    <n v="-0.25628344039134482"/>
    <s v="CohortAvg"/>
    <n v="-3.7494249749752177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9178.25"/>
    <n v="-1342.78"/>
    <n v="1492.2"/>
    <n v="0"/>
    <n v="0"/>
    <n v="0"/>
    <n v="0"/>
    <n v="26784.07"/>
    <n v="8.4981000000000001E-2"/>
    <n v="0.97"/>
    <n v="8.2432000000000005E-2"/>
    <s v="CohortTrend+Seasonal(0.970)"/>
    <n v="2207.87"/>
    <n v="2622.24"/>
    <n v="-414.37"/>
    <x v="0"/>
    <n v="0"/>
    <n v="0.78500000000000003"/>
    <n v="0.24"/>
    <n v="0"/>
    <n v="0"/>
    <n v="0"/>
    <n v="2622.24"/>
    <n v="35812.89"/>
    <n v="7.3220999999999994E-2"/>
    <n v="-414.37"/>
    <n v="-414.37"/>
    <n v="0"/>
    <n v="-414.37"/>
    <n v="27198.44"/>
    <s v="Forecast"/>
  </r>
  <r>
    <x v="22"/>
    <x v="4"/>
    <s v="202101"/>
    <n v="77"/>
    <n v="99102.65"/>
    <n v="-0.13749057989203031"/>
    <s v="CohortAvg"/>
    <n v="-1.153604830578424E-2"/>
    <s v="CohortAvg"/>
    <n v="0.1319672692060018"/>
    <s v="CohortAvg"/>
    <n v="4.6035534331383153E-2"/>
    <s v="CohortAvg_NonZero"/>
    <n v="0"/>
    <s v="CohortAvg"/>
    <n v="0"/>
    <s v="Zero"/>
    <n v="0"/>
    <s v="CohortAvg"/>
    <n v="0"/>
    <s v="CohortAvg"/>
    <n v="0"/>
    <n v="-13625.68"/>
    <n v="-1143.25"/>
    <n v="1089.8599999999999"/>
    <n v="0"/>
    <n v="0"/>
    <n v="0"/>
    <n v="0"/>
    <n v="85423.57"/>
    <n v="0.17010400000000001"/>
    <n v="1.0589"/>
    <n v="0.18013000000000001"/>
    <s v="CohortAvg+Seasonal(1.059)"/>
    <n v="15387.31"/>
    <n v="16494.02"/>
    <n v="-1106.71"/>
    <x v="0"/>
    <n v="0"/>
    <n v="0.78500000000000003"/>
    <n v="0.24"/>
    <n v="0"/>
    <n v="0"/>
    <n v="0"/>
    <n v="16494.02"/>
    <n v="99102.65"/>
    <n v="0.166434"/>
    <n v="-1106.71"/>
    <n v="-1106.71"/>
    <n v="0"/>
    <n v="-1106.71"/>
    <n v="86530.28"/>
    <s v="Forecast"/>
  </r>
  <r>
    <x v="22"/>
    <x v="4"/>
    <s v="202201"/>
    <n v="59"/>
    <n v="9408.17"/>
    <n v="-9.8951457191396863E-2"/>
    <s v="CohortAvg"/>
    <n v="-9.5728568213442663E-3"/>
    <s v="CohortAvg"/>
    <n v="9.9585553073816044E-2"/>
    <s v="CohortAvg"/>
    <n v="3.6317454794234663E-2"/>
    <s v="CohortAvg_NonZero"/>
    <n v="6.2221846865982465E-11"/>
    <s v="CohortAvg"/>
    <n v="0"/>
    <s v="Zero"/>
    <n v="0"/>
    <s v="CohortAvg"/>
    <n v="0"/>
    <s v="CohortAvg"/>
    <n v="0"/>
    <n v="-930.95"/>
    <n v="-90.06"/>
    <n v="78.08"/>
    <n v="0"/>
    <n v="0"/>
    <n v="0"/>
    <n v="0"/>
    <n v="8465.23"/>
    <n v="3.9083E-2"/>
    <n v="1.0589"/>
    <n v="4.1385999999999999E-2"/>
    <s v="CohortAvg+Seasonal(1.059)"/>
    <n v="350.34"/>
    <n v="359.65"/>
    <n v="-9.3000000000000007"/>
    <x v="0"/>
    <n v="0"/>
    <n v="0.78500000000000003"/>
    <n v="0.24"/>
    <n v="0"/>
    <n v="0"/>
    <n v="0"/>
    <n v="359.65"/>
    <n v="9408.17"/>
    <n v="3.8226999999999997E-2"/>
    <n v="-9.3000000000000007"/>
    <n v="-9.3000000000000007"/>
    <n v="0"/>
    <n v="-9.3000000000000007"/>
    <n v="8474.5300000000007"/>
    <s v="Forecast"/>
  </r>
  <r>
    <x v="22"/>
    <x v="4"/>
    <s v="202405"/>
    <n v="39"/>
    <n v="3312.86"/>
    <n v="-1.6752952449453559E-2"/>
    <s v="CohortAvg"/>
    <n v="-1.046067971872335E-2"/>
    <s v="CohortAvg"/>
    <n v="0.1215717963704511"/>
    <s v="CohortAvg"/>
    <n v="0"/>
    <s v="CohortAvg_NoData_ERROR"/>
    <n v="0"/>
    <s v="CohortAvg"/>
    <n v="0"/>
    <s v="Zero"/>
    <n v="0"/>
    <s v="CohortAvg"/>
    <n v="0"/>
    <s v="CohortAvg"/>
    <n v="0"/>
    <n v="-55.5"/>
    <n v="-34.65"/>
    <n v="33.56"/>
    <n v="0"/>
    <n v="0"/>
    <n v="0"/>
    <n v="0"/>
    <n v="3256.27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3312.86"/>
    <n v="0"/>
    <n v="0"/>
    <n v="0"/>
    <n v="0"/>
    <n v="0"/>
    <n v="3256.27"/>
    <s v="Forecast"/>
  </r>
  <r>
    <x v="22"/>
    <x v="4"/>
    <s v="202407"/>
    <n v="37"/>
    <n v="925.1"/>
    <n v="-5.3630910367496558E-2"/>
    <s v="CohortAvg"/>
    <n v="-1.04973982032384E-2"/>
    <s v="CohortAvg"/>
    <n v="0.1204574408118306"/>
    <s v="CohortAvg"/>
    <n v="0"/>
    <s v="CohortAvg_NoData_ERROR"/>
    <n v="0"/>
    <s v="CohortAvg"/>
    <n v="0"/>
    <s v="Zero"/>
    <n v="0"/>
    <s v="CohortAvg"/>
    <n v="0"/>
    <s v="CohortAvg"/>
    <n v="0"/>
    <n v="-49.61"/>
    <n v="-9.7100000000000009"/>
    <n v="9.2899999999999991"/>
    <n v="0"/>
    <n v="0"/>
    <n v="0"/>
    <n v="0"/>
    <n v="875.06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925.1"/>
    <n v="0"/>
    <n v="0"/>
    <n v="0"/>
    <n v="0"/>
    <n v="0"/>
    <n v="875.06"/>
    <s v="Forecast"/>
  </r>
  <r>
    <x v="22"/>
    <x v="4"/>
    <s v="202409"/>
    <n v="35"/>
    <n v="3840.67"/>
    <n v="-4.3486802490717812E-2"/>
    <s v="CohortAvg"/>
    <n v="-1.046704915701991E-2"/>
    <s v="CohortAvg"/>
    <n v="0.1208174493444228"/>
    <s v="CohortAvg"/>
    <n v="0"/>
    <s v="CohortAvg_NoData_ERROR"/>
    <n v="0"/>
    <s v="CohortAvg"/>
    <n v="0"/>
    <s v="Zero"/>
    <n v="0"/>
    <s v="CohortAvg"/>
    <n v="0"/>
    <s v="CohortAvg"/>
    <n v="0"/>
    <n v="-167.02"/>
    <n v="-40.200000000000003"/>
    <n v="38.67"/>
    <n v="0"/>
    <n v="0"/>
    <n v="0"/>
    <n v="0"/>
    <n v="3672.12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3840.67"/>
    <n v="0"/>
    <n v="0"/>
    <n v="0"/>
    <n v="0"/>
    <n v="0"/>
    <n v="3672.12"/>
    <s v="Forecast"/>
  </r>
  <r>
    <x v="22"/>
    <x v="4"/>
    <s v="202504"/>
    <n v="28"/>
    <n v="3497.55"/>
    <n v="-1.298320716692945E-2"/>
    <s v="CohortAvg"/>
    <n v="-1.0430271310813409E-2"/>
    <s v="CohortAvg"/>
    <n v="0.1256106236933317"/>
    <s v="CohortAvg"/>
    <n v="0"/>
    <s v="CohortAvg_NoData_ERROR"/>
    <n v="0"/>
    <s v="CohortAvg"/>
    <n v="0"/>
    <s v="Zero"/>
    <n v="0"/>
    <s v="CohortAvg"/>
    <n v="0"/>
    <s v="CohortAvg"/>
    <n v="0"/>
    <n v="-45.41"/>
    <n v="-36.479999999999997"/>
    <n v="36.61"/>
    <n v="0"/>
    <n v="0"/>
    <n v="0"/>
    <n v="0"/>
    <n v="3452.27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3497.55"/>
    <n v="0"/>
    <n v="0"/>
    <n v="0"/>
    <n v="0"/>
    <n v="0"/>
    <n v="3452.27"/>
    <s v="Forecast"/>
  </r>
  <r>
    <x v="22"/>
    <x v="4"/>
    <s v="202507"/>
    <n v="25"/>
    <n v="7944.56"/>
    <n v="-1.16781100182909E-2"/>
    <s v="CohortAvg"/>
    <n v="-1.15437059349403E-2"/>
    <s v="CohortAvg"/>
    <n v="0.13736097318430829"/>
    <s v="CohortAvg"/>
    <n v="0"/>
    <s v="CohortAvg_NoData_ERROR"/>
    <n v="0"/>
    <s v="CohortAvg"/>
    <n v="0"/>
    <s v="Zero"/>
    <n v="0"/>
    <s v="CohortAvg"/>
    <n v="0"/>
    <s v="CohortAvg"/>
    <n v="0"/>
    <n v="-92.78"/>
    <n v="-91.71"/>
    <n v="90.94"/>
    <n v="0"/>
    <n v="0"/>
    <n v="0"/>
    <n v="0"/>
    <n v="7851.01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7944.56"/>
    <n v="0"/>
    <n v="0"/>
    <n v="0"/>
    <n v="0"/>
    <n v="0"/>
    <n v="7851.01"/>
    <s v="Forecast"/>
  </r>
  <r>
    <x v="22"/>
    <x v="4"/>
    <s v="202508"/>
    <n v="24"/>
    <n v="29976.63"/>
    <n v="-7.6137890555483959E-3"/>
    <s v="CohortAvg"/>
    <n v="-3.9187105281753686E-3"/>
    <s v="CohortAvg"/>
    <n v="0.1366139049302392"/>
    <s v="CohortAvg"/>
    <n v="0"/>
    <s v="CohortAvg_NoData_ERROR"/>
    <n v="0"/>
    <s v="CohortAvg"/>
    <n v="0"/>
    <s v="Zero"/>
    <n v="0"/>
    <s v="CohortAvg"/>
    <n v="0"/>
    <s v="CohortAvg"/>
    <n v="0"/>
    <n v="-228.24"/>
    <n v="-117.47"/>
    <n v="341.27"/>
    <n v="0"/>
    <n v="0"/>
    <n v="0"/>
    <n v="0"/>
    <n v="29972.19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29976.63"/>
    <n v="0"/>
    <n v="0"/>
    <n v="0"/>
    <n v="0"/>
    <n v="0"/>
    <n v="29972.19"/>
    <s v="Forecast"/>
  </r>
  <r>
    <x v="22"/>
    <x v="4"/>
    <s v="202509"/>
    <n v="23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0589"/>
    <n v="0"/>
    <s v="Manual+Seasonal(1.059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3"/>
    <x v="0"/>
    <s v="201912"/>
    <n v="93"/>
    <n v="287978.08"/>
    <n v="-5.1900330313068926E-4"/>
    <s v="CohortAvg"/>
    <n v="1.477181531861908E-3"/>
    <s v="CohortAvg"/>
    <n v="0"/>
    <s v="CohortAvg"/>
    <n v="2.8921029662625119E-2"/>
    <s v="CohortAvg_NonZero"/>
    <n v="9.4033860307786274E-7"/>
    <s v="CohortAvg"/>
    <n v="0"/>
    <s v="Zero"/>
    <n v="0"/>
    <s v="CohortAvg"/>
    <n v="0"/>
    <s v="CohortAvg"/>
    <n v="0"/>
    <n v="-149.46"/>
    <n v="425.4"/>
    <n v="0"/>
    <n v="8328.6200000000008"/>
    <n v="0.27"/>
    <n v="0"/>
    <n v="0"/>
    <n v="279074.33"/>
    <n v="0.99670199999999998"/>
    <n v="1.0038"/>
    <n v="1.0004839999999999"/>
    <s v="CohortAvg+Seasonal(1.004)"/>
    <n v="279209.33"/>
    <n v="277171.96999999997"/>
    <n v="2037.36"/>
    <x v="1"/>
    <n v="8328.6200000000008"/>
    <n v="0.78500000000000003"/>
    <n v="0.24"/>
    <n v="6537.97"/>
    <n v="6537.97"/>
    <n v="1998.87"/>
    <n v="270634"/>
    <n v="279649.45"/>
    <n v="0.96776200000000001"/>
    <n v="8575.33"/>
    <n v="8575.6"/>
    <n v="16865.46"/>
    <n v="25441.06"/>
    <n v="253633.27"/>
    <s v="Forecast"/>
  </r>
  <r>
    <x v="23"/>
    <x v="0"/>
    <s v="202001"/>
    <n v="92"/>
    <n v="36138.120000000003"/>
    <n v="3.8578988042503558E-2"/>
    <s v="CohortAvg"/>
    <n v="1.6554080837135529E-3"/>
    <s v="CohortAvg"/>
    <n v="0"/>
    <s v="CohortAvg"/>
    <n v="1.3079366763306311E-2"/>
    <s v="CohortAvg_NonZero"/>
    <n v="0"/>
    <s v="CohortAvg"/>
    <n v="0"/>
    <s v="Zero"/>
    <n v="0"/>
    <s v="CohortAvg"/>
    <n v="0"/>
    <s v="CohortAvg"/>
    <n v="0"/>
    <n v="1394.17"/>
    <n v="59.82"/>
    <n v="0"/>
    <n v="472.66"/>
    <n v="0"/>
    <n v="0"/>
    <n v="0"/>
    <n v="34211.46"/>
    <n v="0.998394"/>
    <n v="1.0038"/>
    <n v="1.0021819999999999"/>
    <s v="CohortAvg+Seasonal(1.004)"/>
    <n v="34286.120000000003"/>
    <n v="34841.08"/>
    <n v="-554.95000000000005"/>
    <x v="1"/>
    <n v="472.66"/>
    <n v="0.78500000000000003"/>
    <n v="0.24"/>
    <n v="371.04"/>
    <n v="371.04"/>
    <n v="113.44"/>
    <n v="34470.04"/>
    <n v="35665.449999999997"/>
    <n v="0.96648199999999995"/>
    <n v="-183.91"/>
    <n v="-183.91"/>
    <n v="957.14"/>
    <n v="773.23"/>
    <n v="33438.230000000003"/>
    <s v="Forecast"/>
  </r>
  <r>
    <x v="23"/>
    <x v="0"/>
    <s v="202101"/>
    <n v="80"/>
    <n v="636465.6"/>
    <n v="-5.2792079525385499E-3"/>
    <s v="CohortAvg"/>
    <n v="-2.0592534689765382E-3"/>
    <s v="CohortAvg"/>
    <n v="0"/>
    <s v="CohortAvg"/>
    <n v="1.540888632684418E-2"/>
    <s v="CohortAvg_NonZero"/>
    <n v="7.7654067152145459E-7"/>
    <s v="CohortAvg"/>
    <n v="0"/>
    <s v="Zero"/>
    <n v="0"/>
    <s v="CohortAvg"/>
    <n v="0"/>
    <s v="CohortAvg"/>
    <n v="0"/>
    <n v="-3360.03"/>
    <n v="-1310.6400000000001"/>
    <n v="0"/>
    <n v="9807.23"/>
    <n v="0.49"/>
    <n v="0"/>
    <n v="0"/>
    <n v="621987.19999999995"/>
    <n v="0.94487399999999999"/>
    <n v="1.0038"/>
    <n v="0.94845999999999997"/>
    <s v="CohortAvg+Seasonal(1.004)"/>
    <n v="589929.79"/>
    <n v="580727"/>
    <n v="9202.7999999999993"/>
    <x v="1"/>
    <n v="9807.23"/>
    <n v="0.78500000000000003"/>
    <n v="0.24"/>
    <n v="7698.67"/>
    <n v="7698.67"/>
    <n v="2353.73"/>
    <n v="573028.31999999995"/>
    <n v="626658.38"/>
    <n v="0.91441899999999998"/>
    <n v="16901.47"/>
    <n v="16901.96"/>
    <n v="19859.63"/>
    <n v="36761.599999999999"/>
    <n v="585225.61"/>
    <s v="Forecast"/>
  </r>
  <r>
    <x v="23"/>
    <x v="0"/>
    <s v="202201"/>
    <n v="60"/>
    <n v="46049.53"/>
    <n v="-0.1152123948948762"/>
    <s v="CohortAvg"/>
    <n v="-5.9074208343130414E-3"/>
    <s v="CohortAvg"/>
    <n v="2.4935110985158059E-2"/>
    <s v="CohortAvg"/>
    <n v="4.2734011575556258E-2"/>
    <s v="CohortAvg_NonZero"/>
    <n v="4.5510492874946988E-3"/>
    <s v="CohortAvg"/>
    <n v="0"/>
    <s v="Zero"/>
    <n v="-1.173877336194298E-6"/>
    <s v="CohortAvg"/>
    <n v="-2.5862408151436681E-8"/>
    <s v="CohortAvg"/>
    <n v="0"/>
    <n v="-5305.48"/>
    <n v="-272.02999999999997"/>
    <n v="95.69"/>
    <n v="1967.88"/>
    <n v="209.57"/>
    <n v="-0.05"/>
    <n v="0"/>
    <n v="38390.25"/>
    <n v="0.58490500000000001"/>
    <n v="1.0038"/>
    <n v="0.58712500000000001"/>
    <s v="CohortAvg+Seasonal(1.004)"/>
    <n v="22539.87"/>
    <n v="26009.81"/>
    <n v="-3469.94"/>
    <x v="1"/>
    <n v="1967.88"/>
    <n v="0.78500000000000003"/>
    <n v="0.24"/>
    <n v="1544.79"/>
    <n v="1544.79"/>
    <n v="472.29"/>
    <n v="24465.03"/>
    <n v="44081.65"/>
    <n v="0.55499399999999999"/>
    <n v="-1925.15"/>
    <n v="-1715.58"/>
    <n v="3984.96"/>
    <n v="2269.38"/>
    <n v="36120.870000000003"/>
    <s v="Forecast"/>
  </r>
  <r>
    <x v="23"/>
    <x v="0"/>
    <s v="202301"/>
    <n v="51"/>
    <n v="822925.8"/>
    <n v="-6.9354757302638251E-2"/>
    <s v="CohortAvg"/>
    <n v="-1.6834296976111721E-2"/>
    <s v="CohortAvg"/>
    <n v="0.20595726976719991"/>
    <s v="CohortAvg"/>
    <n v="6.6433298388669099E-2"/>
    <s v="CohortAvg_NonZero"/>
    <n v="1.104395524260962E-4"/>
    <s v="CohortAvg"/>
    <n v="0"/>
    <s v="Zero"/>
    <n v="-5.1693677638857136E-3"/>
    <s v="CohortAvg"/>
    <n v="-7.0837364837675898E-5"/>
    <s v="CohortAvg"/>
    <n v="0"/>
    <n v="-57073.82"/>
    <n v="-13853.38"/>
    <n v="14123.96"/>
    <n v="54669.68"/>
    <n v="90.88"/>
    <n v="-4254.01"/>
    <n v="-58.29"/>
    <n v="711362"/>
    <n v="0.60724299999999998"/>
    <n v="1.0038"/>
    <n v="0.60954699999999995"/>
    <s v="CohortAvg+Seasonal(1.004)"/>
    <n v="433608.51"/>
    <n v="482927.54"/>
    <n v="-49319.03"/>
    <x v="1"/>
    <n v="54669.68"/>
    <n v="0.78500000000000003"/>
    <n v="0.24"/>
    <n v="42915.69"/>
    <n v="42915.69"/>
    <n v="13120.72"/>
    <n v="440011.85"/>
    <n v="768256.12"/>
    <n v="0.57274099999999994"/>
    <n v="-6403.34"/>
    <n v="-6312.45"/>
    <n v="110706.09"/>
    <n v="104393.64"/>
    <n v="606968.37"/>
    <s v="Forecast"/>
  </r>
  <r>
    <x v="23"/>
    <x v="0"/>
    <s v="202404"/>
    <n v="41"/>
    <n v="103586.11"/>
    <n v="-7.2379875706178973E-2"/>
    <s v="CohortAvg"/>
    <n v="-2.407259018984545E-2"/>
    <s v="CohortAvg"/>
    <n v="0.25291956560631729"/>
    <s v="CohortAvg"/>
    <n v="0.10969796840981989"/>
    <s v="CohortAvg_NonZero"/>
    <n v="9.4662976944028587E-5"/>
    <s v="CohortAvg"/>
    <n v="0"/>
    <s v="Zero"/>
    <n v="-7.6149205362583874E-3"/>
    <s v="CohortAvg"/>
    <n v="-1.6217795322594011E-4"/>
    <s v="CohortAvg"/>
    <n v="0"/>
    <n v="-7497.55"/>
    <n v="-2493.59"/>
    <n v="2183.25"/>
    <n v="11363.19"/>
    <n v="9.81"/>
    <n v="-788.8"/>
    <n v="-16.8"/>
    <n v="84405.23"/>
    <n v="0.47977399999999998"/>
    <n v="1.0038"/>
    <n v="0.48159400000000002"/>
    <s v="CohortAvg+Seasonal(1.004)"/>
    <n v="40649.08"/>
    <n v="47576.01"/>
    <n v="-6926.93"/>
    <x v="1"/>
    <n v="11363.19"/>
    <n v="0.78500000000000003"/>
    <n v="0.24"/>
    <n v="8920.1"/>
    <n v="8920.1"/>
    <n v="2727.16"/>
    <n v="38655.910000000003"/>
    <n v="92222.92"/>
    <n v="0.419157"/>
    <n v="1993.17"/>
    <n v="2002.98"/>
    <n v="23010.45"/>
    <n v="25013.43"/>
    <n v="59391.8"/>
    <s v="Forecast"/>
  </r>
  <r>
    <x v="23"/>
    <x v="0"/>
    <s v="202405"/>
    <n v="40"/>
    <n v="172360.92"/>
    <n v="-6.092558084815395E-2"/>
    <s v="CohortAvg"/>
    <n v="-2.4304634201896338E-2"/>
    <s v="CohortAvg"/>
    <n v="0.2615606525270267"/>
    <s v="CohortAvg"/>
    <n v="0.1059416695264624"/>
    <s v="CohortAvg_NonZero"/>
    <n v="1.5030431558287551E-4"/>
    <s v="CohortAvg"/>
    <n v="0"/>
    <s v="Zero"/>
    <n v="-1.144859686592647E-2"/>
    <s v="CohortAvg"/>
    <n v="-2.0152156092992791E-4"/>
    <s v="CohortAvg"/>
    <n v="0"/>
    <n v="-10501.19"/>
    <n v="-4189.17"/>
    <n v="3756.9"/>
    <n v="18260.2"/>
    <n v="25.91"/>
    <n v="-1973.29"/>
    <n v="-34.729999999999997"/>
    <n v="143141.35999999999"/>
    <n v="0.417209"/>
    <n v="1.0038"/>
    <n v="0.418792"/>
    <s v="CohortAvg+Seasonal(1.004)"/>
    <n v="59946.45"/>
    <n v="72532.88"/>
    <n v="-12586.44"/>
    <x v="1"/>
    <n v="18260.2"/>
    <n v="0.78500000000000003"/>
    <n v="0.24"/>
    <n v="14334.26"/>
    <n v="14334.26"/>
    <n v="4382.45"/>
    <n v="58198.62"/>
    <n v="154100.72"/>
    <n v="0.377666"/>
    <n v="1747.82"/>
    <n v="1773.73"/>
    <n v="36976.910000000003"/>
    <n v="38750.639999999999"/>
    <n v="104390.71"/>
    <s v="Forecast"/>
  </r>
  <r>
    <x v="23"/>
    <x v="0"/>
    <s v="202406"/>
    <n v="39"/>
    <n v="354182.47"/>
    <n v="-5.5986545812280568E-2"/>
    <s v="CohortAvg"/>
    <n v="-2.5464576867618421E-2"/>
    <s v="CohortAvg"/>
    <n v="0.28030832574998588"/>
    <s v="CohortAvg"/>
    <n v="6.6250154634581213E-2"/>
    <s v="CohortAvg_NonZero"/>
    <n v="1.4223724643446781E-5"/>
    <s v="CohortAvg"/>
    <n v="0"/>
    <s v="Zero"/>
    <n v="-9.5167024205099603E-3"/>
    <s v="CohortAvg"/>
    <n v="-2.071188721244996E-4"/>
    <s v="CohortAvg"/>
    <n v="0"/>
    <n v="-19829.45"/>
    <n v="-9019.11"/>
    <n v="8273.36"/>
    <n v="23464.639999999999"/>
    <n v="5.04"/>
    <n v="-3370.65"/>
    <n v="-73.36"/>
    <n v="310137.59000000003"/>
    <n v="0.401924"/>
    <n v="1.0038"/>
    <n v="0.40344999999999998"/>
    <s v="CohortTrend+Seasonal(1.004)"/>
    <n v="125124.87"/>
    <n v="134956.84"/>
    <n v="-9831.9699999999993"/>
    <x v="1"/>
    <n v="23464.639999999999"/>
    <n v="0.78500000000000003"/>
    <n v="0.24"/>
    <n v="18419.75"/>
    <n v="18419.75"/>
    <n v="5631.51"/>
    <n v="116537.09"/>
    <n v="330717.83"/>
    <n v="0.35237600000000002"/>
    <n v="8587.7800000000007"/>
    <n v="8592.82"/>
    <n v="47515.9"/>
    <n v="56108.72"/>
    <n v="254028.87"/>
    <s v="Forecast"/>
  </r>
  <r>
    <x v="23"/>
    <x v="0"/>
    <s v="202407"/>
    <n v="38"/>
    <n v="373067.54"/>
    <n v="-5.2820596276544812E-2"/>
    <s v="CohortAvg"/>
    <n v="-2.6783518351935591E-2"/>
    <s v="CohortAvg"/>
    <n v="0.28889706601672638"/>
    <s v="CohortAvg"/>
    <n v="7.3964406445855294E-2"/>
    <s v="CohortAvg_NonZero"/>
    <n v="1.8351093971026701E-5"/>
    <s v="CohortAvg"/>
    <n v="0"/>
    <s v="Zero"/>
    <n v="-1.210012761703661E-2"/>
    <s v="CohortAvg"/>
    <n v="-6.3948522464605574E-5"/>
    <s v="CohortAvg"/>
    <n v="0"/>
    <n v="-19705.650000000001"/>
    <n v="-9992.06"/>
    <n v="8981.51"/>
    <n v="27593.72"/>
    <n v="6.85"/>
    <n v="-4514.16"/>
    <n v="-23.86"/>
    <n v="324750.78000000003"/>
    <n v="0.331708"/>
    <n v="1.0038"/>
    <n v="0.33296700000000001"/>
    <s v="CohortTrend+Seasonal(1.004)"/>
    <n v="108131.19"/>
    <n v="117641.62"/>
    <n v="-9510.43"/>
    <x v="1"/>
    <n v="27593.72"/>
    <n v="0.78500000000000003"/>
    <n v="0.24"/>
    <n v="21661.07"/>
    <n v="21661.07"/>
    <n v="6622.49"/>
    <n v="95980.55"/>
    <n v="345473.83"/>
    <n v="0.27782299999999999"/>
    <n v="12150.64"/>
    <n v="12157.49"/>
    <n v="55877.279999999999"/>
    <n v="68034.77"/>
    <n v="256716.01"/>
    <s v="Forecast"/>
  </r>
  <r>
    <x v="23"/>
    <x v="0"/>
    <s v="202408"/>
    <n v="37"/>
    <n v="250315.98"/>
    <n v="-6.4848434800489255E-2"/>
    <s v="CohortAvg"/>
    <n v="-2.613508903392478E-2"/>
    <s v="CohortAvg"/>
    <n v="0.27903969356650032"/>
    <s v="CohortAvg"/>
    <n v="9.7488231050137542E-2"/>
    <s v="CohortAvg_NonZero"/>
    <n v="1.2227622548609149E-4"/>
    <s v="CohortAvg"/>
    <n v="0"/>
    <s v="Zero"/>
    <n v="-1.352497557491295E-2"/>
    <s v="CohortAvg"/>
    <n v="-3.0989716921210467E-4"/>
    <s v="CohortAvg"/>
    <n v="0"/>
    <n v="-16232.6"/>
    <n v="-6542.03"/>
    <n v="5820.67"/>
    <n v="24402.86"/>
    <n v="30.61"/>
    <n v="-3385.52"/>
    <n v="-77.569999999999993"/>
    <n v="208928.55"/>
    <n v="0.30383700000000002"/>
    <n v="1.0038"/>
    <n v="0.30498999999999998"/>
    <s v="CohortTrend+Seasonal(1.004)"/>
    <n v="63721.08"/>
    <n v="72364.850000000006"/>
    <n v="-8643.7800000000007"/>
    <x v="1"/>
    <n v="24402.86"/>
    <n v="0.78500000000000003"/>
    <n v="0.24"/>
    <n v="19156.25"/>
    <n v="19156.25"/>
    <n v="5856.69"/>
    <n v="53208.61"/>
    <n v="225913.11"/>
    <n v="0.23552699999999999"/>
    <n v="10512.47"/>
    <n v="10543.08"/>
    <n v="49415.79"/>
    <n v="59958.87"/>
    <n v="148969.68"/>
    <s v="Forecast"/>
  </r>
  <r>
    <x v="23"/>
    <x v="0"/>
    <s v="202409"/>
    <n v="36"/>
    <n v="199829.64"/>
    <n v="-7.0469367514095438E-2"/>
    <s v="CohortAvg"/>
    <n v="-2.937525635655272E-2"/>
    <s v="CohortAvg"/>
    <n v="0.29635401039585402"/>
    <s v="CohortAvg"/>
    <n v="0.1016455372902752"/>
    <s v="CohortAvg_NonZero"/>
    <n v="3.3188421003668109E-4"/>
    <s v="CohortAvg"/>
    <n v="0"/>
    <s v="Zero"/>
    <n v="-1.5542382204111031E-2"/>
    <s v="CohortAvg"/>
    <n v="9.8792588021653547E-4"/>
    <s v="CohortAvg"/>
    <n v="0"/>
    <n v="-14081.87"/>
    <n v="-5870.05"/>
    <n v="4935.03"/>
    <n v="20311.79"/>
    <n v="66.319999999999993"/>
    <n v="-3105.83"/>
    <n v="197.42"/>
    <n v="164434.64000000001"/>
    <n v="0.28511700000000001"/>
    <n v="1.0038"/>
    <n v="0.28619899999999998"/>
    <s v="CohortTrend+Seasonal(1.004)"/>
    <n v="47061"/>
    <n v="54189.46"/>
    <n v="-7128.46"/>
    <x v="1"/>
    <n v="20311.79"/>
    <n v="0.78500000000000003"/>
    <n v="0.24"/>
    <n v="15944.76"/>
    <n v="15944.76"/>
    <n v="4874.83"/>
    <n v="38244.699999999997"/>
    <n v="179517.84"/>
    <n v="0.21304100000000001"/>
    <n v="8816.2999999999993"/>
    <n v="8882.6200000000008"/>
    <n v="41131.379999999997"/>
    <n v="50014"/>
    <n v="114420.64"/>
    <s v="Forecast"/>
  </r>
  <r>
    <x v="23"/>
    <x v="0"/>
    <s v="202410"/>
    <n v="35"/>
    <n v="326505.06"/>
    <n v="-6.4995482977234884E-2"/>
    <s v="CohortAvg"/>
    <n v="-2.9862930700492379E-2"/>
    <s v="CohortAvg"/>
    <n v="0.29581986786812092"/>
    <s v="CohortAvg"/>
    <n v="9.1329475710499389E-2"/>
    <s v="CohortAvg_NonZero"/>
    <n v="8.4053798543670631E-5"/>
    <s v="CohortAvg"/>
    <n v="0"/>
    <s v="Zero"/>
    <n v="-1.9161010184043599E-2"/>
    <s v="CohortAvg"/>
    <n v="-2.8035992893025172E-4"/>
    <s v="CohortAvg"/>
    <n v="0"/>
    <n v="-21221.35"/>
    <n v="-9750.4"/>
    <n v="8048.89"/>
    <n v="29819.54"/>
    <n v="27.44"/>
    <n v="-6256.17"/>
    <n v="-91.54"/>
    <n v="273735.21999999997"/>
    <n v="0.26731199999999999"/>
    <n v="1.0038"/>
    <n v="0.26832600000000001"/>
    <s v="CohortTrend+Seasonal(1.004)"/>
    <n v="73450.3"/>
    <n v="83085.95"/>
    <n v="-9635.65"/>
    <x v="1"/>
    <n v="29819.54"/>
    <n v="0.78500000000000003"/>
    <n v="0.24"/>
    <n v="23408.34"/>
    <n v="23408.34"/>
    <n v="7156.69"/>
    <n v="59677.61"/>
    <n v="296685.53000000003"/>
    <n v="0.20114799999999999"/>
    <n v="13772.69"/>
    <n v="13800.13"/>
    <n v="60384.56"/>
    <n v="74184.7"/>
    <n v="199550.53"/>
    <s v="Forecast"/>
  </r>
  <r>
    <x v="23"/>
    <x v="0"/>
    <s v="202411"/>
    <n v="34"/>
    <n v="344525.13"/>
    <n v="-6.9610152201809189E-2"/>
    <s v="CohortAvg"/>
    <n v="-3.086145692785661E-2"/>
    <s v="CohortAvg"/>
    <n v="0.31649663289020807"/>
    <s v="CohortAvg"/>
    <n v="8.1175170212330089E-2"/>
    <s v="CohortAvg_NonZero"/>
    <n v="1.0504116539202399E-5"/>
    <s v="CohortAvg"/>
    <n v="0"/>
    <s v="Zero"/>
    <n v="-1.8289042614613029E-2"/>
    <s v="CohortAvg"/>
    <n v="-3.6595846935764948E-4"/>
    <s v="CohortAvg"/>
    <n v="0"/>
    <n v="-23982.45"/>
    <n v="-10632.55"/>
    <n v="9086.75"/>
    <n v="27966.89"/>
    <n v="3.62"/>
    <n v="-6301.03"/>
    <n v="-126.08"/>
    <n v="291026.38"/>
    <n v="0.26453399999999999"/>
    <n v="1.0038"/>
    <n v="0.265538"/>
    <s v="CohortTrend+Seasonal(1.004)"/>
    <n v="77278.460000000006"/>
    <n v="86623.77"/>
    <n v="-9345.31"/>
    <x v="1"/>
    <n v="27966.89"/>
    <n v="0.78500000000000003"/>
    <n v="0.24"/>
    <n v="21954.01"/>
    <n v="21954.01"/>
    <n v="6712.05"/>
    <n v="64669.760000000002"/>
    <n v="316558.24"/>
    <n v="0.20429"/>
    <n v="12608.7"/>
    <n v="12612.32"/>
    <n v="56632.94"/>
    <n v="69245.259999999995"/>
    <n v="221781.12"/>
    <s v="Forecast"/>
  </r>
  <r>
    <x v="23"/>
    <x v="0"/>
    <s v="202412"/>
    <n v="33"/>
    <n v="416649.22"/>
    <n v="-6.5999134995448086E-2"/>
    <s v="CohortAvg"/>
    <n v="-3.2056417101404971E-2"/>
    <s v="CohortAvg"/>
    <n v="0.3260598843168257"/>
    <s v="CohortAvg"/>
    <n v="7.7726220025624848E-2"/>
    <s v="CohortAvg_NonZero"/>
    <n v="3.5168187190145159E-5"/>
    <s v="CohortAvg"/>
    <n v="0"/>
    <s v="Zero"/>
    <n v="-3.305108243484197E-2"/>
    <s v="CohortAvg"/>
    <n v="-4.3960028660358988E-4"/>
    <s v="CohortAvg"/>
    <n v="0"/>
    <n v="-27498.49"/>
    <n v="-13356.28"/>
    <n v="11321.05"/>
    <n v="32384.57"/>
    <n v="14.65"/>
    <n v="-13770.71"/>
    <n v="-183.16"/>
    <n v="354716.28"/>
    <n v="0.28240300000000002"/>
    <n v="1.0038"/>
    <n v="0.283474"/>
    <s v="CohortTrend+Seasonal(1.004)"/>
    <n v="100552.93"/>
    <n v="111329.05"/>
    <n v="-10776.12"/>
    <x v="1"/>
    <n v="32384.57"/>
    <n v="0.78500000000000003"/>
    <n v="0.24"/>
    <n v="25421.89"/>
    <n v="25421.89"/>
    <n v="7772.3"/>
    <n v="85907.17"/>
    <n v="384264.65"/>
    <n v="0.22356300000000001"/>
    <n v="14645.77"/>
    <n v="14660.42"/>
    <n v="65578.75"/>
    <n v="80239.17"/>
    <n v="274477.11"/>
    <s v="Forecast"/>
  </r>
  <r>
    <x v="23"/>
    <x v="0"/>
    <s v="202501"/>
    <n v="32"/>
    <n v="552496.98"/>
    <n v="-6.358351501317451E-2"/>
    <s v="CohortAvg"/>
    <n v="-3.1447267809057329E-2"/>
    <s v="CohortAvg"/>
    <n v="0.33537095058682109"/>
    <s v="CohortAvg"/>
    <n v="6.8142584310229279E-2"/>
    <s v="CohortAvg_NonZero"/>
    <n v="8.2880786374371794E-5"/>
    <s v="CohortAvg"/>
    <n v="0"/>
    <s v="Zero"/>
    <n v="-4.6047104962534363E-2"/>
    <s v="CohortAvg"/>
    <n v="-9.0674232758999071E-4"/>
    <s v="CohortAvg"/>
    <n v="0"/>
    <n v="-35129.699999999997"/>
    <n v="-17374.52"/>
    <n v="15440.95"/>
    <n v="37648.57"/>
    <n v="45.79"/>
    <n v="-25440.89"/>
    <n v="-500.97"/>
    <n v="477739.35"/>
    <n v="0.29173900000000003"/>
    <n v="1.0038"/>
    <n v="0.292846"/>
    <s v="CohortTrend+Seasonal(1.004)"/>
    <n v="139904.06"/>
    <n v="152035.64000000001"/>
    <n v="-12131.58"/>
    <x v="1"/>
    <n v="37648.57"/>
    <n v="0.78500000000000003"/>
    <n v="0.24"/>
    <n v="29554.13"/>
    <n v="29554.13"/>
    <n v="9035.66"/>
    <n v="122481.51"/>
    <n v="514848.41"/>
    <n v="0.237898"/>
    <n v="17422.55"/>
    <n v="17468.34"/>
    <n v="76238.36"/>
    <n v="93706.7"/>
    <n v="384032.65"/>
    <s v="Forecast"/>
  </r>
  <r>
    <x v="23"/>
    <x v="0"/>
    <s v="202502"/>
    <n v="31"/>
    <n v="934556.59"/>
    <n v="-6.4748211284313698E-2"/>
    <s v="CohortAvg"/>
    <n v="-3.1798406667311853E-2"/>
    <s v="CohortAvg"/>
    <n v="0.351915423848701"/>
    <s v="CohortAvg"/>
    <n v="4.0088974540685558E-2"/>
    <s v="CohortAvg_NonZero"/>
    <n v="1.184363178338829E-4"/>
    <s v="CohortAvg"/>
    <n v="0"/>
    <s v="Zero"/>
    <n v="-0.1007281108297082"/>
    <s v="CohortAvg"/>
    <n v="-2.1779693514171251E-3"/>
    <s v="CohortAvg"/>
    <n v="0"/>
    <n v="-60510.87"/>
    <n v="-29717.41"/>
    <n v="27407.07"/>
    <n v="37465.42"/>
    <n v="110.69"/>
    <n v="-94136.12"/>
    <n v="-2035.44"/>
    <n v="834159.29"/>
    <n v="0.28409099999999998"/>
    <n v="1.0038"/>
    <n v="0.28516900000000001"/>
    <s v="CohortTrend+Seasonal(1.004)"/>
    <n v="237876.06"/>
    <n v="250244.53"/>
    <n v="-12368.46"/>
    <x v="1"/>
    <n v="37465.42"/>
    <n v="0.78500000000000003"/>
    <n v="0.24"/>
    <n v="29410.35"/>
    <n v="29410.35"/>
    <n v="8991.7000000000007"/>
    <n v="220834.18"/>
    <n v="897091.18"/>
    <n v="0.246167"/>
    <n v="17041.89"/>
    <n v="17152.57"/>
    <n v="75867.47"/>
    <n v="93020.04"/>
    <n v="741139.24"/>
    <s v="Forecast"/>
  </r>
  <r>
    <x v="23"/>
    <x v="0"/>
    <s v="202503"/>
    <n v="30"/>
    <n v="1760176.05"/>
    <n v="-5.4849201183482653E-2"/>
    <s v="CohortAvg"/>
    <n v="-3.4952994473035327E-2"/>
    <s v="CohortAvg"/>
    <n v="0.42514082874094311"/>
    <s v="CohortAvg"/>
    <n v="2.337347755521255E-2"/>
    <s v="CohortAvg_NonZero"/>
    <n v="7.072234295778504E-6"/>
    <s v="CohortAvg"/>
    <n v="0"/>
    <s v="Zero"/>
    <n v="0"/>
    <s v="CohortAvg"/>
    <n v="0"/>
    <s v="CohortAvg"/>
    <n v="0"/>
    <n v="-96544.25"/>
    <n v="-61523.42"/>
    <n v="62360.23"/>
    <n v="41141.440000000002"/>
    <n v="12.45"/>
    <n v="0"/>
    <n v="0"/>
    <n v="1623314.71"/>
    <n v="0.28486800000000001"/>
    <n v="1.0038"/>
    <n v="0.28594900000000001"/>
    <s v="CohortTrend+Seasonal(1.004)"/>
    <n v="464185.73"/>
    <n v="471646.41"/>
    <n v="-7460.68"/>
    <x v="1"/>
    <n v="41141.440000000002"/>
    <n v="0.78500000000000003"/>
    <n v="0.24"/>
    <n v="32296.03"/>
    <n v="32296.03"/>
    <n v="9873.94"/>
    <n v="439350.38"/>
    <n v="1719034.61"/>
    <n v="0.25557999999999997"/>
    <n v="24835.34"/>
    <n v="24847.79"/>
    <n v="83311.41"/>
    <n v="108159.2"/>
    <n v="1515155.51"/>
    <s v="Forecast"/>
  </r>
  <r>
    <x v="23"/>
    <x v="0"/>
    <s v="202504"/>
    <n v="29"/>
    <n v="2393554.5299999998"/>
    <n v="-5.3665838018068658E-2"/>
    <s v="CohortAvg"/>
    <n v="-3.742592147591093E-2"/>
    <s v="CohortAvg"/>
    <n v="0.43757127732772921"/>
    <s v="CohortAvg"/>
    <n v="1.013329171740706E-2"/>
    <s v="CohortAvg_NonZero"/>
    <n v="1.6318379813017551E-6"/>
    <s v="CohortAvg"/>
    <n v="0"/>
    <s v="Zero"/>
    <n v="0"/>
    <s v="CohortAvg"/>
    <n v="0"/>
    <s v="CohortAvg"/>
    <n v="0"/>
    <n v="-128452.11"/>
    <n v="-89580.98"/>
    <n v="87279.23"/>
    <n v="24254.59"/>
    <n v="3.91"/>
    <n v="0"/>
    <n v="0"/>
    <n v="2238542.17"/>
    <n v="0.28855900000000001"/>
    <n v="1.0038"/>
    <n v="0.28965400000000002"/>
    <s v="CohortTrend+Seasonal(1.004)"/>
    <n v="648402.09"/>
    <n v="648005.79"/>
    <n v="396.3"/>
    <x v="1"/>
    <n v="24254.59"/>
    <n v="0.78500000000000003"/>
    <n v="0.24"/>
    <n v="19039.849999999999"/>
    <n v="19039.849999999999"/>
    <n v="5821.1"/>
    <n v="628965.93999999994"/>
    <n v="2369299.9500000002"/>
    <n v="0.26546500000000001"/>
    <n v="19436.150000000001"/>
    <n v="19440.05"/>
    <n v="49115.54"/>
    <n v="68555.59"/>
    <n v="2169986.58"/>
    <s v="Forecast"/>
  </r>
  <r>
    <x v="23"/>
    <x v="0"/>
    <s v="202505"/>
    <n v="28"/>
    <n v="3733734.62"/>
    <n v="-4.6744682889559797E-2"/>
    <s v="CohortAvg"/>
    <n v="-3.6749037733430051E-2"/>
    <s v="CohortAvg"/>
    <n v="0.44305488955541428"/>
    <s v="CohortAvg"/>
    <n v="0"/>
    <s v="CohortAvg_NoData_ERROR"/>
    <n v="9.2877563078608439E-7"/>
    <s v="CohortAvg"/>
    <n v="0"/>
    <s v="Zero"/>
    <n v="0"/>
    <s v="CohortAvg"/>
    <n v="0"/>
    <s v="CohortAvg"/>
    <n v="0"/>
    <n v="-174532.24"/>
    <n v="-137211.15"/>
    <n v="137854.12"/>
    <n v="0"/>
    <n v="3.47"/>
    <n v="0"/>
    <n v="0"/>
    <n v="3559841.87"/>
    <n v="0.29252"/>
    <n v="1.0038"/>
    <n v="0.29363"/>
    <s v="CohortTrend+Seasonal(1.004)"/>
    <n v="1045274.95"/>
    <n v="1021789.03"/>
    <n v="23485.919999999998"/>
    <x v="1"/>
    <n v="0"/>
    <n v="0.78500000000000003"/>
    <n v="0.24"/>
    <n v="0"/>
    <n v="0"/>
    <n v="0"/>
    <n v="1021789.03"/>
    <n v="3733734.62"/>
    <n v="0.27366400000000002"/>
    <n v="23485.919999999998"/>
    <n v="23489.39"/>
    <n v="0"/>
    <n v="23489.39"/>
    <n v="3536352.49"/>
    <s v="Forecast"/>
  </r>
  <r>
    <x v="23"/>
    <x v="0"/>
    <s v="202506"/>
    <n v="27"/>
    <n v="4340309.4000000004"/>
    <n v="-4.5253851447192933E-2"/>
    <s v="CohortAvg"/>
    <n v="-3.8258906692406038E-2"/>
    <s v="CohortAvg"/>
    <n v="0.45996070682607287"/>
    <s v="CohortAvg"/>
    <n v="0"/>
    <s v="CohortAvg_NoData_ERROR"/>
    <n v="0"/>
    <s v="CohortAvg"/>
    <n v="0"/>
    <s v="Zero"/>
    <n v="0"/>
    <s v="CohortAvg"/>
    <n v="0"/>
    <s v="CohortAvg"/>
    <n v="0"/>
    <n v="-196415.72"/>
    <n v="-166055.49"/>
    <n v="166364.32"/>
    <n v="0"/>
    <n v="0"/>
    <n v="0"/>
    <n v="0"/>
    <n v="4144202.51"/>
    <n v="0.29871300000000001"/>
    <n v="1.0038"/>
    <n v="0.29984699999999997"/>
    <s v="CohortTrend+Seasonal(1.004)"/>
    <n v="1242625.01"/>
    <n v="1208677.01"/>
    <n v="33947.99"/>
    <x v="1"/>
    <n v="0"/>
    <n v="0.78500000000000003"/>
    <n v="0.24"/>
    <n v="0"/>
    <n v="0"/>
    <n v="0"/>
    <n v="1208677.01"/>
    <n v="4340309.4000000004"/>
    <n v="0.27847699999999997"/>
    <n v="33947.99"/>
    <n v="33947.99"/>
    <n v="0"/>
    <n v="33947.99"/>
    <n v="4110254.51"/>
    <s v="Forecast"/>
  </r>
  <r>
    <x v="23"/>
    <x v="0"/>
    <s v="202507"/>
    <n v="26"/>
    <n v="5473340.5899999999"/>
    <n v="-4.3535714920551E-2"/>
    <s v="CohortAvg"/>
    <n v="-4.1024244592488469E-2"/>
    <s v="CohortAvg"/>
    <n v="0.45946857016746012"/>
    <s v="CohortAvg"/>
    <n v="0"/>
    <s v="CohortAvg_NoData_ERROR"/>
    <n v="1.332081238915866E-5"/>
    <s v="CohortAvg"/>
    <n v="0"/>
    <s v="Zero"/>
    <n v="0"/>
    <s v="CohortAvg"/>
    <n v="0"/>
    <s v="CohortAvg"/>
    <n v="0"/>
    <n v="-238285.8"/>
    <n v="-224539.66"/>
    <n v="209569"/>
    <n v="0"/>
    <n v="72.91"/>
    <n v="0"/>
    <n v="0"/>
    <n v="5220011.22"/>
    <n v="0.28838000000000003"/>
    <n v="1.0038"/>
    <n v="0.28947400000000001"/>
    <s v="CohortTrend+Seasonal(1.004)"/>
    <n v="1511059.79"/>
    <n v="1469586.68"/>
    <n v="41473.11"/>
    <x v="1"/>
    <n v="0"/>
    <n v="0.78500000000000003"/>
    <n v="0.24"/>
    <n v="0"/>
    <n v="0"/>
    <n v="0"/>
    <n v="1469586.68"/>
    <n v="5473340.5899999999"/>
    <n v="0.26849899999999999"/>
    <n v="41473.11"/>
    <n v="41546.019999999997"/>
    <n v="0"/>
    <n v="41546.019999999997"/>
    <n v="5178465.2"/>
    <s v="Forecast"/>
  </r>
  <r>
    <x v="23"/>
    <x v="0"/>
    <s v="202508"/>
    <n v="25"/>
    <n v="4744897.75"/>
    <n v="-4.9069285550215218E-2"/>
    <s v="CohortAvg"/>
    <n v="-3.2768979718708069E-2"/>
    <s v="CohortAvg"/>
    <n v="0.46118349696857142"/>
    <s v="CohortAvg"/>
    <n v="0"/>
    <s v="CohortAvg_NoData_ERROR"/>
    <n v="1.143447941365281E-5"/>
    <s v="CohortAvg"/>
    <n v="0"/>
    <s v="Zero"/>
    <n v="0"/>
    <s v="CohortAvg"/>
    <n v="0"/>
    <s v="CohortAvg"/>
    <n v="0"/>
    <n v="-232828.74"/>
    <n v="-155485.46"/>
    <n v="182355.71"/>
    <n v="0"/>
    <n v="54.26"/>
    <n v="0"/>
    <n v="0"/>
    <n v="4538885"/>
    <n v="0.27804699999999999"/>
    <n v="1.0038"/>
    <n v="0.27910200000000002"/>
    <s v="CohortTrend+Seasonal(1.004)"/>
    <n v="1266813.1200000001"/>
    <n v="1226655.33"/>
    <n v="40157.79"/>
    <x v="1"/>
    <n v="0"/>
    <n v="0.78500000000000003"/>
    <n v="0.24"/>
    <n v="0"/>
    <n v="0"/>
    <n v="0"/>
    <n v="1226655.33"/>
    <n v="4744897.75"/>
    <n v="0.258521"/>
    <n v="40157.79"/>
    <n v="40212.04"/>
    <n v="0"/>
    <n v="40212.04"/>
    <n v="4498672.96"/>
    <s v="Forecast"/>
  </r>
  <r>
    <x v="23"/>
    <x v="0"/>
    <s v="202509"/>
    <n v="24"/>
    <n v="535.54999999999995"/>
    <n v="-0.4104541455463207"/>
    <s v="CohortAvg"/>
    <n v="-8.531215027811955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219.82"/>
    <n v="-45.69"/>
    <n v="22.31"/>
    <n v="0"/>
    <n v="0"/>
    <n v="0"/>
    <n v="0"/>
    <n v="292.35000000000002"/>
    <n v="0.26771400000000001"/>
    <n v="1.0038"/>
    <n v="0.26873000000000002"/>
    <s v="CohortTrend+Seasonal(1.004)"/>
    <n v="78.56"/>
    <n v="133.11000000000001"/>
    <n v="-54.54"/>
    <x v="1"/>
    <n v="0"/>
    <n v="0.78500000000000003"/>
    <n v="0.24"/>
    <n v="0"/>
    <n v="0"/>
    <n v="0"/>
    <n v="133.11000000000001"/>
    <n v="535.54999999999995"/>
    <n v="0.24854299999999999"/>
    <n v="-54.54"/>
    <n v="-54.54"/>
    <n v="0"/>
    <n v="-54.54"/>
    <n v="346.9"/>
    <s v="Forecast"/>
  </r>
  <r>
    <x v="23"/>
    <x v="1"/>
    <s v="202301"/>
    <n v="46"/>
    <n v="789869.56"/>
    <n v="-8.416222654937057E-3"/>
    <s v="CohortAvg"/>
    <n v="-4.5465189929615396E-3"/>
    <s v="CohortAvg"/>
    <n v="8.8949382374176031E-2"/>
    <s v="CohortAvg"/>
    <n v="2.3827902990645661E-2"/>
    <s v="CohortAvg_NonZero"/>
    <n v="0"/>
    <s v="CohortAvg"/>
    <n v="0"/>
    <s v="Zero"/>
    <n v="0"/>
    <s v="CohortAvg"/>
    <n v="0"/>
    <s v="CohortAvg"/>
    <n v="0"/>
    <n v="-6647.72"/>
    <n v="-3591.16"/>
    <n v="5854.87"/>
    <n v="18820.939999999999"/>
    <n v="0"/>
    <n v="0"/>
    <n v="0"/>
    <n v="766664.62"/>
    <n v="0.39524500000000001"/>
    <n v="1.3635999999999999"/>
    <n v="0.538941"/>
    <s v="CohortAvg+Seasonal(1.364)"/>
    <n v="413186.72"/>
    <n v="399561.48"/>
    <n v="13625.24"/>
    <x v="1"/>
    <n v="18820.939999999999"/>
    <n v="0.78500000000000003"/>
    <n v="0.24"/>
    <n v="14774.43"/>
    <n v="14774.43"/>
    <n v="4517.0200000000004"/>
    <n v="384787.04"/>
    <n v="771048.63"/>
    <n v="0.49904399999999999"/>
    <n v="28399.67"/>
    <n v="28399.67"/>
    <n v="38112.39"/>
    <n v="66512.070000000007"/>
    <n v="700152.55"/>
    <s v="Forecast"/>
  </r>
  <r>
    <x v="23"/>
    <x v="1"/>
    <s v="202404"/>
    <n v="41"/>
    <n v="50149.65"/>
    <n v="-6.3512409232698852E-2"/>
    <s v="CohortAvg"/>
    <n v="-1.5228506957102889E-2"/>
    <s v="CohortAvg"/>
    <n v="0.1565329777191492"/>
    <s v="CohortAvg"/>
    <n v="5.0292753140223523E-2"/>
    <s v="CohortAvg_NonZero"/>
    <n v="0"/>
    <s v="CohortAvg"/>
    <n v="0"/>
    <s v="Zero"/>
    <n v="0"/>
    <s v="CohortAvg"/>
    <n v="0"/>
    <s v="CohortAvg"/>
    <n v="0"/>
    <n v="-3185.12"/>
    <n v="-763.7"/>
    <n v="654.16999999999996"/>
    <n v="2522.16"/>
    <n v="0"/>
    <n v="0"/>
    <n v="0"/>
    <n v="44332.83"/>
    <n v="0.24449100000000001"/>
    <n v="1.3635999999999999"/>
    <n v="0.33337800000000001"/>
    <s v="CohortAvg+Seasonal(1.364)"/>
    <n v="14779.6"/>
    <n v="15444.03"/>
    <n v="-664.43"/>
    <x v="1"/>
    <n v="2522.16"/>
    <n v="0.78500000000000003"/>
    <n v="0.24"/>
    <n v="1979.9"/>
    <n v="1979.9"/>
    <n v="605.32000000000005"/>
    <n v="13464.13"/>
    <n v="47627.48"/>
    <n v="0.28269699999999998"/>
    <n v="1315.47"/>
    <n v="1315.47"/>
    <n v="5107.38"/>
    <n v="6422.85"/>
    <n v="37909.97"/>
    <s v="Forecast"/>
  </r>
  <r>
    <x v="23"/>
    <x v="1"/>
    <s v="202405"/>
    <n v="40"/>
    <n v="197686.16"/>
    <n v="-1.166227415621001E-2"/>
    <s v="CohortAvg"/>
    <n v="-1.2725050591598589E-2"/>
    <s v="CohortAvg"/>
    <n v="0.14721214254873"/>
    <s v="CohortAvg"/>
    <n v="6.9900819392461414E-2"/>
    <s v="CohortAvg_NonZero"/>
    <n v="4.762579667076287E-9"/>
    <s v="CohortAvg"/>
    <n v="0"/>
    <s v="Zero"/>
    <n v="0"/>
    <s v="CohortAvg"/>
    <n v="0"/>
    <s v="CohortAvg"/>
    <n v="0"/>
    <n v="-2305.4699999999998"/>
    <n v="-2515.5700000000002"/>
    <n v="2425.15"/>
    <n v="13818.42"/>
    <n v="0"/>
    <n v="0"/>
    <n v="0"/>
    <n v="181471.85"/>
    <n v="0.461036"/>
    <n v="1.3635999999999999"/>
    <n v="0.62865000000000004"/>
    <s v="CohortAvg+Seasonal(1.364)"/>
    <n v="114082.34"/>
    <n v="125211.98"/>
    <n v="-11129.64"/>
    <x v="1"/>
    <n v="13818.42"/>
    <n v="0.78500000000000003"/>
    <n v="0.24"/>
    <n v="10847.46"/>
    <n v="10847.46"/>
    <n v="3316.42"/>
    <n v="114364.52"/>
    <n v="183867.73"/>
    <n v="0.62199300000000002"/>
    <n v="-282.18"/>
    <n v="-282.17"/>
    <n v="27982.31"/>
    <n v="27700.13"/>
    <n v="153771.71"/>
    <s v="Forecast"/>
  </r>
  <r>
    <x v="23"/>
    <x v="1"/>
    <s v="202406"/>
    <n v="39"/>
    <n v="115756.36"/>
    <n v="-1.545204478211641E-2"/>
    <s v="CohortAvg"/>
    <n v="-1.4878229375086359E-2"/>
    <s v="CohortAvg"/>
    <n v="0.17821075636393641"/>
    <s v="CohortAvg"/>
    <n v="5.620844502272148E-2"/>
    <s v="CohortAvg_NonZero"/>
    <n v="0"/>
    <s v="CohortAvg"/>
    <n v="0"/>
    <s v="Zero"/>
    <n v="0"/>
    <s v="CohortAvg"/>
    <n v="0"/>
    <s v="CohortAvg"/>
    <n v="0"/>
    <n v="-1788.67"/>
    <n v="-1722.25"/>
    <n v="1719.09"/>
    <n v="6506.48"/>
    <n v="0"/>
    <n v="0"/>
    <n v="0"/>
    <n v="107458.04"/>
    <n v="0.35094599999999998"/>
    <n v="1.3635999999999999"/>
    <n v="0.47853499999999999"/>
    <s v="CohortTrend+Seasonal(1.364)"/>
    <n v="51422.44"/>
    <n v="50171.24"/>
    <n v="1251.21"/>
    <x v="1"/>
    <n v="6506.48"/>
    <n v="0.78500000000000003"/>
    <n v="0.24"/>
    <n v="5107.59"/>
    <n v="5107.59"/>
    <n v="1561.56"/>
    <n v="45063.65"/>
    <n v="109249.87"/>
    <n v="0.41248200000000002"/>
    <n v="6358.8"/>
    <n v="6358.8"/>
    <n v="13175.63"/>
    <n v="19534.43"/>
    <n v="87923.61"/>
    <s v="Forecast"/>
  </r>
  <r>
    <x v="23"/>
    <x v="1"/>
    <s v="202407"/>
    <n v="38"/>
    <n v="92103.22"/>
    <n v="-4.2448209944726749E-2"/>
    <s v="CohortAvg"/>
    <n v="-1.532908385742862E-2"/>
    <s v="CohortAvg"/>
    <n v="0.16901911541128531"/>
    <s v="CohortAvg"/>
    <n v="8.2761551975630079E-2"/>
    <s v="CohortAvg_NonZero"/>
    <n v="0"/>
    <s v="CohortAvg"/>
    <n v="0"/>
    <s v="Zero"/>
    <n v="0"/>
    <s v="CohortAvg"/>
    <n v="0"/>
    <s v="CohortAvg"/>
    <n v="0"/>
    <n v="-3909.62"/>
    <n v="-1411.86"/>
    <n v="1297.27"/>
    <n v="7622.61"/>
    <n v="0"/>
    <n v="0"/>
    <n v="0"/>
    <n v="80456.41"/>
    <n v="0.306703"/>
    <n v="1.3635999999999999"/>
    <n v="0.418207"/>
    <s v="CohortTrend+Seasonal(1.364)"/>
    <n v="33647.47"/>
    <n v="35012.33"/>
    <n v="-1364.87"/>
    <x v="1"/>
    <n v="7622.61"/>
    <n v="0.78500000000000003"/>
    <n v="0.24"/>
    <n v="5983.75"/>
    <n v="5983.75"/>
    <n v="1829.43"/>
    <n v="29028.59"/>
    <n v="84480.61"/>
    <n v="0.34361199999999997"/>
    <n v="4618.88"/>
    <n v="4618.88"/>
    <n v="15435.78"/>
    <n v="20054.650000000001"/>
    <n v="60401.75"/>
    <s v="Forecast"/>
  </r>
  <r>
    <x v="23"/>
    <x v="1"/>
    <s v="202408"/>
    <n v="37"/>
    <n v="60763.49"/>
    <n v="-6.2398155476246032E-2"/>
    <s v="CohortAvg"/>
    <n v="-1.6608716141466959E-2"/>
    <s v="CohortAvg"/>
    <n v="0.18294629309324681"/>
    <s v="CohortAvg"/>
    <n v="0.1104761026857973"/>
    <s v="CohortAvg_NonZero"/>
    <n v="1.5223397870709609E-11"/>
    <s v="CohortAvg"/>
    <n v="0"/>
    <s v="Zero"/>
    <n v="0"/>
    <s v="CohortAvg"/>
    <n v="0"/>
    <s v="CohortAvg"/>
    <n v="0"/>
    <n v="-3791.53"/>
    <n v="-1009.2"/>
    <n v="926.37"/>
    <n v="6712.91"/>
    <n v="0"/>
    <n v="0"/>
    <n v="0"/>
    <n v="50176.21"/>
    <n v="0.31920300000000001"/>
    <n v="1.3635999999999999"/>
    <n v="0.435253"/>
    <s v="CohortTrend+Seasonal(1.364)"/>
    <n v="21839.33"/>
    <n v="24015.64"/>
    <n v="-2176.3000000000002"/>
    <x v="1"/>
    <n v="6712.91"/>
    <n v="0.78500000000000003"/>
    <n v="0.24"/>
    <n v="5269.64"/>
    <n v="5269.64"/>
    <n v="1611.1"/>
    <n v="18746"/>
    <n v="54050.57"/>
    <n v="0.34682299999999999"/>
    <n v="3093.33"/>
    <n v="3093.33"/>
    <n v="13593.65"/>
    <n v="16686.98"/>
    <n v="33489.230000000003"/>
    <s v="Forecast"/>
  </r>
  <r>
    <x v="23"/>
    <x v="1"/>
    <s v="202409"/>
    <n v="36"/>
    <n v="197202.34"/>
    <n v="-4.1069009592772591E-2"/>
    <s v="CohortAvg"/>
    <n v="-1.5071731984557151E-2"/>
    <s v="CohortAvg"/>
    <n v="0.18230520667627151"/>
    <s v="CohortAvg"/>
    <n v="3.1836673397161251E-2"/>
    <s v="CohortAvg_NonZero"/>
    <n v="0"/>
    <s v="CohortAvg"/>
    <n v="0"/>
    <s v="Zero"/>
    <n v="0"/>
    <s v="CohortAvg"/>
    <n v="0"/>
    <s v="CohortAvg"/>
    <n v="0"/>
    <n v="-8098.9"/>
    <n v="-2972.18"/>
    <n v="2995.92"/>
    <n v="6278.27"/>
    <n v="0"/>
    <n v="0"/>
    <n v="0"/>
    <n v="182848.91"/>
    <n v="0.385828"/>
    <n v="1.3635999999999999"/>
    <n v="0.52609899999999998"/>
    <s v="CohortTrend+Seasonal(1.364)"/>
    <n v="96196.65"/>
    <n v="93688.62"/>
    <n v="2508.0300000000002"/>
    <x v="1"/>
    <n v="6278.27"/>
    <n v="0.78500000000000003"/>
    <n v="0.24"/>
    <n v="4928.4399999999996"/>
    <n v="4928.4399999999996"/>
    <n v="1506.78"/>
    <n v="88760.18"/>
    <n v="190924.07"/>
    <n v="0.46489799999999998"/>
    <n v="7436.47"/>
    <n v="7436.47"/>
    <n v="12713.49"/>
    <n v="20149.96"/>
    <n v="162698.95000000001"/>
    <s v="Forecast"/>
  </r>
  <r>
    <x v="23"/>
    <x v="1"/>
    <s v="202410"/>
    <n v="35"/>
    <n v="241023.71"/>
    <n v="-1.259264063307778E-2"/>
    <s v="CohortAvg"/>
    <n v="-1.8283517230012161E-2"/>
    <s v="CohortAvg"/>
    <n v="0.18753385467404871"/>
    <s v="CohortAvg"/>
    <n v="3.5382161345241928E-2"/>
    <s v="CohortAvg_NonZero"/>
    <n v="6.6790719748746027E-9"/>
    <s v="CohortAvg"/>
    <n v="0"/>
    <s v="Zero"/>
    <n v="0"/>
    <s v="CohortAvg"/>
    <n v="0"/>
    <s v="CohortAvg"/>
    <n v="0"/>
    <n v="-3035.13"/>
    <n v="-4406.76"/>
    <n v="3766.68"/>
    <n v="8527.94"/>
    <n v="0"/>
    <n v="0"/>
    <n v="0"/>
    <n v="228820.56"/>
    <n v="0.38844299999999998"/>
    <n v="1.3635999999999999"/>
    <n v="0.52966500000000005"/>
    <s v="CohortTrend+Seasonal(1.364)"/>
    <n v="121198.3"/>
    <n v="115107.97"/>
    <n v="6090.33"/>
    <x v="1"/>
    <n v="8527.94"/>
    <n v="0.78500000000000003"/>
    <n v="0.24"/>
    <n v="6694.43"/>
    <n v="6694.43"/>
    <n v="2046.71"/>
    <n v="108413.53"/>
    <n v="232495.77"/>
    <n v="0.46630300000000002"/>
    <n v="12784.77"/>
    <n v="12784.77"/>
    <n v="17269.080000000002"/>
    <n v="30053.85"/>
    <n v="198766.71"/>
    <s v="Forecast"/>
  </r>
  <r>
    <x v="23"/>
    <x v="1"/>
    <s v="202411"/>
    <n v="34"/>
    <n v="171833.05"/>
    <n v="-4.4642500228981502E-2"/>
    <s v="CohortAvg"/>
    <n v="-1.4800940636254849E-2"/>
    <s v="CohortAvg"/>
    <n v="0.17334327221771181"/>
    <s v="CohortAvg"/>
    <n v="3.2243387199072521E-2"/>
    <s v="CohortAvg_NonZero"/>
    <n v="0"/>
    <s v="CohortAvg"/>
    <n v="0"/>
    <s v="Zero"/>
    <n v="0"/>
    <s v="CohortAvg"/>
    <n v="0"/>
    <s v="CohortAvg"/>
    <n v="0"/>
    <n v="-7671.06"/>
    <n v="-2543.29"/>
    <n v="2482.1799999999998"/>
    <n v="5540.48"/>
    <n v="0"/>
    <n v="0"/>
    <n v="0"/>
    <n v="158560.4"/>
    <n v="0.29209600000000002"/>
    <n v="1.3635999999999999"/>
    <n v="0.39828999999999998"/>
    <s v="CohortTrend+Seasonal(1.364)"/>
    <n v="63153.1"/>
    <n v="62164.79"/>
    <n v="988.31"/>
    <x v="1"/>
    <n v="5540.48"/>
    <n v="0.78500000000000003"/>
    <n v="0.24"/>
    <n v="4349.28"/>
    <n v="4349.28"/>
    <n v="1329.72"/>
    <n v="57815.519999999997"/>
    <n v="166292.57"/>
    <n v="0.34767300000000001"/>
    <n v="5337.58"/>
    <n v="5337.58"/>
    <n v="11219.47"/>
    <n v="16557.05"/>
    <n v="142003.34"/>
    <s v="Forecast"/>
  </r>
  <r>
    <x v="23"/>
    <x v="1"/>
    <s v="202412"/>
    <n v="33"/>
    <n v="8983.2099999999991"/>
    <n v="-8.5836726598781058E-3"/>
    <s v="CohortAvg"/>
    <n v="-1.241452035444464E-2"/>
    <s v="CohortAvg"/>
    <n v="0.14519021474005861"/>
    <s v="CohortAvg"/>
    <n v="0.2"/>
    <s v="CohortAvg_NonZero"/>
    <n v="0"/>
    <s v="CohortAvg"/>
    <n v="0"/>
    <s v="Zero"/>
    <n v="0"/>
    <s v="CohortAvg"/>
    <n v="0"/>
    <s v="CohortAvg"/>
    <n v="0"/>
    <n v="-77.11"/>
    <n v="-111.52"/>
    <n v="108.69"/>
    <n v="1796.64"/>
    <n v="0"/>
    <n v="0"/>
    <n v="0"/>
    <n v="7106.63"/>
    <n v="0.268314"/>
    <n v="1.3635999999999999"/>
    <n v="0.36586200000000002"/>
    <s v="CohortTrend+Seasonal(1.364)"/>
    <n v="2600.0500000000002"/>
    <n v="2989.16"/>
    <n v="-389.11"/>
    <x v="1"/>
    <n v="1796.64"/>
    <n v="0.78500000000000003"/>
    <n v="0.24"/>
    <n v="1410.36"/>
    <n v="1410.36"/>
    <n v="431.19"/>
    <n v="1578.8"/>
    <n v="7186.57"/>
    <n v="0.21968699999999999"/>
    <n v="1021.25"/>
    <n v="1021.25"/>
    <n v="3638.2"/>
    <n v="4659.45"/>
    <n v="2447.1799999999998"/>
    <s v="Forecast"/>
  </r>
  <r>
    <x v="23"/>
    <x v="1"/>
    <s v="202501"/>
    <n v="32"/>
    <n v="42044.56"/>
    <n v="-1.5294069258090719E-2"/>
    <s v="CohortAvg"/>
    <n v="-1.752516112734891E-2"/>
    <s v="CohortAvg"/>
    <n v="0.20436560882961041"/>
    <s v="CohortAvg"/>
    <n v="0"/>
    <s v="CohortAvg_NoData_ERROR"/>
    <n v="0"/>
    <s v="CohortAvg"/>
    <n v="0"/>
    <s v="Zero"/>
    <n v="0"/>
    <s v="CohortAvg"/>
    <n v="0"/>
    <s v="CohortAvg"/>
    <n v="0"/>
    <n v="-643.03"/>
    <n v="-736.84"/>
    <n v="716.04"/>
    <n v="0"/>
    <n v="0"/>
    <n v="0"/>
    <n v="0"/>
    <n v="41380.730000000003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42044.56"/>
    <n v="0"/>
    <n v="0"/>
    <n v="0"/>
    <n v="0"/>
    <n v="0"/>
    <n v="41380.730000000003"/>
    <s v="Forecast"/>
  </r>
  <r>
    <x v="23"/>
    <x v="1"/>
    <s v="202502"/>
    <n v="31"/>
    <n v="87938.98"/>
    <n v="-1.386218121298115E-2"/>
    <s v="CohortAvg"/>
    <n v="-1.894679946960182E-2"/>
    <s v="CohortAvg"/>
    <n v="0.19407986197381419"/>
    <s v="CohortAvg"/>
    <n v="0"/>
    <s v="CohortAvg_NoData_ERROR"/>
    <n v="0"/>
    <s v="CohortAvg"/>
    <n v="0"/>
    <s v="Zero"/>
    <n v="0"/>
    <s v="CohortAvg"/>
    <n v="0"/>
    <s v="CohortAvg"/>
    <n v="0"/>
    <n v="-1219.03"/>
    <n v="-1666.16"/>
    <n v="1422.27"/>
    <n v="0"/>
    <n v="0"/>
    <n v="0"/>
    <n v="0"/>
    <n v="86476.06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87938.98"/>
    <n v="0"/>
    <n v="0"/>
    <n v="0"/>
    <n v="0"/>
    <n v="0"/>
    <n v="86476.06"/>
    <s v="Forecast"/>
  </r>
  <r>
    <x v="23"/>
    <x v="1"/>
    <s v="202503"/>
    <n v="30"/>
    <n v="71656"/>
    <n v="-9.8304570182765529E-3"/>
    <s v="CohortAvg"/>
    <n v="-1.3758602994081119E-2"/>
    <s v="CohortAvg"/>
    <n v="0.20837109495827461"/>
    <s v="CohortAvg"/>
    <n v="0"/>
    <s v="CohortAvg_NoData_ERROR"/>
    <n v="0"/>
    <s v="CohortAvg"/>
    <n v="0"/>
    <s v="Zero"/>
    <n v="0"/>
    <s v="CohortAvg"/>
    <n v="0"/>
    <s v="CohortAvg"/>
    <n v="0"/>
    <n v="-704.41"/>
    <n v="-985.89"/>
    <n v="1244.25"/>
    <n v="0"/>
    <n v="0"/>
    <n v="0"/>
    <n v="0"/>
    <n v="71209.960000000006"/>
    <n v="0.34250799999999998"/>
    <n v="1.3635999999999999"/>
    <n v="0.46703"/>
    <s v="CohortTrend+Seasonal(1.364)"/>
    <n v="33257.21"/>
    <n v="30007.56"/>
    <n v="3249.65"/>
    <x v="1"/>
    <n v="0"/>
    <n v="0.78500000000000003"/>
    <n v="0.24"/>
    <n v="0"/>
    <n v="0"/>
    <n v="0"/>
    <n v="30007.56"/>
    <n v="71656"/>
    <n v="0.41877199999999998"/>
    <n v="3249.65"/>
    <n v="3249.65"/>
    <n v="0"/>
    <n v="3249.65"/>
    <n v="67960.31"/>
    <s v="Forecast"/>
  </r>
  <r>
    <x v="23"/>
    <x v="1"/>
    <s v="202504"/>
    <n v="29"/>
    <n v="38907.79"/>
    <n v="-2.071314722414961E-2"/>
    <s v="CohortAvg"/>
    <n v="-1.6747360570642508E-2"/>
    <s v="CohortAvg"/>
    <n v="0.2022211265850645"/>
    <s v="CohortAvg"/>
    <n v="0"/>
    <s v="CohortAvg_NoData_ERROR"/>
    <n v="0"/>
    <s v="CohortAvg"/>
    <n v="0"/>
    <s v="Zero"/>
    <n v="0"/>
    <s v="CohortAvg"/>
    <n v="0"/>
    <s v="CohortAvg"/>
    <n v="0"/>
    <n v="-805.9"/>
    <n v="-651.6"/>
    <n v="655.66"/>
    <n v="0"/>
    <n v="0"/>
    <n v="0"/>
    <n v="0"/>
    <n v="38105.949999999997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38907.79"/>
    <n v="0"/>
    <n v="0"/>
    <n v="0"/>
    <n v="0"/>
    <n v="0"/>
    <n v="38105.949999999997"/>
    <s v="Forecast"/>
  </r>
  <r>
    <x v="23"/>
    <x v="1"/>
    <s v="202505"/>
    <n v="28"/>
    <n v="13322.41"/>
    <n v="-1.024932192587537E-2"/>
    <s v="CohortAvg"/>
    <n v="-1.6736684355422509E-2"/>
    <s v="CohortAvg"/>
    <n v="0.20233993675207901"/>
    <s v="CohortAvg"/>
    <n v="0"/>
    <s v="CohortAvg_NoData_ERROR"/>
    <n v="0"/>
    <s v="CohortAvg"/>
    <n v="0"/>
    <s v="Zero"/>
    <n v="0"/>
    <s v="CohortAvg"/>
    <n v="0"/>
    <s v="CohortAvg"/>
    <n v="0"/>
    <n v="-136.55000000000001"/>
    <n v="-222.97"/>
    <n v="224.64"/>
    <n v="0"/>
    <n v="0"/>
    <n v="0"/>
    <n v="0"/>
    <n v="13187.53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13322.41"/>
    <n v="0"/>
    <n v="0"/>
    <n v="0"/>
    <n v="0"/>
    <n v="0"/>
    <n v="13187.53"/>
    <s v="Forecast"/>
  </r>
  <r>
    <x v="23"/>
    <x v="1"/>
    <s v="202506"/>
    <n v="27"/>
    <n v="22188.37"/>
    <n v="-1.432133072976443E-2"/>
    <s v="CohortAvg"/>
    <n v="-1.693115165384302E-2"/>
    <s v="CohortAvg"/>
    <n v="0.19670858172497499"/>
    <s v="CohortAvg"/>
    <n v="0"/>
    <s v="CohortAvg_NoData_ERROR"/>
    <n v="0"/>
    <s v="CohortAvg"/>
    <n v="0"/>
    <s v="Zero"/>
    <n v="0"/>
    <s v="CohortAvg"/>
    <n v="0"/>
    <s v="CohortAvg"/>
    <n v="0"/>
    <n v="-317.77"/>
    <n v="-375.67"/>
    <n v="363.72"/>
    <n v="0"/>
    <n v="0"/>
    <n v="0"/>
    <n v="0"/>
    <n v="21858.65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22188.37"/>
    <n v="0"/>
    <n v="0"/>
    <n v="0"/>
    <n v="0"/>
    <n v="0"/>
    <n v="21858.65"/>
    <s v="Forecast"/>
  </r>
  <r>
    <x v="23"/>
    <x v="1"/>
    <s v="202507"/>
    <n v="26"/>
    <n v="89162.74"/>
    <n v="-1.1460709858976291E-2"/>
    <s v="CohortAvg"/>
    <n v="-1.8497695400782319E-2"/>
    <s v="CohortAvg"/>
    <n v="0.20491439024751251"/>
    <s v="CohortAvg"/>
    <n v="0"/>
    <s v="CohortAvg_NoData_ERROR"/>
    <n v="0"/>
    <s v="CohortAvg"/>
    <n v="0"/>
    <s v="Zero"/>
    <n v="0"/>
    <s v="CohortAvg"/>
    <n v="0"/>
    <s v="CohortAvg"/>
    <n v="0"/>
    <n v="-1021.87"/>
    <n v="-1649.31"/>
    <n v="1522.56"/>
    <n v="0"/>
    <n v="0"/>
    <n v="0"/>
    <n v="0"/>
    <n v="88014.12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89162.74"/>
    <n v="0"/>
    <n v="0"/>
    <n v="0"/>
    <n v="0"/>
    <n v="0"/>
    <n v="88014.12"/>
    <s v="Forecast"/>
  </r>
  <r>
    <x v="23"/>
    <x v="1"/>
    <s v="202508"/>
    <n v="25"/>
    <n v="35881.17"/>
    <n v="-1.504947286525847E-2"/>
    <s v="CohortAvg"/>
    <n v="-1.5126131590219669E-2"/>
    <s v="CohortAvg"/>
    <n v="0.18620501649654811"/>
    <s v="CohortAvg"/>
    <n v="0"/>
    <s v="CohortAvg_NoData_ERROR"/>
    <n v="0"/>
    <s v="CohortAvg"/>
    <n v="0"/>
    <s v="Zero"/>
    <n v="0"/>
    <s v="CohortAvg"/>
    <n v="0"/>
    <s v="CohortAvg"/>
    <n v="0"/>
    <n v="-539.99"/>
    <n v="-542.74"/>
    <n v="556.77"/>
    <n v="0"/>
    <n v="0"/>
    <n v="0"/>
    <n v="0"/>
    <n v="35355.199999999997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35881.17"/>
    <n v="0"/>
    <n v="0"/>
    <n v="0"/>
    <n v="0"/>
    <n v="0"/>
    <n v="35355.199999999997"/>
    <s v="Forecast"/>
  </r>
  <r>
    <x v="23"/>
    <x v="1"/>
    <s v="202509"/>
    <n v="24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3635999999999999"/>
    <n v="0"/>
    <s v="Manual+Seasonal(1.364)"/>
    <n v="0"/>
    <n v="0"/>
    <n v="0"/>
    <x v="1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23"/>
    <x v="2"/>
    <s v="202101"/>
    <n v="80"/>
    <n v="23233.71"/>
    <n v="-0.19326384042618081"/>
    <s v="CohortAvg"/>
    <n v="-1.430573258681027E-2"/>
    <s v="CohortAvg"/>
    <n v="0.1566291525864868"/>
    <s v="CohortAvg"/>
    <n v="1.7899651842130011E-2"/>
    <s v="CohortAvg_NonZero"/>
    <n v="0"/>
    <s v="CohortAvg"/>
    <n v="0"/>
    <s v="Zero"/>
    <n v="0"/>
    <s v="CohortAvg"/>
    <n v="0"/>
    <s v="CohortAvg"/>
    <n v="0"/>
    <n v="-4490.24"/>
    <n v="-332.38"/>
    <n v="303.26"/>
    <n v="415.88"/>
    <n v="0"/>
    <n v="0"/>
    <n v="0"/>
    <n v="18298.48"/>
    <n v="0.26069999999999999"/>
    <n v="1.0103"/>
    <n v="0.26339200000000002"/>
    <s v="CohortAvg+Seasonal(1.010)"/>
    <n v="4819.68"/>
    <n v="6041.27"/>
    <n v="-1221.5899999999999"/>
    <x v="1"/>
    <n v="415.88"/>
    <n v="0.78500000000000003"/>
    <n v="0.24"/>
    <n v="326.45999999999998"/>
    <n v="326.45999999999998"/>
    <n v="99.81"/>
    <n v="5714.8"/>
    <n v="22817.84"/>
    <n v="0.25045299999999998"/>
    <n v="-895.13"/>
    <n v="-895.13"/>
    <n v="842.15"/>
    <n v="-52.98"/>
    <n v="18351.46"/>
    <s v="Forecast"/>
  </r>
  <r>
    <x v="23"/>
    <x v="2"/>
    <s v="202201"/>
    <n v="60"/>
    <n v="30268.32"/>
    <n v="-6.4340350672731528E-2"/>
    <s v="CohortAvg"/>
    <n v="-1.346879075780549E-2"/>
    <s v="CohortAvg"/>
    <n v="0.14987367058986681"/>
    <s v="CohortAvg"/>
    <n v="3.4438044246325052E-2"/>
    <s v="CohortAvg_NonZero"/>
    <n v="4.0280080096171292E-7"/>
    <s v="CohortAvg"/>
    <n v="0"/>
    <s v="Zero"/>
    <n v="-2.0016452044904051E-7"/>
    <s v="CohortAvg"/>
    <n v="-9.0370693612407607E-10"/>
    <s v="CohortAvg"/>
    <n v="0"/>
    <n v="-1947.47"/>
    <n v="-407.68"/>
    <n v="378.04"/>
    <n v="1042.3800000000001"/>
    <n v="0.01"/>
    <n v="-0.01"/>
    <n v="0"/>
    <n v="27248.81"/>
    <n v="0.18628400000000001"/>
    <n v="1.0103"/>
    <n v="0.18820700000000001"/>
    <s v="CohortAvg+Seasonal(1.010)"/>
    <n v="5128.42"/>
    <n v="5623.79"/>
    <n v="-495.37"/>
    <x v="1"/>
    <n v="1042.3800000000001"/>
    <n v="0.78500000000000003"/>
    <n v="0.24"/>
    <n v="818.27"/>
    <n v="818.27"/>
    <n v="250.17"/>
    <n v="4805.5200000000004"/>
    <n v="29225.93"/>
    <n v="0.16442699999999999"/>
    <n v="322.89999999999998"/>
    <n v="322.92"/>
    <n v="2110.8200000000002"/>
    <n v="2433.7399999999998"/>
    <n v="24815.07"/>
    <s v="Forecast"/>
  </r>
  <r>
    <x v="23"/>
    <x v="2"/>
    <s v="202301"/>
    <n v="51"/>
    <n v="4190763.77"/>
    <n v="-3.5820602235093868E-2"/>
    <s v="CohortAvg"/>
    <n v="-1.532778057945159E-2"/>
    <s v="CohortAvg"/>
    <n v="0.17436013340588219"/>
    <s v="CohortAvg"/>
    <n v="1.8571044579705289E-2"/>
    <s v="CohortAvg_NonZero"/>
    <n v="1.400890171256184E-9"/>
    <s v="CohortAvg"/>
    <n v="0"/>
    <s v="Zero"/>
    <n v="-4.0727244607576178E-6"/>
    <s v="CohortAvg"/>
    <n v="-1.0111924641079921E-8"/>
    <s v="CohortAvg"/>
    <n v="0"/>
    <n v="-150115.68"/>
    <n v="-64235.11"/>
    <n v="60891.839999999997"/>
    <n v="77826.86"/>
    <n v="0.01"/>
    <n v="-17.07"/>
    <n v="-0.04"/>
    <n v="3959477.96"/>
    <n v="0.21920700000000001"/>
    <n v="1.0103"/>
    <n v="0.221471"/>
    <s v="CohortAvg+Seasonal(1.010)"/>
    <n v="876909.84"/>
    <n v="917029.88"/>
    <n v="-40120.03"/>
    <x v="1"/>
    <n v="77826.86"/>
    <n v="0.78500000000000003"/>
    <n v="0.24"/>
    <n v="61094.09"/>
    <n v="61094.09"/>
    <n v="18678.45"/>
    <n v="855935.79"/>
    <n v="4112936.91"/>
    <n v="0.20810799999999999"/>
    <n v="20974.05"/>
    <n v="20974.06"/>
    <n v="157599.39000000001"/>
    <n v="178573.45"/>
    <n v="3780904.51"/>
    <s v="Forecast"/>
  </r>
  <r>
    <x v="23"/>
    <x v="2"/>
    <s v="202404"/>
    <n v="41"/>
    <n v="926935.48"/>
    <n v="-4.2829969584545532E-2"/>
    <s v="CohortAvg"/>
    <n v="-1.6118932518164458E-2"/>
    <s v="CohortAvg"/>
    <n v="0.17588517625051869"/>
    <s v="CohortAvg"/>
    <n v="2.1294602537815899E-2"/>
    <s v="CohortAvg_NonZero"/>
    <n v="3.9675813277947562E-8"/>
    <s v="CohortAvg"/>
    <n v="0"/>
    <s v="Zero"/>
    <n v="-2.3939827206391519E-3"/>
    <s v="CohortAvg"/>
    <n v="-1.0783979952713201E-5"/>
    <s v="CohortAvg"/>
    <n v="0"/>
    <n v="-39700.620000000003"/>
    <n v="-14941.21"/>
    <n v="13586.18"/>
    <n v="19738.72"/>
    <n v="0.04"/>
    <n v="-2219.0700000000002"/>
    <n v="-10"/>
    <n v="866141.08"/>
    <n v="0.21419299999999999"/>
    <n v="1.0103"/>
    <n v="0.21640499999999999"/>
    <s v="CohortAvg+Seasonal(1.010)"/>
    <n v="187437.48"/>
    <n v="195990.64"/>
    <n v="-8553.15"/>
    <x v="1"/>
    <n v="19738.72"/>
    <n v="0.78500000000000003"/>
    <n v="0.24"/>
    <n v="15494.9"/>
    <n v="15494.9"/>
    <n v="4737.29"/>
    <n v="180495.74"/>
    <n v="907196.76"/>
    <n v="0.19896"/>
    <n v="6941.75"/>
    <n v="6941.78"/>
    <n v="39970.910000000003"/>
    <n v="46912.7"/>
    <n v="819228.38"/>
    <s v="Forecast"/>
  </r>
  <r>
    <x v="23"/>
    <x v="2"/>
    <s v="202405"/>
    <n v="40"/>
    <n v="1334262.8700000001"/>
    <n v="-1.9048552071890389E-2"/>
    <s v="CohortAvg"/>
    <n v="-1.511590655519821E-2"/>
    <s v="CohortAvg"/>
    <n v="0.17320421095578481"/>
    <s v="CohortAvg"/>
    <n v="3.172481204089779E-2"/>
    <s v="CohortAvg_NonZero"/>
    <n v="6.7160546201767314E-9"/>
    <s v="CohortAvg"/>
    <n v="0"/>
    <s v="Zero"/>
    <n v="-5.6516105373721126E-3"/>
    <s v="CohortAvg"/>
    <n v="-3.3958238365666997E-5"/>
    <s v="CohortAvg"/>
    <n v="0"/>
    <n v="-25415.78"/>
    <n v="-20168.59"/>
    <n v="19258.330000000002"/>
    <n v="42329.24"/>
    <n v="0.01"/>
    <n v="-7540.73"/>
    <n v="-45.31"/>
    <n v="1265607.5900000001"/>
    <n v="0.18449399999999999"/>
    <n v="1.0103"/>
    <n v="0.18639900000000001"/>
    <s v="CohortAvg+Seasonal(1.010)"/>
    <n v="235907.66"/>
    <n v="260477.96"/>
    <n v="-24570.3"/>
    <x v="1"/>
    <n v="42329.24"/>
    <n v="0.78500000000000003"/>
    <n v="0.24"/>
    <n v="33228.449999999997"/>
    <n v="33228.449999999997"/>
    <n v="10159.02"/>
    <n v="227249.51"/>
    <n v="1291933.6399999999"/>
    <n v="0.175899"/>
    <n v="8658.15"/>
    <n v="8658.16"/>
    <n v="85716.71"/>
    <n v="94374.87"/>
    <n v="1171232.72"/>
    <s v="Forecast"/>
  </r>
  <r>
    <x v="23"/>
    <x v="2"/>
    <s v="202406"/>
    <n v="39"/>
    <n v="840700.28"/>
    <n v="-2.7594302858815409E-2"/>
    <s v="CohortAvg"/>
    <n v="-1.514899867298811E-2"/>
    <s v="CohortAvg"/>
    <n v="0.17182280051587229"/>
    <s v="CohortAvg"/>
    <n v="6.2927729610618724E-2"/>
    <s v="CohortAvg_NonZero"/>
    <n v="5.8283096792260021E-9"/>
    <s v="CohortAvg"/>
    <n v="0"/>
    <s v="Zero"/>
    <n v="-3.4601342531091922E-3"/>
    <s v="CohortAvg"/>
    <n v="-5.4400467046774113E-5"/>
    <s v="CohortAvg"/>
    <n v="0"/>
    <n v="-23198.54"/>
    <n v="-12735.77"/>
    <n v="12037.62"/>
    <n v="52903.360000000001"/>
    <n v="0"/>
    <n v="-2908.94"/>
    <n v="-45.73"/>
    <n v="763900.23"/>
    <n v="0.20330300000000001"/>
    <n v="1.0103"/>
    <n v="0.205402"/>
    <s v="CohortTrend+Seasonal(1.010)"/>
    <n v="156906.76999999999"/>
    <n v="166838.47"/>
    <n v="-9931.7000000000007"/>
    <x v="1"/>
    <n v="52903.360000000001"/>
    <n v="0.78500000000000003"/>
    <n v="0.24"/>
    <n v="41529.14"/>
    <n v="41529.14"/>
    <n v="12696.81"/>
    <n v="125309.34"/>
    <n v="787796.92"/>
    <n v="0.15906300000000001"/>
    <n v="31597.439999999999"/>
    <n v="31597.439999999999"/>
    <n v="107129.3"/>
    <n v="138726.74"/>
    <n v="625173.49"/>
    <s v="Forecast"/>
  </r>
  <r>
    <x v="23"/>
    <x v="2"/>
    <s v="202407"/>
    <n v="38"/>
    <n v="1799022.65"/>
    <n v="-2.7276101429746201E-2"/>
    <s v="CohortAvg"/>
    <n v="-1.5655501962028411E-2"/>
    <s v="CohortAvg"/>
    <n v="0.17581875685054771"/>
    <s v="CohortAvg"/>
    <n v="3.181332076447918E-2"/>
    <s v="CohortAvg_NonZero"/>
    <n v="6.5648620901770866E-6"/>
    <s v="CohortAvg"/>
    <n v="0"/>
    <s v="Zero"/>
    <n v="-4.8825137532207286E-3"/>
    <s v="CohortAvg"/>
    <n v="-4.0831458254796071E-5"/>
    <s v="CohortAvg"/>
    <n v="0"/>
    <n v="-49070.32"/>
    <n v="-28164.6"/>
    <n v="26358.49"/>
    <n v="57232.88"/>
    <n v="11.81"/>
    <n v="-8783.75"/>
    <n v="-73.459999999999994"/>
    <n v="1690901.52"/>
    <n v="0.17861399999999999"/>
    <n v="1.0103"/>
    <n v="0.18045800000000001"/>
    <s v="CohortTrend+Seasonal(1.010)"/>
    <n v="305137.31"/>
    <n v="313052.78000000003"/>
    <n v="-7915.47"/>
    <x v="1"/>
    <n v="57232.88"/>
    <n v="0.78500000000000003"/>
    <n v="0.24"/>
    <n v="44927.81"/>
    <n v="44927.81"/>
    <n v="13735.89"/>
    <n v="268124.96999999997"/>
    <n v="1741789.76"/>
    <n v="0.15393599999999999"/>
    <n v="37012.35"/>
    <n v="37024.160000000003"/>
    <n v="115896.59"/>
    <n v="152920.75"/>
    <n v="1537980.77"/>
    <s v="Forecast"/>
  </r>
  <r>
    <x v="23"/>
    <x v="2"/>
    <s v="202408"/>
    <n v="37"/>
    <n v="1420010.44"/>
    <n v="-2.3925055196172839E-2"/>
    <s v="CohortAvg"/>
    <n v="-1.6488763177692191E-2"/>
    <s v="CohortAvg"/>
    <n v="0.18796714235777379"/>
    <s v="CohortAvg"/>
    <n v="2.1736064658711699E-2"/>
    <s v="CohortAvg_NonZero"/>
    <n v="2.352509750826373E-9"/>
    <s v="CohortAvg"/>
    <n v="0"/>
    <s v="Zero"/>
    <n v="-2.072308606339896E-3"/>
    <s v="CohortAvg"/>
    <n v="-2.2560992160226861E-5"/>
    <s v="CohortAvg"/>
    <n v="0"/>
    <n v="-33973.83"/>
    <n v="-23414.22"/>
    <n v="22242.94"/>
    <n v="30865.439999999999"/>
    <n v="0"/>
    <n v="-2942.7"/>
    <n v="-32.04"/>
    <n v="1353999.89"/>
    <n v="0.186749"/>
    <n v="1.0103"/>
    <n v="0.18867700000000001"/>
    <s v="CohortTrend+Seasonal(1.010)"/>
    <n v="255468.77"/>
    <n v="257509.14"/>
    <n v="-2040.37"/>
    <x v="1"/>
    <n v="30865.439999999999"/>
    <n v="0.78500000000000003"/>
    <n v="0.24"/>
    <n v="24229.37"/>
    <n v="24229.37"/>
    <n v="7407.71"/>
    <n v="233279.77"/>
    <n v="1389145"/>
    <n v="0.16793"/>
    <n v="22189"/>
    <n v="22189"/>
    <n v="62502.51"/>
    <n v="84691.51"/>
    <n v="1269308.3799999999"/>
    <s v="Forecast"/>
  </r>
  <r>
    <x v="23"/>
    <x v="2"/>
    <s v="202409"/>
    <n v="36"/>
    <n v="1082639.6499999999"/>
    <n v="-3.2624818189263147E-2"/>
    <s v="CohortAvg"/>
    <n v="-1.6767135161278531E-2"/>
    <s v="CohortAvg"/>
    <n v="0.1851082444234112"/>
    <s v="CohortAvg"/>
    <n v="3.5251094457314343E-2"/>
    <s v="CohortAvg_NonZero"/>
    <n v="7.2876218564889201E-6"/>
    <s v="CohortAvg"/>
    <n v="0"/>
    <s v="Zero"/>
    <n v="-1.159195022057205E-2"/>
    <s v="CohortAvg"/>
    <n v="-9.3498409102710873E-5"/>
    <s v="CohortAvg"/>
    <n v="0"/>
    <n v="-35320.92"/>
    <n v="-18152.77"/>
    <n v="16700.46"/>
    <n v="38164.230000000003"/>
    <n v="7.89"/>
    <n v="-12549.9"/>
    <n v="-101.23"/>
    <n v="1007694.3"/>
    <n v="0.16375200000000001"/>
    <n v="1.0103"/>
    <n v="0.16544300000000001"/>
    <s v="CohortTrend+Seasonal(1.010)"/>
    <n v="166715.94"/>
    <n v="172153.86"/>
    <n v="-5437.92"/>
    <x v="1"/>
    <n v="38164.230000000003"/>
    <n v="0.78500000000000003"/>
    <n v="0.24"/>
    <n v="29958.92"/>
    <n v="29958.92"/>
    <n v="9159.42"/>
    <n v="142194.94"/>
    <n v="1044475.42"/>
    <n v="0.13614000000000001"/>
    <n v="24521"/>
    <n v="24528.89"/>
    <n v="77282.570000000007"/>
    <n v="101811.46"/>
    <n v="905882.84"/>
    <s v="Forecast"/>
  </r>
  <r>
    <x v="23"/>
    <x v="2"/>
    <s v="202410"/>
    <n v="35"/>
    <n v="931700.92"/>
    <n v="-4.0714921039028511E-2"/>
    <s v="CohortAvg"/>
    <n v="-1.6725029166627589E-2"/>
    <s v="CohortAvg"/>
    <n v="0.18193292762047181"/>
    <s v="CohortAvg"/>
    <n v="2.9563399030243249E-2"/>
    <s v="CohortAvg_NonZero"/>
    <n v="1.0808297639846831E-8"/>
    <s v="CohortAvg"/>
    <n v="0"/>
    <s v="Zero"/>
    <n v="-7.1639383536373199E-3"/>
    <s v="CohortAvg"/>
    <n v="-1.104298997476497E-4"/>
    <s v="CohortAvg"/>
    <n v="0"/>
    <n v="-37934.129999999997"/>
    <n v="-15582.73"/>
    <n v="14125.59"/>
    <n v="27544.25"/>
    <n v="0.01"/>
    <n v="-6674.65"/>
    <n v="-102.89"/>
    <n v="864765.4"/>
    <n v="0.145926"/>
    <n v="1.0103"/>
    <n v="0.14743300000000001"/>
    <s v="CohortTrend+Seasonal(1.010)"/>
    <n v="127494.65"/>
    <n v="132326.76"/>
    <n v="-4832.1099999999997"/>
    <x v="1"/>
    <n v="27544.25"/>
    <n v="0.78500000000000003"/>
    <n v="0.24"/>
    <n v="21622.23"/>
    <n v="21622.23"/>
    <n v="6610.62"/>
    <n v="110704.52"/>
    <n v="904156.67"/>
    <n v="0.12243999999999999"/>
    <n v="16790.13"/>
    <n v="16790.14"/>
    <n v="55777.1"/>
    <n v="72567.23"/>
    <n v="792198.16"/>
    <s v="Forecast"/>
  </r>
  <r>
    <x v="23"/>
    <x v="2"/>
    <s v="202411"/>
    <n v="34"/>
    <n v="1156134.33"/>
    <n v="-3.7067861877074323E-2"/>
    <s v="CohortAvg"/>
    <n v="-1.756900820291496E-2"/>
    <s v="CohortAvg"/>
    <n v="0.19001915599479871"/>
    <s v="CohortAvg"/>
    <n v="2.174071801266839E-2"/>
    <s v="CohortAvg_NonZero"/>
    <n v="1.6963344145806949E-6"/>
    <s v="CohortAvg"/>
    <n v="0"/>
    <s v="Zero"/>
    <n v="-1.0814406980991649E-2"/>
    <s v="CohortAvg"/>
    <n v="-9.4643091709322098E-5"/>
    <s v="CohortAvg"/>
    <n v="0"/>
    <n v="-42855.43"/>
    <n v="-20312.13"/>
    <n v="18307.310000000001"/>
    <n v="25135.19"/>
    <n v="1.96"/>
    <n v="-12502.91"/>
    <n v="-109.42"/>
    <n v="1086136.92"/>
    <n v="0.15526799999999999"/>
    <n v="1.0103"/>
    <n v="0.15687200000000001"/>
    <s v="CohortTrend+Seasonal(1.010)"/>
    <n v="170384.02"/>
    <n v="173797.73"/>
    <n v="-3413.72"/>
    <x v="1"/>
    <n v="25135.19"/>
    <n v="0.78500000000000003"/>
    <n v="0.24"/>
    <n v="19731.12"/>
    <n v="19731.12"/>
    <n v="6032.45"/>
    <n v="154066.60999999999"/>
    <n v="1130999.1399999999"/>
    <n v="0.13622200000000001"/>
    <n v="16317.41"/>
    <n v="16319.37"/>
    <n v="50898.76"/>
    <n v="67218.13"/>
    <n v="1018918.79"/>
    <s v="Forecast"/>
  </r>
  <r>
    <x v="23"/>
    <x v="2"/>
    <s v="202412"/>
    <n v="33"/>
    <n v="1333791.8500000001"/>
    <n v="-1.9964807144625681E-2"/>
    <s v="CohortAvg"/>
    <n v="-1.6656763744643518E-2"/>
    <s v="CohortAvg"/>
    <n v="0.1894082134101073"/>
    <s v="CohortAvg"/>
    <n v="2.8241768418044901E-2"/>
    <s v="CohortAvg_NonZero"/>
    <n v="6.8284592218153807E-9"/>
    <s v="CohortAvg"/>
    <n v="0"/>
    <s v="Zero"/>
    <n v="-1.014360210846439E-2"/>
    <s v="CohortAvg"/>
    <n v="-6.8536222232882659E-5"/>
    <s v="CohortAvg"/>
    <n v="0"/>
    <n v="-26628.9"/>
    <n v="-22216.66"/>
    <n v="21052.59"/>
    <n v="37668.639999999999"/>
    <n v="0.01"/>
    <n v="-13529.45"/>
    <n v="-91.41"/>
    <n v="1268330.24"/>
    <n v="0.117663"/>
    <n v="1.0103"/>
    <n v="0.118878"/>
    <s v="CohortTrend+Seasonal(1.010)"/>
    <n v="150776.76"/>
    <n v="152959.94"/>
    <n v="-2183.1799999999998"/>
    <x v="1"/>
    <n v="37668.639999999999"/>
    <n v="0.78500000000000003"/>
    <n v="0.24"/>
    <n v="29569.88"/>
    <n v="29569.88"/>
    <n v="9040.4699999999993"/>
    <n v="123390.06"/>
    <n v="1296123.21"/>
    <n v="9.5199000000000006E-2"/>
    <n v="27386.7"/>
    <n v="27386.71"/>
    <n v="76279"/>
    <n v="103665.71"/>
    <n v="1164664.53"/>
    <s v="Forecast"/>
  </r>
  <r>
    <x v="23"/>
    <x v="2"/>
    <s v="202501"/>
    <n v="32"/>
    <n v="2125865.65"/>
    <n v="-3.0463729593858568E-2"/>
    <s v="CohortAvg"/>
    <n v="-1.754696364784562E-2"/>
    <s v="CohortAvg"/>
    <n v="0.19072074192178601"/>
    <s v="CohortAvg"/>
    <n v="1.559459295407248E-2"/>
    <s v="CohortAvg_NonZero"/>
    <n v="2.8728749650174287E-7"/>
    <s v="CohortAvg"/>
    <n v="0"/>
    <s v="Zero"/>
    <n v="-1.8921913301243889E-2"/>
    <s v="CohortAvg"/>
    <n v="-1.543263958402221E-4"/>
    <s v="CohortAvg"/>
    <n v="0"/>
    <n v="-64761.8"/>
    <n v="-37302.49"/>
    <n v="33787.22"/>
    <n v="33152.01"/>
    <n v="0.61"/>
    <n v="-40225.449999999997"/>
    <n v="-328.08"/>
    <n v="2024435.97"/>
    <n v="0.132407"/>
    <n v="1.0103"/>
    <n v="0.133774"/>
    <s v="CohortTrend+Seasonal(1.010)"/>
    <n v="270817.44"/>
    <n v="272616.46000000002"/>
    <n v="-1799.01"/>
    <x v="1"/>
    <n v="33152.01"/>
    <n v="0.78500000000000003"/>
    <n v="0.24"/>
    <n v="26024.33"/>
    <n v="26024.33"/>
    <n v="7956.48"/>
    <n v="246592.13"/>
    <n v="2092713.65"/>
    <n v="0.11783399999999999"/>
    <n v="24225.32"/>
    <n v="24225.93"/>
    <n v="67132.820000000007"/>
    <n v="91358.75"/>
    <n v="1933077.23"/>
    <s v="Forecast"/>
  </r>
  <r>
    <x v="23"/>
    <x v="2"/>
    <s v="202502"/>
    <n v="31"/>
    <n v="2150629.14"/>
    <n v="-3.4077525606652642E-2"/>
    <s v="CohortAvg"/>
    <n v="-1.7641576621900499E-2"/>
    <s v="CohortAvg"/>
    <n v="0.19715262484812329"/>
    <s v="CohortAvg"/>
    <n v="7.9645373695133598E-3"/>
    <s v="CohortAvg_NonZero"/>
    <n v="0"/>
    <s v="CohortAvg"/>
    <n v="0"/>
    <s v="Zero"/>
    <n v="-3.483645120684719E-2"/>
    <s v="CohortAvg"/>
    <n v="-3.1847931274279188E-4"/>
    <s v="CohortAvg"/>
    <n v="0"/>
    <n v="-73288.12"/>
    <n v="-37940.49"/>
    <n v="35333.519999999997"/>
    <n v="17128.77"/>
    <n v="0"/>
    <n v="-74920.289999999994"/>
    <n v="-684.93"/>
    <n v="2057605.28"/>
    <n v="0.14480399999999999"/>
    <n v="1.0103"/>
    <n v="0.14630000000000001"/>
    <s v="CohortTrend+Seasonal(1.010)"/>
    <n v="301026.76"/>
    <n v="300043.63"/>
    <n v="983.12"/>
    <x v="1"/>
    <n v="17128.77"/>
    <n v="0.78500000000000003"/>
    <n v="0.24"/>
    <n v="13446.08"/>
    <n v="13446.08"/>
    <n v="4110.8999999999996"/>
    <n v="286597.55"/>
    <n v="2133500.37"/>
    <n v="0.13433200000000001"/>
    <n v="14429.2"/>
    <n v="14429.2"/>
    <n v="34685.75"/>
    <n v="49114.96"/>
    <n v="2008490.32"/>
    <s v="Forecast"/>
  </r>
  <r>
    <x v="23"/>
    <x v="2"/>
    <s v="202503"/>
    <n v="30"/>
    <n v="3427873.74"/>
    <n v="-2.2744799902182072E-2"/>
    <s v="CohortAvg"/>
    <n v="-1.6985902629086998E-2"/>
    <s v="CohortAvg"/>
    <n v="0.2012084262665369"/>
    <s v="CohortAvg"/>
    <n v="7.1848262480383477E-3"/>
    <s v="CohortAvg_NonZero"/>
    <n v="4.0177964928027721E-10"/>
    <s v="CohortAvg"/>
    <n v="0"/>
    <s v="Zero"/>
    <n v="0"/>
    <s v="CohortAvg"/>
    <n v="0"/>
    <s v="CohortAvg"/>
    <n v="0"/>
    <n v="-77966.3"/>
    <n v="-58225.53"/>
    <n v="57476.42"/>
    <n v="24628.68"/>
    <n v="0"/>
    <n v="0"/>
    <n v="0"/>
    <n v="3324529.65"/>
    <n v="0.14264199999999999"/>
    <n v="1.0103"/>
    <n v="0.14411499999999999"/>
    <s v="CohortTrend+Seasonal(1.010)"/>
    <n v="479113.48"/>
    <n v="470064.56"/>
    <n v="9048.92"/>
    <x v="1"/>
    <n v="24628.68"/>
    <n v="0.78500000000000003"/>
    <n v="0.24"/>
    <n v="19333.509999999998"/>
    <n v="19333.509999999998"/>
    <n v="5910.88"/>
    <n v="450731.05"/>
    <n v="3403245.06"/>
    <n v="0.132442"/>
    <n v="28382.43"/>
    <n v="28382.43"/>
    <n v="49873.07"/>
    <n v="78255.5"/>
    <n v="3246274.15"/>
    <s v="Forecast"/>
  </r>
  <r>
    <x v="23"/>
    <x v="2"/>
    <s v="202504"/>
    <n v="29"/>
    <n v="4258029.34"/>
    <n v="-2.4626647516678622E-2"/>
    <s v="CohortAvg"/>
    <n v="-1.690975451921228E-2"/>
    <s v="CohortAvg"/>
    <n v="0.19642276369781519"/>
    <s v="CohortAvg"/>
    <n v="3.260907177009143E-3"/>
    <s v="CohortAvg_NonZero"/>
    <n v="0"/>
    <s v="CohortAvg"/>
    <n v="0"/>
    <s v="Zero"/>
    <n v="0"/>
    <s v="CohortAvg"/>
    <n v="0"/>
    <s v="CohortAvg"/>
    <n v="0"/>
    <n v="-104860.99"/>
    <n v="-72002.23"/>
    <n v="69697.820000000007"/>
    <n v="13885.04"/>
    <n v="0"/>
    <n v="0"/>
    <n v="0"/>
    <n v="4136978.91"/>
    <n v="0.14368400000000001"/>
    <n v="1.0103"/>
    <n v="0.14516699999999999"/>
    <s v="CohortTrend+Seasonal(1.010)"/>
    <n v="600554.5"/>
    <n v="586432.80000000005"/>
    <n v="14121.7"/>
    <x v="1"/>
    <n v="13885.04"/>
    <n v="0.78500000000000003"/>
    <n v="0.24"/>
    <n v="10899.76"/>
    <n v="10899.76"/>
    <n v="3332.41"/>
    <n v="575533.05000000005"/>
    <n v="4244144.3099999996"/>
    <n v="0.135606"/>
    <n v="25021.46"/>
    <n v="25021.46"/>
    <n v="28117.200000000001"/>
    <n v="53138.66"/>
    <n v="4083840.25"/>
    <s v="Forecast"/>
  </r>
  <r>
    <x v="23"/>
    <x v="2"/>
    <s v="202505"/>
    <n v="28"/>
    <n v="4061545.63"/>
    <n v="-2.7483121360787031E-2"/>
    <s v="CohortAvg"/>
    <n v="-1.660420651123241E-2"/>
    <s v="CohortAvg"/>
    <n v="0.19424652359858241"/>
    <s v="CohortAvg"/>
    <n v="0"/>
    <s v="CohortAvg_NoData_ERROR"/>
    <n v="0"/>
    <s v="CohortAvg"/>
    <n v="0"/>
    <s v="Zero"/>
    <n v="0"/>
    <s v="CohortAvg"/>
    <n v="0"/>
    <s v="CohortAvg"/>
    <n v="0"/>
    <n v="-111623.95"/>
    <n v="-67438.740000000005"/>
    <n v="65745.09"/>
    <n v="0"/>
    <n v="0"/>
    <n v="0"/>
    <n v="0"/>
    <n v="3948228.03"/>
    <n v="0.14127899999999999"/>
    <n v="1.0103"/>
    <n v="0.142738"/>
    <s v="CohortTrend+Seasonal(1.010)"/>
    <n v="563561.48"/>
    <n v="548631.75"/>
    <n v="14929.73"/>
    <x v="1"/>
    <n v="0"/>
    <n v="0.78500000000000003"/>
    <n v="0.24"/>
    <n v="0"/>
    <n v="0"/>
    <n v="0"/>
    <n v="548631.75"/>
    <n v="4061545.63"/>
    <n v="0.13508000000000001"/>
    <n v="14929.73"/>
    <n v="14929.73"/>
    <n v="0"/>
    <n v="14929.73"/>
    <n v="3933298.3"/>
    <s v="Forecast"/>
  </r>
  <r>
    <x v="23"/>
    <x v="2"/>
    <s v="202506"/>
    <n v="27"/>
    <n v="4732659.5999999996"/>
    <n v="-2.0107122330968261E-2"/>
    <s v="CohortAvg"/>
    <n v="-1.628444876507372E-2"/>
    <s v="CohortAvg"/>
    <n v="0.19796188030436959"/>
    <s v="CohortAvg"/>
    <n v="0"/>
    <s v="CohortAvg_NoData_ERROR"/>
    <n v="0"/>
    <s v="CohortAvg"/>
    <n v="0"/>
    <s v="Zero"/>
    <n v="0"/>
    <s v="CohortAvg"/>
    <n v="0"/>
    <s v="CohortAvg"/>
    <n v="0"/>
    <n v="-95160.17"/>
    <n v="-77068.75"/>
    <n v="78073.850000000006"/>
    <n v="0"/>
    <n v="0"/>
    <n v="0"/>
    <n v="0"/>
    <n v="4638504.53"/>
    <n v="0.14152999999999999"/>
    <n v="1.0103"/>
    <n v="0.14299100000000001"/>
    <s v="CohortTrend+Seasonal(1.010)"/>
    <n v="663265.18999999994"/>
    <n v="638196.9"/>
    <n v="25068.29"/>
    <x v="1"/>
    <n v="0"/>
    <n v="0.78500000000000003"/>
    <n v="0.24"/>
    <n v="0"/>
    <n v="0"/>
    <n v="0"/>
    <n v="638196.9"/>
    <n v="4732659.5999999996"/>
    <n v="0.13485"/>
    <n v="25068.29"/>
    <n v="25068.29"/>
    <n v="0"/>
    <n v="25068.29"/>
    <n v="4613436.24"/>
    <s v="Forecast"/>
  </r>
  <r>
    <x v="23"/>
    <x v="2"/>
    <s v="202507"/>
    <n v="26"/>
    <n v="6168679.1200000001"/>
    <n v="-1.6333324019093459E-2"/>
    <s v="CohortAvg"/>
    <n v="-1.7166225091861088E-2"/>
    <s v="CohortAvg"/>
    <n v="0.1891421574220154"/>
    <s v="CohortAvg"/>
    <n v="0"/>
    <s v="CohortAvg_NoData_ERROR"/>
    <n v="0"/>
    <s v="CohortAvg"/>
    <n v="0"/>
    <s v="Zero"/>
    <n v="0"/>
    <s v="CohortAvg"/>
    <n v="0"/>
    <s v="CohortAvg"/>
    <n v="0"/>
    <n v="-100755.03"/>
    <n v="-105892.93"/>
    <n v="97229.77"/>
    <n v="0"/>
    <n v="0"/>
    <n v="0"/>
    <n v="0"/>
    <n v="6059260.9299999997"/>
    <n v="0.13520199999999999"/>
    <n v="1.0103"/>
    <n v="0.136598"/>
    <s v="CohortTrend+Seasonal(1.010)"/>
    <n v="827681.25"/>
    <n v="792909.08"/>
    <n v="34772.17"/>
    <x v="1"/>
    <n v="0"/>
    <n v="0.78500000000000003"/>
    <n v="0.24"/>
    <n v="0"/>
    <n v="0"/>
    <n v="0"/>
    <n v="792909.08"/>
    <n v="6168679.1200000001"/>
    <n v="0.12853800000000001"/>
    <n v="34772.17"/>
    <n v="34772.17"/>
    <n v="0"/>
    <n v="34772.17"/>
    <n v="6024488.7599999998"/>
    <s v="Forecast"/>
  </r>
  <r>
    <x v="23"/>
    <x v="2"/>
    <s v="202508"/>
    <n v="25"/>
    <n v="5618323.9500000002"/>
    <n v="-1.985627371068412E-2"/>
    <s v="CohortAvg"/>
    <n v="-1.214647880141072E-2"/>
    <s v="CohortAvg"/>
    <n v="0.1914331318453541"/>
    <s v="CohortAvg"/>
    <n v="0"/>
    <s v="CohortAvg_NoData_ERROR"/>
    <n v="3.5420400669455801E-5"/>
    <s v="CohortAvg"/>
    <n v="0"/>
    <s v="Zero"/>
    <n v="0"/>
    <s v="CohortAvg"/>
    <n v="0"/>
    <s v="CohortAvg"/>
    <n v="0"/>
    <n v="-111558.98"/>
    <n v="-68242.850000000006"/>
    <n v="89627.78"/>
    <n v="0"/>
    <n v="199"/>
    <n v="0"/>
    <n v="0"/>
    <n v="5527950.9000000004"/>
    <n v="0.12887399999999999"/>
    <n v="1.0103"/>
    <n v="0.13020399999999999"/>
    <s v="CohortTrend+Seasonal(1.010)"/>
    <n v="719762.86"/>
    <n v="686706.85"/>
    <n v="33056.01"/>
    <x v="1"/>
    <n v="0"/>
    <n v="0.78500000000000003"/>
    <n v="0.24"/>
    <n v="0"/>
    <n v="0"/>
    <n v="0"/>
    <n v="686706.85"/>
    <n v="5618323.9500000002"/>
    <n v="0.122226"/>
    <n v="33056.01"/>
    <n v="33255.01"/>
    <n v="0"/>
    <n v="33255.01"/>
    <n v="5494695.8799999999"/>
    <s v="Forecast"/>
  </r>
  <r>
    <x v="23"/>
    <x v="2"/>
    <s v="202509"/>
    <n v="24"/>
    <n v="64226.080000000002"/>
    <n v="-0.26552226398483719"/>
    <s v="CohortAvg"/>
    <n v="-3.2578322761714303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7053.45"/>
    <n v="-2092.38"/>
    <n v="2676.09"/>
    <n v="0"/>
    <n v="0"/>
    <n v="0"/>
    <n v="0"/>
    <n v="47756.34"/>
    <n v="0.122545"/>
    <n v="1.0103"/>
    <n v="0.123811"/>
    <s v="CohortTrend+Seasonal(1.010)"/>
    <n v="5912.75"/>
    <n v="7444.74"/>
    <n v="-1531.99"/>
    <x v="1"/>
    <n v="0"/>
    <n v="0.78500000000000003"/>
    <n v="0.24"/>
    <n v="0"/>
    <n v="0"/>
    <n v="0"/>
    <n v="7444.74"/>
    <n v="64226.080000000002"/>
    <n v="0.115915"/>
    <n v="-1531.99"/>
    <n v="-1531.99"/>
    <n v="0"/>
    <n v="-1531.99"/>
    <n v="49288.33"/>
    <s v="Forecast"/>
  </r>
  <r>
    <x v="23"/>
    <x v="3"/>
    <s v="201912"/>
    <n v="93"/>
    <n v="41006.720000000001"/>
    <n v="-6.8336730810479706E-3"/>
    <s v="CohortAvg"/>
    <n v="-6.4274525681273678E-4"/>
    <s v="CohortAvg"/>
    <n v="0"/>
    <s v="CohortAvg"/>
    <n v="3.0076635682180459E-2"/>
    <s v="CohortAvg_NonZero"/>
    <n v="7.6022289763796353E-9"/>
    <s v="CohortAvg"/>
    <n v="0"/>
    <s v="Zero"/>
    <n v="0"/>
    <s v="CohortAvg"/>
    <n v="0"/>
    <s v="CohortAvg"/>
    <n v="0"/>
    <n v="-280.23"/>
    <n v="-26.36"/>
    <n v="0"/>
    <n v="1233.3399999999999"/>
    <n v="0"/>
    <n v="0"/>
    <n v="0"/>
    <n v="39466.79"/>
    <n v="0.988151"/>
    <n v="0.99860000000000004"/>
    <n v="0.98677499999999996"/>
    <s v="CohortAvg+Seasonal(0.999)"/>
    <n v="38944.839999999997"/>
    <n v="39305.25"/>
    <n v="-360.4"/>
    <x v="1"/>
    <n v="1233.3399999999999"/>
    <n v="0.78500000000000003"/>
    <n v="0.24"/>
    <n v="968.18"/>
    <n v="968.18"/>
    <n v="296"/>
    <n v="38337.07"/>
    <n v="39773.379999999997"/>
    <n v="0.96388799999999997"/>
    <n v="607.77"/>
    <n v="607.77"/>
    <n v="2497.52"/>
    <n v="3105.29"/>
    <n v="36361.5"/>
    <s v="Forecast"/>
  </r>
  <r>
    <x v="23"/>
    <x v="3"/>
    <s v="202001"/>
    <n v="92"/>
    <n v="0"/>
    <n v="-0.5"/>
    <s v="CohortAvg"/>
    <n v="-2.045934659096015E-7"/>
    <s v="CohortAvg"/>
    <n v="0"/>
    <s v="CohortAvg"/>
    <n v="1.8003862210362299E-2"/>
    <s v="CohortAvg_NonZero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0"/>
    <n v="0.81930700000000001"/>
    <n v="0.99860000000000004"/>
    <n v="0.81816599999999995"/>
    <s v="CohortAvg+Seasonal(0.999)"/>
    <n v="0"/>
    <n v="0"/>
    <n v="0"/>
    <x v="1"/>
    <n v="0"/>
    <n v="0.78500000000000003"/>
    <n v="0.24"/>
    <n v="0"/>
    <n v="0"/>
    <n v="0"/>
    <n v="0"/>
    <n v="0"/>
    <n v="0.79491999999999996"/>
    <n v="0"/>
    <n v="0"/>
    <n v="0"/>
    <n v="0"/>
    <n v="0"/>
    <s v="Forecast"/>
  </r>
  <r>
    <x v="23"/>
    <x v="3"/>
    <s v="202101"/>
    <n v="80"/>
    <n v="165264.39000000001"/>
    <n v="-0.1051740070842604"/>
    <s v="CohortAvg"/>
    <n v="-8.1086973531812583E-3"/>
    <s v="CohortAvg"/>
    <n v="0.1088869404359023"/>
    <s v="CohortAvg"/>
    <n v="6.1892069618944626E-3"/>
    <s v="CohortAvg_NonZero"/>
    <n v="0"/>
    <s v="CohortAvg"/>
    <n v="0"/>
    <s v="Zero"/>
    <n v="-1.8182256126650441E-6"/>
    <s v="CohortAvg"/>
    <n v="-1.929674058655637E-8"/>
    <s v="CohortAvg"/>
    <n v="0"/>
    <n v="-17381.52"/>
    <n v="-1340.08"/>
    <n v="1499.59"/>
    <n v="1022.86"/>
    <n v="0"/>
    <n v="-0.3"/>
    <n v="0"/>
    <n v="147019.53"/>
    <n v="0.27617799999999998"/>
    <n v="0.99860000000000004"/>
    <n v="0.27579399999999998"/>
    <s v="CohortAvg+Seasonal(0.999)"/>
    <n v="40547.06"/>
    <n v="44273.25"/>
    <n v="-3726.19"/>
    <x v="1"/>
    <n v="1022.86"/>
    <n v="0.78500000000000003"/>
    <n v="0.24"/>
    <n v="802.94"/>
    <n v="802.94"/>
    <n v="245.49"/>
    <n v="43470.3"/>
    <n v="164241.53"/>
    <n v="0.26467299999999999"/>
    <n v="-2923.25"/>
    <n v="-2923.25"/>
    <n v="2071.2800000000002"/>
    <n v="-851.97"/>
    <n v="147871.49"/>
    <s v="Forecast"/>
  </r>
  <r>
    <x v="23"/>
    <x v="3"/>
    <s v="202201"/>
    <n v="60"/>
    <n v="41261.980000000003"/>
    <n v="-8.8822517365061651E-2"/>
    <s v="CohortAvg"/>
    <n v="-1.0369568378863769E-2"/>
    <s v="CohortAvg"/>
    <n v="0.1126068319323468"/>
    <s v="CohortAvg"/>
    <n v="3.3691792336346428E-2"/>
    <s v="CohortAvg_NonZero"/>
    <n v="9.0878616265887896E-4"/>
    <s v="CohortAvg"/>
    <n v="0"/>
    <s v="Zero"/>
    <n v="-1.9025749117157889E-6"/>
    <s v="CohortAvg"/>
    <n v="-1.619734042628402E-8"/>
    <s v="CohortAvg"/>
    <n v="0"/>
    <n v="-3664.99"/>
    <n v="-427.87"/>
    <n v="387.2"/>
    <n v="1390.19"/>
    <n v="37.5"/>
    <n v="-0.08"/>
    <n v="0"/>
    <n v="36128.629999999997"/>
    <n v="0.30422300000000002"/>
    <n v="0.99860000000000004"/>
    <n v="0.30379899999999999"/>
    <s v="CohortAvg+Seasonal(0.999)"/>
    <n v="10975.84"/>
    <n v="12176.32"/>
    <n v="-1200.49"/>
    <x v="1"/>
    <n v="1390.19"/>
    <n v="0.78500000000000003"/>
    <n v="0.24"/>
    <n v="1091.3"/>
    <n v="1091.3"/>
    <n v="333.65"/>
    <n v="11085.03"/>
    <n v="39871.79"/>
    <n v="0.27801700000000001"/>
    <n v="-109.19"/>
    <n v="-71.69"/>
    <n v="2815.13"/>
    <n v="2743.44"/>
    <n v="33385.18"/>
    <s v="Forecast"/>
  </r>
  <r>
    <x v="23"/>
    <x v="3"/>
    <s v="202301"/>
    <n v="51"/>
    <n v="751442.45"/>
    <n v="-6.9804857814978458E-2"/>
    <s v="CohortAvg"/>
    <n v="-1.6140591644043391E-2"/>
    <s v="CohortAvg"/>
    <n v="0.19077223329233761"/>
    <s v="CohortAvg"/>
    <n v="2.5301240277476329E-2"/>
    <s v="CohortAvg_NonZero"/>
    <n v="4.5503136850206122E-8"/>
    <s v="CohortAvg"/>
    <n v="0"/>
    <s v="Zero"/>
    <n v="-2.3734962707661262E-3"/>
    <s v="CohortAvg"/>
    <n v="-1.387578226525093E-5"/>
    <s v="CohortAvg"/>
    <n v="0"/>
    <n v="-52454.33"/>
    <n v="-12128.73"/>
    <n v="11946.2"/>
    <n v="19012.43"/>
    <n v="0.03"/>
    <n v="-1783.55"/>
    <n v="-10.43"/>
    <n v="679793.13"/>
    <n v="0.28117599999999998"/>
    <n v="0.99860000000000004"/>
    <n v="0.28078399999999998"/>
    <s v="CohortAvg+Seasonal(0.999)"/>
    <n v="190875.03"/>
    <n v="205117.26"/>
    <n v="-14242.23"/>
    <x v="1"/>
    <n v="19012.43"/>
    <n v="0.78500000000000003"/>
    <n v="0.24"/>
    <n v="14924.75"/>
    <n v="14924.75"/>
    <n v="4562.9799999999996"/>
    <n v="190192.51"/>
    <n v="732430.02"/>
    <n v="0.25967299999999999"/>
    <n v="682.52"/>
    <n v="682.56"/>
    <n v="38500.160000000003"/>
    <n v="39182.720000000001"/>
    <n v="640610.41"/>
    <s v="Forecast"/>
  </r>
  <r>
    <x v="23"/>
    <x v="3"/>
    <s v="202404"/>
    <n v="41"/>
    <n v="213143.16"/>
    <n v="-5.0055651009041878E-2"/>
    <s v="CohortAvg"/>
    <n v="-1.7543890377146789E-2"/>
    <s v="CohortAvg"/>
    <n v="0.1911777518064538"/>
    <s v="CohortAvg"/>
    <n v="6.3542395388803755E-2"/>
    <s v="CohortAvg_NonZero"/>
    <n v="8.3482309785350911E-7"/>
    <s v="CohortAvg"/>
    <n v="0"/>
    <s v="Zero"/>
    <n v="-1.0565689482159831E-2"/>
    <s v="CohortAvg"/>
    <n v="-1.1931084529959279E-4"/>
    <s v="CohortAvg"/>
    <n v="0"/>
    <n v="-10669.02"/>
    <n v="-3739.36"/>
    <n v="3395.69"/>
    <n v="13543.63"/>
    <n v="0.18"/>
    <n v="-2252"/>
    <n v="-25.43"/>
    <n v="188586.66"/>
    <n v="0.22475100000000001"/>
    <n v="0.99860000000000004"/>
    <n v="0.224438"/>
    <s v="CohortAvg+Seasonal(0.999)"/>
    <n v="42326"/>
    <n v="46034.42"/>
    <n v="-3708.42"/>
    <x v="1"/>
    <n v="13543.63"/>
    <n v="0.78500000000000003"/>
    <n v="0.24"/>
    <n v="10631.75"/>
    <n v="10631.75"/>
    <n v="3250.47"/>
    <n v="35402.68"/>
    <n v="199599.53"/>
    <n v="0.177369"/>
    <n v="6923.32"/>
    <n v="6923.5"/>
    <n v="27425.84"/>
    <n v="34349.35"/>
    <n v="154237.31"/>
    <s v="Forecast"/>
  </r>
  <r>
    <x v="23"/>
    <x v="3"/>
    <s v="202405"/>
    <n v="40"/>
    <n v="204359.78"/>
    <n v="-5.214224461365128E-2"/>
    <s v="CohortAvg"/>
    <n v="-1.7932200100277431E-2"/>
    <s v="CohortAvg"/>
    <n v="0.19976891870150729"/>
    <s v="CohortAvg"/>
    <n v="4.5815130466775093E-2"/>
    <s v="CohortAvg_NonZero"/>
    <n v="1.778552601131047E-8"/>
    <s v="CohortAvg"/>
    <n v="0"/>
    <s v="Zero"/>
    <n v="-1.203203273990811E-2"/>
    <s v="CohortAvg"/>
    <n v="-1.074101636282429E-4"/>
    <s v="CohortAvg"/>
    <n v="0"/>
    <n v="-10655.78"/>
    <n v="-3664.62"/>
    <n v="3402.06"/>
    <n v="9362.77"/>
    <n v="0"/>
    <n v="-2458.86"/>
    <n v="-21.95"/>
    <n v="184078.67"/>
    <n v="0.18104400000000001"/>
    <n v="0.99860000000000004"/>
    <n v="0.18079200000000001"/>
    <s v="CohortAvg+Seasonal(0.999)"/>
    <n v="33279.99"/>
    <n v="37625.39"/>
    <n v="-4345.3999999999996"/>
    <x v="1"/>
    <n v="9362.77"/>
    <n v="0.78500000000000003"/>
    <n v="0.24"/>
    <n v="7349.77"/>
    <n v="7349.77"/>
    <n v="2247.06"/>
    <n v="30275.61"/>
    <n v="194997.01"/>
    <n v="0.15526200000000001"/>
    <n v="3004.37"/>
    <n v="3004.38"/>
    <n v="18959.61"/>
    <n v="21963.99"/>
    <n v="162114.68"/>
    <s v="Forecast"/>
  </r>
  <r>
    <x v="23"/>
    <x v="3"/>
    <s v="202406"/>
    <n v="39"/>
    <n v="280524.17"/>
    <n v="-4.7995516183384462E-2"/>
    <s v="CohortAvg"/>
    <n v="-1.8105466503257069E-2"/>
    <s v="CohortAvg"/>
    <n v="0.2023515308995224"/>
    <s v="CohortAvg"/>
    <n v="3.9557256289160257E-2"/>
    <s v="CohortAvg_NonZero"/>
    <n v="1.284545511294729E-8"/>
    <s v="CohortAvg"/>
    <n v="0"/>
    <s v="Zero"/>
    <n v="-1.3748535912931979E-2"/>
    <s v="CohortAvg"/>
    <n v="-1.040747100877985E-4"/>
    <s v="CohortAvg"/>
    <n v="0"/>
    <n v="-13463.9"/>
    <n v="-5079.0200000000004"/>
    <n v="4730.37"/>
    <n v="11096.77"/>
    <n v="0"/>
    <n v="-3856.8"/>
    <n v="-29.2"/>
    <n v="255614.85"/>
    <n v="0.15107999999999999"/>
    <n v="0.99860000000000004"/>
    <n v="0.15087"/>
    <s v="CohortTrend+Seasonal(0.999)"/>
    <n v="38564.639999999999"/>
    <n v="40388.1"/>
    <n v="-1823.46"/>
    <x v="1"/>
    <n v="11096.77"/>
    <n v="0.78500000000000003"/>
    <n v="0.24"/>
    <n v="8710.9599999999991"/>
    <n v="8710.9599999999991"/>
    <n v="2663.22"/>
    <n v="31677.14"/>
    <n v="269427.40000000002"/>
    <n v="0.117572"/>
    <n v="6887.51"/>
    <n v="6887.51"/>
    <n v="22470.95"/>
    <n v="29358.46"/>
    <n v="226256.39"/>
    <s v="Forecast"/>
  </r>
  <r>
    <x v="23"/>
    <x v="3"/>
    <s v="202407"/>
    <n v="38"/>
    <n v="194508.61"/>
    <n v="-6.7765537844090132E-2"/>
    <s v="CohortAvg"/>
    <n v="-1.89522421908053E-2"/>
    <s v="CohortAvg"/>
    <n v="0.20661089784322309"/>
    <s v="CohortAvg"/>
    <n v="2.711178361870184E-2"/>
    <s v="CohortAvg_NonZero"/>
    <n v="4.3949206049112768E-6"/>
    <s v="CohortAvg"/>
    <n v="0"/>
    <s v="Zero"/>
    <n v="-1.6893639967782179E-2"/>
    <s v="CohortAvg"/>
    <n v="-2.0078275048401851E-4"/>
    <s v="CohortAvg"/>
    <n v="0"/>
    <n v="-13180.98"/>
    <n v="-3686.37"/>
    <n v="3348.97"/>
    <n v="5273.48"/>
    <n v="0.85"/>
    <n v="-3285.96"/>
    <n v="-39.049999999999997"/>
    <n v="175715.89"/>
    <n v="0.120614"/>
    <n v="0.99860000000000004"/>
    <n v="0.120446"/>
    <s v="CohortTrend+Seasonal(0.999)"/>
    <n v="21164.240000000002"/>
    <n v="22401.22"/>
    <n v="-1236.98"/>
    <x v="1"/>
    <n v="5273.48"/>
    <n v="0.78500000000000003"/>
    <n v="0.24"/>
    <n v="4139.68"/>
    <n v="4139.68"/>
    <n v="1265.6300000000001"/>
    <n v="18261.54"/>
    <n v="189235.13"/>
    <n v="9.6502000000000004E-2"/>
    <n v="2902.7"/>
    <n v="2903.55"/>
    <n v="10678.79"/>
    <n v="13582.34"/>
    <n v="162133.54999999999"/>
    <s v="Forecast"/>
  </r>
  <r>
    <x v="23"/>
    <x v="3"/>
    <s v="202408"/>
    <n v="37"/>
    <n v="315735.17"/>
    <n v="-4.9822446287253797E-2"/>
    <s v="CohortAvg"/>
    <n v="-1.9275482894880801E-2"/>
    <s v="CohortAvg"/>
    <n v="0.21378433063495911"/>
    <s v="CohortAvg"/>
    <n v="3.2221331532432652E-2"/>
    <s v="CohortAvg_NonZero"/>
    <n v="2.334168892302218E-8"/>
    <s v="CohortAvg"/>
    <n v="0"/>
    <s v="Zero"/>
    <n v="-1.137626481957745E-2"/>
    <s v="CohortAvg"/>
    <n v="-9.7583430750302239E-5"/>
    <s v="CohortAvg"/>
    <n v="0"/>
    <n v="-15730.7"/>
    <n v="-6085.95"/>
    <n v="5624.94"/>
    <n v="10173.41"/>
    <n v="0.01"/>
    <n v="-3591.89"/>
    <n v="-30.81"/>
    <n v="289370.03999999998"/>
    <n v="0.10075099999999999"/>
    <n v="0.99860000000000004"/>
    <n v="0.10061100000000001"/>
    <s v="CohortTrend+Seasonal(0.999)"/>
    <n v="29113.69"/>
    <n v="30453.13"/>
    <n v="-1339.43"/>
    <x v="1"/>
    <n v="10173.41"/>
    <n v="0.78500000000000003"/>
    <n v="0.24"/>
    <n v="7986.12"/>
    <n v="7986.12"/>
    <n v="2441.62"/>
    <n v="22467"/>
    <n v="305561.76"/>
    <n v="7.3526999999999995E-2"/>
    <n v="6646.69"/>
    <n v="6646.7"/>
    <n v="20601.150000000001"/>
    <n v="27247.85"/>
    <n v="262122.19"/>
    <s v="Forecast"/>
  </r>
  <r>
    <x v="23"/>
    <x v="3"/>
    <s v="202409"/>
    <n v="36"/>
    <n v="161662.22"/>
    <n v="-7.4005355237692166E-2"/>
    <s v="CohortAvg"/>
    <n v="-2.0184706029011089E-2"/>
    <s v="CohortAvg"/>
    <n v="0.21041759985412439"/>
    <s v="CohortAvg"/>
    <n v="3.581321764930271E-2"/>
    <s v="CohortAvg_NonZero"/>
    <n v="1.5975519983263049E-8"/>
    <s v="CohortAvg"/>
    <n v="0"/>
    <s v="Zero"/>
    <n v="-1.403837798131758E-2"/>
    <s v="CohortAvg"/>
    <n v="-1.091876456062277E-4"/>
    <s v="CohortAvg"/>
    <n v="0"/>
    <n v="-11963.87"/>
    <n v="-3263.1"/>
    <n v="2834.71"/>
    <n v="5789.64"/>
    <n v="0"/>
    <n v="-2269.48"/>
    <n v="-17.649999999999999"/>
    <n v="143480.32000000001"/>
    <n v="8.0730999999999997E-2"/>
    <n v="0.99860000000000004"/>
    <n v="8.0617999999999995E-2"/>
    <s v="CohortTrend+Seasonal(0.999)"/>
    <n v="11567.16"/>
    <n v="12538.31"/>
    <n v="-971.15"/>
    <x v="1"/>
    <n v="5789.64"/>
    <n v="0.78500000000000003"/>
    <n v="0.24"/>
    <n v="4544.87"/>
    <n v="4544.87"/>
    <n v="1389.51"/>
    <n v="7993.44"/>
    <n v="155872.57999999999"/>
    <n v="5.1282000000000001E-2"/>
    <n v="3573.72"/>
    <n v="3573.72"/>
    <n v="11724.03"/>
    <n v="15297.75"/>
    <n v="128182.56"/>
    <s v="Forecast"/>
  </r>
  <r>
    <x v="23"/>
    <x v="3"/>
    <s v="202410"/>
    <n v="35"/>
    <n v="264770.27"/>
    <n v="-4.831270544071007E-2"/>
    <s v="CohortAvg"/>
    <n v="-2.0003120943933049E-2"/>
    <s v="CohortAvg"/>
    <n v="0.21308610231858419"/>
    <s v="CohortAvg"/>
    <n v="3.7798939134601063E-2"/>
    <s v="CohortAvg_NonZero"/>
    <n v="8.4639335904422465E-7"/>
    <s v="CohortAvg"/>
    <n v="0"/>
    <s v="Zero"/>
    <n v="-1.934625265759864E-2"/>
    <s v="CohortAvg"/>
    <n v="-1.5628361076548979E-4"/>
    <s v="CohortAvg"/>
    <n v="0"/>
    <n v="-12791.77"/>
    <n v="-5296.23"/>
    <n v="4701.57"/>
    <n v="10008.040000000001"/>
    <n v="0.22"/>
    <n v="-5122.3100000000004"/>
    <n v="-41.38"/>
    <n v="241375.58"/>
    <n v="7.4441999999999994E-2"/>
    <n v="0.99860000000000004"/>
    <n v="7.4339000000000002E-2"/>
    <s v="CohortTrend+Seasonal(0.999)"/>
    <n v="17943.53"/>
    <n v="18947.009999999998"/>
    <n v="-1003.48"/>
    <x v="1"/>
    <n v="10008.040000000001"/>
    <n v="0.78500000000000003"/>
    <n v="0.24"/>
    <n v="7856.31"/>
    <n v="7856.31"/>
    <n v="2401.9299999999998"/>
    <n v="11090.7"/>
    <n v="254762.23"/>
    <n v="4.3534000000000003E-2"/>
    <n v="6852.83"/>
    <n v="6853.05"/>
    <n v="20266.27"/>
    <n v="27119.32"/>
    <n v="214256.26"/>
    <s v="Forecast"/>
  </r>
  <r>
    <x v="23"/>
    <x v="3"/>
    <s v="202411"/>
    <n v="34"/>
    <n v="296464.08"/>
    <n v="-5.2230011838505057E-2"/>
    <s v="CohortAvg"/>
    <n v="-2.0127873638914991E-2"/>
    <s v="CohortAvg"/>
    <n v="0.22300638442408441"/>
    <s v="CohortAvg"/>
    <n v="2.878172768969392E-2"/>
    <s v="CohortAvg_NonZero"/>
    <n v="5.2173199802548116E-9"/>
    <s v="CohortAvg"/>
    <n v="0"/>
    <s v="Zero"/>
    <n v="-2.42061402496246E-2"/>
    <s v="CohortAvg"/>
    <n v="-2.2337576420076909E-4"/>
    <s v="CohortAvg"/>
    <n v="0"/>
    <n v="-15484.32"/>
    <n v="-5967.19"/>
    <n v="5509.45"/>
    <n v="8532.75"/>
    <n v="0"/>
    <n v="-7176.25"/>
    <n v="-66.22"/>
    <n v="271989.27"/>
    <n v="7.0211999999999997E-2"/>
    <n v="0.99860000000000004"/>
    <n v="7.0113999999999996E-2"/>
    <s v="CohortTrend+Seasonal(0.999)"/>
    <n v="19070.240000000002"/>
    <n v="19969.77"/>
    <n v="-899.54"/>
    <x v="1"/>
    <n v="8532.75"/>
    <n v="0.78500000000000003"/>
    <n v="0.24"/>
    <n v="6698.21"/>
    <n v="6698.21"/>
    <n v="2047.86"/>
    <n v="13271.57"/>
    <n v="287931.33"/>
    <n v="4.6093000000000002E-2"/>
    <n v="5798.67"/>
    <n v="5798.67"/>
    <n v="17278.82"/>
    <n v="23077.49"/>
    <n v="248911.78"/>
    <s v="Forecast"/>
  </r>
  <r>
    <x v="23"/>
    <x v="3"/>
    <s v="202412"/>
    <n v="33"/>
    <n v="314921.23"/>
    <n v="-5.038531846998013E-2"/>
    <s v="CohortAvg"/>
    <n v="-2.061613343591797E-2"/>
    <s v="CohortAvg"/>
    <n v="0.2219710582929468"/>
    <s v="CohortAvg"/>
    <n v="3.3045718819493718E-2"/>
    <s v="CohortAvg_NonZero"/>
    <n v="8.1942181333084681E-7"/>
    <s v="CohortAvg"/>
    <n v="0"/>
    <s v="Zero"/>
    <n v="-4.4491535538782663E-2"/>
    <s v="CohortAvg"/>
    <n v="-4.6140842469549168E-4"/>
    <s v="CohortAvg"/>
    <n v="0"/>
    <n v="-15867.41"/>
    <n v="-6492.46"/>
    <n v="5825.28"/>
    <n v="10406.799999999999"/>
    <n v="0.26"/>
    <n v="-14011.33"/>
    <n v="-145.31"/>
    <n v="287979.59000000003"/>
    <n v="7.4828000000000006E-2"/>
    <n v="0.99860000000000004"/>
    <n v="7.4722999999999998E-2"/>
    <s v="CohortTrend+Seasonal(0.999)"/>
    <n v="21518.79"/>
    <n v="22490.94"/>
    <n v="-972.15"/>
    <x v="1"/>
    <n v="10406.799999999999"/>
    <n v="0.78500000000000003"/>
    <n v="0.24"/>
    <n v="8169.34"/>
    <n v="8169.34"/>
    <n v="2497.63"/>
    <n v="14321.6"/>
    <n v="304514.43"/>
    <n v="4.7031000000000003E-2"/>
    <n v="7197.19"/>
    <n v="7197.45"/>
    <n v="21073.77"/>
    <n v="28271.21"/>
    <n v="259708.37"/>
    <s v="Forecast"/>
  </r>
  <r>
    <x v="23"/>
    <x v="3"/>
    <s v="202501"/>
    <n v="32"/>
    <n v="555328.57999999996"/>
    <n v="-5.2603381078490989E-2"/>
    <s v="CohortAvg"/>
    <n v="-2.08357635653964E-2"/>
    <s v="CohortAvg"/>
    <n v="0.22494191734701599"/>
    <s v="CohortAvg"/>
    <n v="1.417376092779794E-2"/>
    <s v="CohortAvg_NonZero"/>
    <n v="1.5180511221061089E-5"/>
    <s v="CohortAvg"/>
    <n v="0"/>
    <s v="Zero"/>
    <n v="-4.3284379570470842E-2"/>
    <s v="CohortAvg"/>
    <n v="-4.6021701423823528E-4"/>
    <s v="CohortAvg"/>
    <n v="0"/>
    <n v="-29212.16"/>
    <n v="-11570.69"/>
    <n v="10409.719999999999"/>
    <n v="7871.09"/>
    <n v="8.43"/>
    <n v="-24037.05"/>
    <n v="-255.57"/>
    <n v="517075.92"/>
    <n v="8.1087000000000006E-2"/>
    <n v="0.99860000000000004"/>
    <n v="8.0974000000000004E-2"/>
    <s v="CohortTrend+Seasonal(0.999)"/>
    <n v="41869.61"/>
    <n v="42727.519999999997"/>
    <n v="-857.92"/>
    <x v="1"/>
    <n v="7871.09"/>
    <n v="0.78500000000000003"/>
    <n v="0.24"/>
    <n v="6178.81"/>
    <n v="6178.81"/>
    <n v="1889.06"/>
    <n v="36548.71"/>
    <n v="547457.48"/>
    <n v="6.6761000000000001E-2"/>
    <n v="5320.89"/>
    <n v="5329.32"/>
    <n v="15938.97"/>
    <n v="21268.29"/>
    <n v="495807.63"/>
    <s v="Forecast"/>
  </r>
  <r>
    <x v="23"/>
    <x v="3"/>
    <s v="202502"/>
    <n v="31"/>
    <n v="589868.32999999996"/>
    <n v="-5.3383865262940512E-2"/>
    <s v="CohortAvg"/>
    <n v="-1.9137084041622281E-2"/>
    <s v="CohortAvg"/>
    <n v="0.22665462128983499"/>
    <s v="CohortAvg"/>
    <n v="1.9540842592521122E-2"/>
    <s v="CohortAvg_NonZero"/>
    <n v="3.9063127110979987E-4"/>
    <s v="CohortAvg"/>
    <n v="0"/>
    <s v="Zero"/>
    <n v="-9.2314385730159529E-2"/>
    <s v="CohortAvg"/>
    <n v="-1.2003810811793509E-3"/>
    <s v="CohortAvg"/>
    <n v="0"/>
    <n v="-31489.45"/>
    <n v="-11288.36"/>
    <n v="11141.37"/>
    <n v="11526.52"/>
    <n v="230.42"/>
    <n v="-54453.33"/>
    <n v="-708.07"/>
    <n v="546474.93999999994"/>
    <n v="8.0380999999999994E-2"/>
    <n v="0.99860000000000004"/>
    <n v="8.0268999999999993E-2"/>
    <s v="CohortTrend+Seasonal(0.999)"/>
    <n v="43864.959999999999"/>
    <n v="44885.9"/>
    <n v="-1020.94"/>
    <x v="1"/>
    <n v="11526.52"/>
    <n v="0.78500000000000003"/>
    <n v="0.24"/>
    <n v="9048.32"/>
    <n v="9048.32"/>
    <n v="2766.37"/>
    <n v="35837.58"/>
    <n v="578341.81000000006"/>
    <n v="6.1966E-2"/>
    <n v="8027.38"/>
    <n v="8257.7999999999993"/>
    <n v="23341.21"/>
    <n v="31599.01"/>
    <n v="514875.93"/>
    <s v="Forecast"/>
  </r>
  <r>
    <x v="23"/>
    <x v="3"/>
    <s v="202503"/>
    <n v="30"/>
    <n v="851134.65"/>
    <n v="-4.5514229909126153E-2"/>
    <s v="CohortAvg"/>
    <n v="-2.1959745597903191E-2"/>
    <s v="CohortAvg"/>
    <n v="0.25478901846364371"/>
    <s v="CohortAvg"/>
    <n v="4.6176837495393924E-3"/>
    <s v="CohortAvg_NonZero"/>
    <n v="1.7903962639347241E-9"/>
    <s v="CohortAvg"/>
    <n v="0"/>
    <s v="Zero"/>
    <n v="0"/>
    <s v="CohortAvg"/>
    <n v="0"/>
    <s v="CohortAvg"/>
    <n v="0"/>
    <n v="-38738.74"/>
    <n v="-18690.7"/>
    <n v="18071.650000000001"/>
    <n v="3930.27"/>
    <n v="0"/>
    <n v="0"/>
    <n v="0"/>
    <n v="807846.59"/>
    <n v="9.3923999999999994E-2"/>
    <n v="0.99860000000000004"/>
    <n v="9.3793000000000001E-2"/>
    <s v="CohortTrend+Seasonal(0.999)"/>
    <n v="75770.25"/>
    <n v="75056.460000000006"/>
    <n v="713.8"/>
    <x v="1"/>
    <n v="3930.27"/>
    <n v="0.78500000000000003"/>
    <n v="0.24"/>
    <n v="3085.26"/>
    <n v="3085.26"/>
    <n v="943.26"/>
    <n v="71971.19"/>
    <n v="847204.38"/>
    <n v="8.4950999999999999E-2"/>
    <n v="3799.06"/>
    <n v="3799.06"/>
    <n v="7958.8"/>
    <n v="11757.86"/>
    <n v="796088.73"/>
    <s v="Forecast"/>
  </r>
  <r>
    <x v="23"/>
    <x v="3"/>
    <s v="202504"/>
    <n v="29"/>
    <n v="616399.6"/>
    <n v="-5.5779511896095313E-2"/>
    <s v="CohortAvg"/>
    <n v="-2.2022891248602711E-2"/>
    <s v="CohortAvg"/>
    <n v="0.25068634096373649"/>
    <s v="CohortAvg"/>
    <n v="2.1791689037598898E-3"/>
    <s v="CohortAvg_NonZero"/>
    <n v="1.412205590327516E-9"/>
    <s v="CohortAvg"/>
    <n v="0"/>
    <s v="Zero"/>
    <n v="0"/>
    <s v="CohortAvg"/>
    <n v="0"/>
    <s v="CohortAvg"/>
    <n v="0"/>
    <n v="-34382.47"/>
    <n v="-13574.9"/>
    <n v="12876.91"/>
    <n v="1343.24"/>
    <n v="0"/>
    <n v="0"/>
    <n v="0"/>
    <n v="579975.91"/>
    <n v="9.4283000000000006E-2"/>
    <n v="0.99860000000000004"/>
    <n v="9.4152E-2"/>
    <s v="CohortTrend+Seasonal(0.999)"/>
    <n v="54605.79"/>
    <n v="54415.46"/>
    <n v="190.33"/>
    <x v="1"/>
    <n v="1343.24"/>
    <n v="0.78500000000000003"/>
    <n v="0.24"/>
    <n v="1054.44"/>
    <n v="1054.44"/>
    <n v="322.38"/>
    <n v="53361.02"/>
    <n v="615056.37"/>
    <n v="8.6758000000000002E-2"/>
    <n v="1244.78"/>
    <n v="1244.78"/>
    <n v="2720.06"/>
    <n v="3964.83"/>
    <n v="576011.06999999995"/>
    <s v="Forecast"/>
  </r>
  <r>
    <x v="23"/>
    <x v="3"/>
    <s v="202505"/>
    <n v="28"/>
    <n v="836590.88"/>
    <n v="-4.9457536697333639E-2"/>
    <s v="CohortAvg"/>
    <n v="-2.1543488342871581E-2"/>
    <s v="CohortAvg"/>
    <n v="0.2438006370727572"/>
    <s v="CohortAvg"/>
    <n v="0"/>
    <s v="CohortAvg_NoData_ERROR"/>
    <n v="0"/>
    <s v="CohortAvg"/>
    <n v="0"/>
    <s v="Zero"/>
    <n v="0"/>
    <s v="CohortAvg"/>
    <n v="0"/>
    <s v="CohortAvg"/>
    <n v="0"/>
    <n v="-41375.72"/>
    <n v="-18023.09"/>
    <n v="16996.78"/>
    <n v="0"/>
    <n v="0"/>
    <n v="0"/>
    <n v="0"/>
    <n v="794188.85"/>
    <n v="0.102545"/>
    <n v="0.99860000000000004"/>
    <n v="0.10240299999999999"/>
    <s v="CohortTrend+Seasonal(0.999)"/>
    <n v="81326.929999999993"/>
    <n v="79857.17"/>
    <n v="1469.76"/>
    <x v="1"/>
    <n v="0"/>
    <n v="0.78500000000000003"/>
    <n v="0.24"/>
    <n v="0"/>
    <n v="0"/>
    <n v="0"/>
    <n v="79857.17"/>
    <n v="836590.88"/>
    <n v="9.5454999999999998E-2"/>
    <n v="1469.76"/>
    <n v="1469.76"/>
    <n v="0"/>
    <n v="1469.76"/>
    <n v="792719.09"/>
    <s v="Forecast"/>
  </r>
  <r>
    <x v="23"/>
    <x v="3"/>
    <s v="202506"/>
    <n v="27"/>
    <n v="889368.62"/>
    <n v="-5.3747788366939608E-2"/>
    <s v="CohortAvg"/>
    <n v="-2.2644440833615841E-2"/>
    <s v="CohortAvg"/>
    <n v="0.25632239375976063"/>
    <s v="CohortAvg"/>
    <n v="0"/>
    <s v="CohortAvg_NoData_ERROR"/>
    <n v="0"/>
    <s v="CohortAvg"/>
    <n v="0"/>
    <s v="Zero"/>
    <n v="0"/>
    <s v="CohortAvg"/>
    <n v="0"/>
    <s v="CohortAvg"/>
    <n v="0"/>
    <n v="-47801.599999999999"/>
    <n v="-20139.259999999998"/>
    <n v="18997.09"/>
    <n v="0"/>
    <n v="0"/>
    <n v="0"/>
    <n v="0"/>
    <n v="840424.86"/>
    <n v="0.102975"/>
    <n v="0.99860000000000004"/>
    <n v="0.10283200000000001"/>
    <s v="CohortTrend+Seasonal(0.999)"/>
    <n v="86422.64"/>
    <n v="84955.09"/>
    <n v="1467.55"/>
    <x v="1"/>
    <n v="0"/>
    <n v="0.78500000000000003"/>
    <n v="0.24"/>
    <n v="0"/>
    <n v="0"/>
    <n v="0"/>
    <n v="84955.09"/>
    <n v="889368.62"/>
    <n v="9.5522999999999997E-2"/>
    <n v="1467.55"/>
    <n v="1467.55"/>
    <n v="0"/>
    <n v="1467.55"/>
    <n v="838957.31"/>
    <s v="Forecast"/>
  </r>
  <r>
    <x v="23"/>
    <x v="3"/>
    <s v="202507"/>
    <n v="26"/>
    <n v="1376549.51"/>
    <n v="-3.9743159293385941E-2"/>
    <s v="CohortAvg"/>
    <n v="-2.3866147224876781E-2"/>
    <s v="CohortAvg"/>
    <n v="0.25823741561279678"/>
    <s v="CohortAvg"/>
    <n v="0"/>
    <s v="CohortAvg_NoData_ERROR"/>
    <n v="0"/>
    <s v="CohortAvg"/>
    <n v="0"/>
    <s v="Zero"/>
    <n v="0"/>
    <s v="CohortAvg"/>
    <n v="0"/>
    <s v="CohortAvg"/>
    <n v="0"/>
    <n v="-54708.43"/>
    <n v="-32852.93"/>
    <n v="29623.05"/>
    <n v="0"/>
    <n v="0"/>
    <n v="0"/>
    <n v="0"/>
    <n v="1318611.2"/>
    <n v="9.8476999999999995E-2"/>
    <n v="0.99860000000000004"/>
    <n v="9.8339999999999997E-2"/>
    <s v="CohortTrend+Seasonal(0.999)"/>
    <n v="129672.01"/>
    <n v="125485.36"/>
    <n v="4186.6499999999996"/>
    <x v="1"/>
    <n v="0"/>
    <n v="0.78500000000000003"/>
    <n v="0.24"/>
    <n v="0"/>
    <n v="0"/>
    <n v="0"/>
    <n v="125485.36"/>
    <n v="1376549.51"/>
    <n v="9.1159000000000004E-2"/>
    <n v="4186.6499999999996"/>
    <n v="4186.6499999999996"/>
    <n v="0"/>
    <n v="4186.6499999999996"/>
    <n v="1314424.55"/>
    <s v="Forecast"/>
  </r>
  <r>
    <x v="23"/>
    <x v="3"/>
    <s v="202508"/>
    <n v="25"/>
    <n v="1636124.91"/>
    <n v="-3.9872450610693597E-2"/>
    <s v="CohortAvg"/>
    <n v="-1.828564567448401E-2"/>
    <s v="CohortAvg"/>
    <n v="0.24936195152899779"/>
    <s v="CohortAvg"/>
    <n v="0"/>
    <s v="CohortAvg_NoData_ERROR"/>
    <n v="0"/>
    <s v="CohortAvg"/>
    <n v="0"/>
    <s v="Zero"/>
    <n v="0"/>
    <s v="CohortAvg"/>
    <n v="0"/>
    <s v="CohortAvg"/>
    <n v="0"/>
    <n v="-65236.31"/>
    <n v="-29917.599999999999"/>
    <n v="33998.94"/>
    <n v="0"/>
    <n v="0"/>
    <n v="0"/>
    <n v="0"/>
    <n v="1574969.94"/>
    <n v="9.3978000000000006E-2"/>
    <n v="0.99860000000000004"/>
    <n v="9.3848000000000001E-2"/>
    <s v="CohortTrend+Seasonal(0.999)"/>
    <n v="147807.13"/>
    <n v="142008.74"/>
    <n v="5798.39"/>
    <x v="1"/>
    <n v="0"/>
    <n v="0.78500000000000003"/>
    <n v="0.24"/>
    <n v="0"/>
    <n v="0"/>
    <n v="0"/>
    <n v="142008.74"/>
    <n v="1636124.91"/>
    <n v="8.6795999999999998E-2"/>
    <n v="5798.39"/>
    <n v="5798.39"/>
    <n v="0"/>
    <n v="5798.39"/>
    <n v="1569171.55"/>
    <s v="Forecast"/>
  </r>
  <r>
    <x v="23"/>
    <x v="3"/>
    <s v="202509"/>
    <n v="24"/>
    <n v="26784.07"/>
    <n v="-0.25639061809343122"/>
    <s v="CohortAvg"/>
    <n v="-3.750992984021567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6867.18"/>
    <n v="-1004.67"/>
    <n v="1116"/>
    <n v="0"/>
    <n v="0"/>
    <n v="0"/>
    <n v="0"/>
    <n v="20028.22"/>
    <n v="8.9480000000000004E-2"/>
    <n v="0.99860000000000004"/>
    <n v="8.9355000000000004E-2"/>
    <s v="CohortTrend+Seasonal(0.999)"/>
    <n v="1789.63"/>
    <n v="2207.87"/>
    <n v="-418.24"/>
    <x v="1"/>
    <n v="0"/>
    <n v="0.78500000000000003"/>
    <n v="0.24"/>
    <n v="0"/>
    <n v="0"/>
    <n v="0"/>
    <n v="2207.87"/>
    <n v="26784.07"/>
    <n v="8.2432000000000005E-2"/>
    <n v="-418.24"/>
    <n v="-418.24"/>
    <n v="0"/>
    <n v="-418.24"/>
    <n v="20446.46"/>
    <s v="Forecast"/>
  </r>
  <r>
    <x v="23"/>
    <x v="4"/>
    <s v="202101"/>
    <n v="78"/>
    <n v="85423.57"/>
    <n v="-0.13749527494101069"/>
    <s v="CohortAvg"/>
    <n v="-1.153689710703198E-2"/>
    <s v="CohortAvg"/>
    <n v="0.13197851023757029"/>
    <s v="CohortAvg"/>
    <n v="4.601391401009073E-2"/>
    <s v="CohortAvg_NonZero"/>
    <n v="0"/>
    <s v="CohortAvg"/>
    <n v="0"/>
    <s v="Zero"/>
    <n v="0"/>
    <s v="CohortAvg"/>
    <n v="0"/>
    <s v="CohortAvg"/>
    <n v="0"/>
    <n v="-11745.34"/>
    <n v="-985.52"/>
    <n v="939.51"/>
    <n v="3930.67"/>
    <n v="0"/>
    <n v="0"/>
    <n v="0"/>
    <n v="69701.539999999994"/>
    <n v="0.17010500000000001"/>
    <n v="1.1272"/>
    <n v="0.191749"/>
    <s v="CohortAvg+Seasonal(1.127)"/>
    <n v="13365.19"/>
    <n v="15387.31"/>
    <n v="-2022.12"/>
    <x v="1"/>
    <n v="3930.67"/>
    <n v="0.78500000000000003"/>
    <n v="0.24"/>
    <n v="3085.58"/>
    <n v="3085.58"/>
    <n v="943.36"/>
    <n v="12301.73"/>
    <n v="81492.899999999994"/>
    <n v="0.15095500000000001"/>
    <n v="1063.45"/>
    <n v="1063.45"/>
    <n v="7959.61"/>
    <n v="9023.07"/>
    <n v="60678.48"/>
    <s v="Forecast"/>
  </r>
  <r>
    <x v="23"/>
    <x v="4"/>
    <s v="202201"/>
    <n v="60"/>
    <n v="8465.23"/>
    <n v="-9.8956689741019233E-2"/>
    <s v="CohortAvg"/>
    <n v="-9.5729033461948668E-3"/>
    <s v="CohortAvg"/>
    <n v="9.9584305162426959E-2"/>
    <s v="CohortAvg"/>
    <n v="3.6323198317534833E-2"/>
    <s v="CohortAvg_NonZero"/>
    <n v="4.4799639245465758E-11"/>
    <s v="CohortAvg"/>
    <n v="0"/>
    <s v="Zero"/>
    <n v="0"/>
    <s v="CohortAvg"/>
    <n v="0"/>
    <s v="CohortAvg"/>
    <n v="0"/>
    <n v="-837.69"/>
    <n v="-81.040000000000006"/>
    <n v="70.25"/>
    <n v="307.48"/>
    <n v="0"/>
    <n v="0"/>
    <n v="0"/>
    <n v="7309.27"/>
    <n v="3.9086999999999997E-2"/>
    <n v="1.1272"/>
    <n v="4.4060000000000002E-2"/>
    <s v="CohortAvg+Seasonal(1.127)"/>
    <n v="322.05"/>
    <n v="350.34"/>
    <n v="-28.3"/>
    <x v="1"/>
    <n v="307.48"/>
    <n v="0.78500000000000003"/>
    <n v="0.24"/>
    <n v="241.38"/>
    <n v="241.38"/>
    <n v="73.8"/>
    <n v="108.97"/>
    <n v="8157.75"/>
    <n v="1.3358E-2"/>
    <n v="213.08"/>
    <n v="213.08"/>
    <n v="622.66"/>
    <n v="835.73"/>
    <n v="6473.53"/>
    <s v="Forecast"/>
  </r>
  <r>
    <x v="23"/>
    <x v="4"/>
    <s v="202405"/>
    <n v="40"/>
    <n v="3256.27"/>
    <n v="-1.675310105911626E-2"/>
    <s v="CohortAvg"/>
    <n v="-1.0460696925037439E-2"/>
    <s v="CohortAvg"/>
    <n v="0.1215717803266243"/>
    <s v="CohortAvg"/>
    <n v="0"/>
    <s v="CohortAvg_NoData_ERROR"/>
    <n v="0"/>
    <s v="CohortAvg"/>
    <n v="0"/>
    <s v="Zero"/>
    <n v="0"/>
    <s v="CohortAvg"/>
    <n v="0"/>
    <s v="CohortAvg"/>
    <n v="0"/>
    <n v="-54.55"/>
    <n v="-34.06"/>
    <n v="32.99"/>
    <n v="0"/>
    <n v="0"/>
    <n v="0"/>
    <n v="0"/>
    <n v="3200.64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3256.27"/>
    <n v="0"/>
    <n v="0"/>
    <n v="0"/>
    <n v="0"/>
    <n v="0"/>
    <n v="3200.64"/>
    <s v="Forecast"/>
  </r>
  <r>
    <x v="23"/>
    <x v="4"/>
    <s v="202407"/>
    <n v="38"/>
    <n v="875.06"/>
    <n v="-5.3632023401325009E-2"/>
    <s v="CohortAvg"/>
    <n v="-1.04974155785962E-2"/>
    <s v="CohortAvg"/>
    <n v="0.1204573812570659"/>
    <s v="CohortAvg"/>
    <n v="0"/>
    <s v="CohortAvg_NoData_ERROR"/>
    <n v="0"/>
    <s v="CohortAvg"/>
    <n v="0"/>
    <s v="Zero"/>
    <n v="0"/>
    <s v="CohortAvg"/>
    <n v="0"/>
    <s v="CohortAvg"/>
    <n v="0"/>
    <n v="-46.93"/>
    <n v="-9.19"/>
    <n v="8.7799999999999994"/>
    <n v="0"/>
    <n v="0"/>
    <n v="0"/>
    <n v="0"/>
    <n v="827.72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875.06"/>
    <n v="0"/>
    <n v="0"/>
    <n v="0"/>
    <n v="0"/>
    <n v="0"/>
    <n v="827.72"/>
    <s v="Forecast"/>
  </r>
  <r>
    <x v="23"/>
    <x v="4"/>
    <s v="202409"/>
    <n v="36"/>
    <n v="3672.12"/>
    <n v="-4.3487576114424463E-2"/>
    <s v="CohortAvg"/>
    <n v="-1.04670664310718E-2"/>
    <s v="CohortAvg"/>
    <n v="0.1208174141989287"/>
    <s v="CohortAvg"/>
    <n v="0"/>
    <s v="CohortAvg_NoData_ERROR"/>
    <n v="0"/>
    <s v="CohortAvg"/>
    <n v="0"/>
    <s v="Zero"/>
    <n v="0"/>
    <s v="CohortAvg"/>
    <n v="0"/>
    <s v="CohortAvg"/>
    <n v="0"/>
    <n v="-159.69"/>
    <n v="-38.44"/>
    <n v="36.97"/>
    <n v="0"/>
    <n v="0"/>
    <n v="0"/>
    <n v="0"/>
    <n v="3510.96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3672.12"/>
    <n v="0"/>
    <n v="0"/>
    <n v="0"/>
    <n v="0"/>
    <n v="0"/>
    <n v="3510.96"/>
    <s v="Forecast"/>
  </r>
  <r>
    <x v="23"/>
    <x v="4"/>
    <s v="202504"/>
    <n v="29"/>
    <n v="3452.27"/>
    <n v="-1.298324128105692E-2"/>
    <s v="CohortAvg"/>
    <n v="-1.043027166050141E-2"/>
    <s v="CohortAvg"/>
    <n v="0.1256115222794344"/>
    <s v="CohortAvg"/>
    <n v="0"/>
    <s v="CohortAvg_NoData_ERROR"/>
    <n v="0"/>
    <s v="CohortAvg"/>
    <n v="0"/>
    <s v="Zero"/>
    <n v="0"/>
    <s v="CohortAvg"/>
    <n v="0"/>
    <s v="CohortAvg"/>
    <n v="0"/>
    <n v="-44.82"/>
    <n v="-36.01"/>
    <n v="36.14"/>
    <n v="0"/>
    <n v="0"/>
    <n v="0"/>
    <n v="0"/>
    <n v="3407.57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3452.27"/>
    <n v="0"/>
    <n v="0"/>
    <n v="0"/>
    <n v="0"/>
    <n v="0"/>
    <n v="3407.57"/>
    <s v="Forecast"/>
  </r>
  <r>
    <x v="23"/>
    <x v="4"/>
    <s v="202507"/>
    <n v="26"/>
    <n v="7851.01"/>
    <n v="-1.1680640612255379E-2"/>
    <s v="CohortAvg"/>
    <n v="-1.154620740414387E-2"/>
    <s v="CohortAvg"/>
    <n v="0.1373907386899553"/>
    <s v="CohortAvg"/>
    <n v="0"/>
    <s v="CohortAvg_NoData_ERROR"/>
    <n v="0"/>
    <s v="CohortAvg"/>
    <n v="0"/>
    <s v="Zero"/>
    <n v="0"/>
    <s v="CohortAvg"/>
    <n v="0"/>
    <s v="CohortAvg"/>
    <n v="0"/>
    <n v="-91.7"/>
    <n v="-90.65"/>
    <n v="89.89"/>
    <n v="0"/>
    <n v="0"/>
    <n v="0"/>
    <n v="0"/>
    <n v="7758.54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7851.01"/>
    <n v="0"/>
    <n v="0"/>
    <n v="0"/>
    <n v="0"/>
    <n v="0"/>
    <n v="7758.54"/>
    <s v="Forecast"/>
  </r>
  <r>
    <x v="23"/>
    <x v="4"/>
    <s v="202508"/>
    <n v="25"/>
    <n v="29972.19"/>
    <n v="-7.6160824408185923E-3"/>
    <s v="CohortAvg"/>
    <n v="-3.9198909014347156E-3"/>
    <s v="CohortAvg"/>
    <n v="0.13665505504813519"/>
    <s v="CohortAvg"/>
    <n v="0"/>
    <s v="CohortAvg_NoData_ERROR"/>
    <n v="0"/>
    <s v="CohortAvg"/>
    <n v="0"/>
    <s v="Zero"/>
    <n v="0"/>
    <s v="CohortAvg"/>
    <n v="0"/>
    <s v="CohortAvg"/>
    <n v="0"/>
    <n v="-228.27"/>
    <n v="-117.49"/>
    <n v="341.32"/>
    <n v="0"/>
    <n v="0"/>
    <n v="0"/>
    <n v="0"/>
    <n v="29967.75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29972.19"/>
    <n v="0"/>
    <n v="0"/>
    <n v="0"/>
    <n v="0"/>
    <n v="0"/>
    <n v="29967.75"/>
    <s v="Forecast"/>
  </r>
  <r>
    <x v="23"/>
    <x v="4"/>
    <s v="202509"/>
    <n v="24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1.1272"/>
    <n v="0"/>
    <s v="Manual+Seasonal(1.127)"/>
    <n v="0"/>
    <n v="0"/>
    <n v="0"/>
    <x v="1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4"/>
    <x v="0"/>
    <s v="201912"/>
    <n v="94"/>
    <n v="279074.33"/>
    <n v="-5.2114744535159373E-4"/>
    <s v="CohortAvg"/>
    <n v="1.477041411309832E-3"/>
    <s v="CohortAvg"/>
    <n v="0"/>
    <s v="CohortAvg"/>
    <n v="2.892985476353295E-2"/>
    <s v="CohortAvg_NonZero"/>
    <n v="6.7687917647539109E-7"/>
    <s v="CohortAvg"/>
    <n v="0"/>
    <s v="Zero"/>
    <n v="0"/>
    <s v="CohortAvg"/>
    <n v="0"/>
    <s v="CohortAvg"/>
    <n v="0"/>
    <n v="-145.44"/>
    <n v="412.2"/>
    <n v="0"/>
    <n v="0"/>
    <n v="0.19"/>
    <n v="0"/>
    <n v="0"/>
    <n v="278516.49"/>
    <n v="0.996699"/>
    <n v="1.0468999999999999"/>
    <n v="1.0434920000000001"/>
    <s v="CohortAvg+Seasonal(1.047)"/>
    <n v="290629.84000000003"/>
    <n v="279209.33"/>
    <n v="11420.52"/>
    <x v="0"/>
    <n v="0"/>
    <n v="0.78500000000000003"/>
    <n v="0.24"/>
    <n v="0"/>
    <n v="0"/>
    <n v="0"/>
    <n v="279209.33"/>
    <n v="279074.33"/>
    <n v="1.0004839999999999"/>
    <n v="11420.52"/>
    <n v="11420.7"/>
    <n v="0"/>
    <n v="11420.7"/>
    <n v="267095.78999999998"/>
    <s v="Forecast"/>
  </r>
  <r>
    <x v="24"/>
    <x v="0"/>
    <s v="202001"/>
    <n v="93"/>
    <n v="34211.46"/>
    <n v="3.8580230572811049E-2"/>
    <s v="CohortAvg"/>
    <n v="1.6554529234227341E-3"/>
    <s v="CohortAvg"/>
    <n v="0"/>
    <s v="CohortAvg"/>
    <n v="1.307632698446801E-2"/>
    <s v="CohortAvg_NonZero"/>
    <n v="0"/>
    <s v="CohortAvg"/>
    <n v="0"/>
    <s v="Zero"/>
    <n v="0"/>
    <s v="CohortAvg"/>
    <n v="0"/>
    <s v="CohortAvg"/>
    <n v="0"/>
    <n v="1319.89"/>
    <n v="56.64"/>
    <n v="0"/>
    <n v="0"/>
    <n v="0"/>
    <n v="0"/>
    <n v="0"/>
    <n v="32834.94"/>
    <n v="0.99839299999999997"/>
    <n v="1.0468999999999999"/>
    <n v="1.045266"/>
    <s v="CohortAvg+Seasonal(1.047)"/>
    <n v="34321.26"/>
    <n v="34286.120000000003"/>
    <n v="35.130000000000003"/>
    <x v="0"/>
    <n v="0"/>
    <n v="0.78500000000000003"/>
    <n v="0.24"/>
    <n v="0"/>
    <n v="0"/>
    <n v="0"/>
    <n v="34286.120000000003"/>
    <n v="34211.46"/>
    <n v="1.0021819999999999"/>
    <n v="35.130000000000003"/>
    <n v="35.130000000000003"/>
    <n v="0"/>
    <n v="35.130000000000003"/>
    <n v="32799.800000000003"/>
    <s v="Forecast"/>
  </r>
  <r>
    <x v="24"/>
    <x v="0"/>
    <s v="202101"/>
    <n v="81"/>
    <n v="621987.19999999995"/>
    <n v="-5.2820632303937206E-3"/>
    <s v="CohortAvg"/>
    <n v="-2.0595682852361272E-3"/>
    <s v="CohortAvg"/>
    <n v="0"/>
    <s v="CohortAvg"/>
    <n v="1.5410352170958441E-2"/>
    <s v="CohortAvg_NonZero"/>
    <n v="5.5902031836000327E-7"/>
    <s v="CohortAvg"/>
    <n v="0"/>
    <s v="Zero"/>
    <n v="0"/>
    <s v="CohortAvg"/>
    <n v="0"/>
    <s v="CohortAvg"/>
    <n v="0"/>
    <n v="-3285.38"/>
    <n v="-1281.03"/>
    <n v="0"/>
    <n v="0"/>
    <n v="0.35"/>
    <n v="0"/>
    <n v="0"/>
    <n v="617420.46"/>
    <n v="0.94488700000000003"/>
    <n v="1.0468999999999999"/>
    <n v="0.98924800000000002"/>
    <s v="CohortAvg+Seasonal(1.047)"/>
    <n v="610782.01"/>
    <n v="589929.79"/>
    <n v="20852.21"/>
    <x v="0"/>
    <n v="0"/>
    <n v="0.78500000000000003"/>
    <n v="0.24"/>
    <n v="0"/>
    <n v="0"/>
    <n v="0"/>
    <n v="589929.79"/>
    <n v="621987.19999999995"/>
    <n v="0.94845999999999997"/>
    <n v="20852.21"/>
    <n v="20852.560000000001"/>
    <n v="0"/>
    <n v="20852.560000000001"/>
    <n v="596567.9"/>
    <s v="Forecast"/>
  </r>
  <r>
    <x v="24"/>
    <x v="0"/>
    <s v="202201"/>
    <n v="61"/>
    <n v="38390.25"/>
    <n v="-0.11521281782328829"/>
    <s v="CohortAvg"/>
    <n v="-5.9062388017248162E-3"/>
    <s v="CohortAvg"/>
    <n v="2.4922946040343379E-2"/>
    <s v="CohortAvg"/>
    <n v="4.2736666600040302E-2"/>
    <s v="CohortAvg_NonZero"/>
    <n v="4.5515529027397852E-3"/>
    <s v="CohortAvg"/>
    <n v="0"/>
    <s v="Zero"/>
    <n v="-8.4500943169553334E-7"/>
    <s v="CohortAvg"/>
    <n v="-1.8616586470464229E-8"/>
    <s v="CohortAvg"/>
    <n v="0"/>
    <n v="-4423.05"/>
    <n v="-226.74"/>
    <n v="79.73"/>
    <n v="0"/>
    <n v="174.74"/>
    <n v="-0.03"/>
    <n v="0"/>
    <n v="33645.46"/>
    <n v="0.584901"/>
    <n v="1.0468999999999999"/>
    <n v="0.61236100000000004"/>
    <s v="CohortAvg+Seasonal(1.047)"/>
    <n v="20603.16"/>
    <n v="22539.87"/>
    <n v="-1936.71"/>
    <x v="0"/>
    <n v="0"/>
    <n v="0.78500000000000003"/>
    <n v="0.24"/>
    <n v="0"/>
    <n v="0"/>
    <n v="0"/>
    <n v="22539.87"/>
    <n v="38390.25"/>
    <n v="0.58712500000000001"/>
    <n v="-1936.71"/>
    <n v="-1761.98"/>
    <n v="0"/>
    <n v="-1761.98"/>
    <n v="35407.440000000002"/>
    <s v="Forecast"/>
  </r>
  <r>
    <x v="24"/>
    <x v="0"/>
    <s v="202301"/>
    <n v="52"/>
    <n v="711362"/>
    <n v="-6.9353781360878122E-2"/>
    <s v="CohortAvg"/>
    <n v="-1.683399864056077E-2"/>
    <s v="CohortAvg"/>
    <n v="0.20595715565367151"/>
    <s v="CohortAvg"/>
    <n v="6.6438078669863773E-2"/>
    <s v="CohortAvg_NonZero"/>
    <n v="1.104083222962035E-4"/>
    <s v="CohortAvg"/>
    <n v="0"/>
    <s v="Zero"/>
    <n v="-5.1692802314790946E-3"/>
    <s v="CohortAvg"/>
    <n v="-7.0829338564722314E-5"/>
    <s v="CohortAvg"/>
    <n v="0"/>
    <n v="-49335.64"/>
    <n v="-11975.07"/>
    <n v="12209.17"/>
    <n v="0"/>
    <n v="78.540000000000006"/>
    <n v="-3677.23"/>
    <n v="-50.39"/>
    <n v="662181.93000000005"/>
    <n v="0.606931"/>
    <n v="1.0468999999999999"/>
    <n v="0.63542500000000002"/>
    <s v="CohortAvg+Seasonal(1.047)"/>
    <n v="420766.97"/>
    <n v="433608.51"/>
    <n v="-12841.54"/>
    <x v="0"/>
    <n v="0"/>
    <n v="0.78500000000000003"/>
    <n v="0.24"/>
    <n v="0"/>
    <n v="0"/>
    <n v="0"/>
    <n v="433608.51"/>
    <n v="711362"/>
    <n v="0.60954699999999995"/>
    <n v="-12841.54"/>
    <n v="-12763"/>
    <n v="0"/>
    <n v="-12763"/>
    <n v="674944.93"/>
    <s v="Forecast"/>
  </r>
  <r>
    <x v="24"/>
    <x v="0"/>
    <s v="202404"/>
    <n v="42"/>
    <n v="84405.23"/>
    <n v="-7.2380750198012281E-2"/>
    <s v="CohortAvg"/>
    <n v="-2.407249555514689E-2"/>
    <s v="CohortAvg"/>
    <n v="0.25291628684965262"/>
    <s v="CohortAvg"/>
    <n v="0.1097024648897944"/>
    <s v="CohortAvg_NonZero"/>
    <n v="9.4654785853799778E-5"/>
    <s v="CohortAvg"/>
    <n v="0"/>
    <s v="Zero"/>
    <n v="-7.6143357770919601E-3"/>
    <s v="CohortAvg"/>
    <n v="-1.6230964237804569E-4"/>
    <s v="CohortAvg"/>
    <n v="0"/>
    <n v="-6109.31"/>
    <n v="-2031.84"/>
    <n v="1778.95"/>
    <n v="0"/>
    <n v="7.99"/>
    <n v="-642.69000000000005"/>
    <n v="-13.7"/>
    <n v="78035.039999999994"/>
    <n v="0.48295700000000003"/>
    <n v="1.0468999999999999"/>
    <n v="0.50563100000000005"/>
    <s v="CohortAvg+Seasonal(1.047)"/>
    <n v="39456.9"/>
    <n v="40649.08"/>
    <n v="-1192.18"/>
    <x v="0"/>
    <n v="0"/>
    <n v="0.78500000000000003"/>
    <n v="0.24"/>
    <n v="0"/>
    <n v="0"/>
    <n v="0"/>
    <n v="40649.08"/>
    <n v="84405.23"/>
    <n v="0.48159400000000002"/>
    <n v="-1192.18"/>
    <n v="-1184.19"/>
    <n v="0"/>
    <n v="-1184.19"/>
    <n v="79219.23"/>
    <s v="Forecast"/>
  </r>
  <r>
    <x v="24"/>
    <x v="0"/>
    <s v="202405"/>
    <n v="41"/>
    <n v="143141.35999999999"/>
    <n v="-6.0926085179305263E-2"/>
    <s v="CohortAvg"/>
    <n v="-2.4304589020874189E-2"/>
    <s v="CohortAvg"/>
    <n v="0.26155780925659328"/>
    <s v="CohortAvg"/>
    <n v="0.10594510938598629"/>
    <s v="CohortAvg_NonZero"/>
    <n v="1.50300838846927E-4"/>
    <s v="CohortAvg"/>
    <n v="0"/>
    <s v="Zero"/>
    <n v="-1.144784168058407E-2"/>
    <s v="CohortAvg"/>
    <n v="-2.0150386312389301E-4"/>
    <s v="CohortAvg"/>
    <n v="0"/>
    <n v="-8721.0400000000009"/>
    <n v="-3478.99"/>
    <n v="3119.98"/>
    <n v="0"/>
    <n v="21.51"/>
    <n v="-1638.66"/>
    <n v="-28.84"/>
    <n v="134039.79"/>
    <n v="0.42030499999999998"/>
    <n v="1.0468999999999999"/>
    <n v="0.44003700000000001"/>
    <s v="CohortAvg+Seasonal(1.047)"/>
    <n v="58982.52"/>
    <n v="59946.45"/>
    <n v="-963.93"/>
    <x v="0"/>
    <n v="0"/>
    <n v="0.78500000000000003"/>
    <n v="0.24"/>
    <n v="0"/>
    <n v="0"/>
    <n v="0"/>
    <n v="59946.45"/>
    <n v="143141.35999999999"/>
    <n v="0.418792"/>
    <n v="-963.93"/>
    <n v="-942.42"/>
    <n v="0"/>
    <n v="-942.42"/>
    <n v="134982.20000000001"/>
    <s v="Forecast"/>
  </r>
  <r>
    <x v="24"/>
    <x v="0"/>
    <s v="202406"/>
    <n v="40"/>
    <n v="310137.59000000003"/>
    <n v="-5.5986392264832742E-2"/>
    <s v="CohortAvg"/>
    <n v="-2.5464475412227499E-2"/>
    <s v="CohortAvg"/>
    <n v="0.28030563020632432"/>
    <s v="CohortAvg"/>
    <n v="6.6251118258245173E-2"/>
    <s v="CohortAvg_NonZero"/>
    <n v="1.421269868426031E-5"/>
    <s v="CohortAvg"/>
    <n v="0"/>
    <s v="Zero"/>
    <n v="-9.5154413074275065E-3"/>
    <s v="CohortAvg"/>
    <n v="-2.0710031909009619E-4"/>
    <s v="CohortAvg"/>
    <n v="0"/>
    <n v="-17363.48"/>
    <n v="-7897.49"/>
    <n v="7244.44"/>
    <n v="0"/>
    <n v="4.41"/>
    <n v="-2951.1"/>
    <n v="-64.23"/>
    <n v="292116.65000000002"/>
    <n v="0.38358300000000001"/>
    <n v="1.0468999999999999"/>
    <n v="0.40159099999999998"/>
    <s v="CohortAvg+Seasonal(1.047)"/>
    <n v="117311.52"/>
    <n v="125124.87"/>
    <n v="-7813.35"/>
    <x v="0"/>
    <n v="0"/>
    <n v="0.78500000000000003"/>
    <n v="0.24"/>
    <n v="0"/>
    <n v="0"/>
    <n v="0"/>
    <n v="125124.87"/>
    <n v="310137.59000000003"/>
    <n v="0.40344999999999998"/>
    <n v="-7813.35"/>
    <n v="-7808.94"/>
    <n v="0"/>
    <n v="-7808.94"/>
    <n v="299925.59000000003"/>
    <s v="Forecast"/>
  </r>
  <r>
    <x v="24"/>
    <x v="0"/>
    <s v="202407"/>
    <n v="39"/>
    <n v="324750.78000000003"/>
    <n v="-5.2819362356538252E-2"/>
    <s v="CohortAvg"/>
    <n v="-2.6783513161210099E-2"/>
    <s v="CohortAvg"/>
    <n v="0.28889441064879501"/>
    <s v="CohortAvg"/>
    <n v="7.3965800713490404E-2"/>
    <s v="CohortAvg_NonZero"/>
    <n v="1.8335141995511899E-5"/>
    <s v="CohortAvg"/>
    <n v="0"/>
    <s v="Zero"/>
    <n v="-1.20988931048357E-2"/>
    <s v="CohortAvg"/>
    <n v="-6.3906518043082628E-5"/>
    <s v="CohortAvg"/>
    <n v="0"/>
    <n v="-17153.13"/>
    <n v="-8697.9699999999993"/>
    <n v="7818.22"/>
    <n v="0"/>
    <n v="5.95"/>
    <n v="-3929.12"/>
    <n v="-20.75"/>
    <n v="306711.95"/>
    <n v="0.336866"/>
    <n v="1.0468999999999999"/>
    <n v="0.352682"/>
    <s v="CohortTrend+Seasonal(1.047)"/>
    <n v="108171.65"/>
    <n v="108131.19"/>
    <n v="40.46"/>
    <x v="0"/>
    <n v="0"/>
    <n v="0.78500000000000003"/>
    <n v="0.24"/>
    <n v="0"/>
    <n v="0"/>
    <n v="0"/>
    <n v="108131.19"/>
    <n v="324750.78000000003"/>
    <n v="0.33296700000000001"/>
    <n v="40.46"/>
    <n v="46.42"/>
    <n v="0"/>
    <n v="46.42"/>
    <n v="306665.53999999998"/>
    <s v="Forecast"/>
  </r>
  <r>
    <x v="24"/>
    <x v="0"/>
    <s v="202408"/>
    <n v="38"/>
    <n v="208928.55"/>
    <n v="-6.4848334728023801E-2"/>
    <s v="CohortAvg"/>
    <n v="-2.6134937618589E-2"/>
    <s v="CohortAvg"/>
    <n v="0.27903572255381581"/>
    <s v="CohortAvg"/>
    <n v="9.7493760995491785E-2"/>
    <s v="CohortAvg_NonZero"/>
    <n v="1.2227065109502241E-4"/>
    <s v="CohortAvg"/>
    <n v="0"/>
    <s v="Zero"/>
    <n v="-1.3523085197817969E-2"/>
    <s v="CohortAvg"/>
    <n v="-3.0987490264123158E-4"/>
    <s v="CohortAvg"/>
    <n v="0"/>
    <n v="-13548.67"/>
    <n v="-5460.33"/>
    <n v="4858.21"/>
    <n v="0"/>
    <n v="25.55"/>
    <n v="-2825.36"/>
    <n v="-64.739999999999995"/>
    <n v="194752.21"/>
    <n v="0.30829899999999999"/>
    <n v="1.0468999999999999"/>
    <n v="0.32277299999999998"/>
    <s v="CohortTrend+Seasonal(1.047)"/>
    <n v="62860.81"/>
    <n v="63721.08"/>
    <n v="-860.27"/>
    <x v="0"/>
    <n v="0"/>
    <n v="0.78500000000000003"/>
    <n v="0.24"/>
    <n v="0"/>
    <n v="0"/>
    <n v="0"/>
    <n v="63721.08"/>
    <n v="208928.55"/>
    <n v="0.30498999999999998"/>
    <n v="-860.27"/>
    <n v="-834.72"/>
    <n v="0"/>
    <n v="-834.72"/>
    <n v="195586.93"/>
    <s v="Forecast"/>
  </r>
  <r>
    <x v="24"/>
    <x v="0"/>
    <s v="202409"/>
    <n v="37"/>
    <n v="164434.64000000001"/>
    <n v="-7.0470116108553083E-2"/>
    <s v="CohortAvg"/>
    <n v="-2.937550706109723E-2"/>
    <s v="CohortAvg"/>
    <n v="0.29635088636041429"/>
    <s v="CohortAvg"/>
    <n v="0.10165008651046931"/>
    <s v="CohortAvg_NonZero"/>
    <n v="3.3188521072651423E-4"/>
    <s v="CohortAvg"/>
    <n v="0"/>
    <s v="Zero"/>
    <n v="-1.553921158005807E-2"/>
    <s v="CohortAvg"/>
    <n v="9.8813624278385891E-4"/>
    <s v="CohortAvg"/>
    <n v="0"/>
    <n v="-11587.73"/>
    <n v="-4830.3500000000004"/>
    <n v="4060.86"/>
    <n v="0"/>
    <n v="54.57"/>
    <n v="-2555.1799999999998"/>
    <n v="162.47999999999999"/>
    <n v="152022.85"/>
    <n v="0.289412"/>
    <n v="1.0468999999999999"/>
    <n v="0.30299999999999999"/>
    <s v="CohortTrend+Seasonal(1.047)"/>
    <n v="46062.85"/>
    <n v="47061"/>
    <n v="-998.15"/>
    <x v="0"/>
    <n v="0"/>
    <n v="0.78500000000000003"/>
    <n v="0.24"/>
    <n v="0"/>
    <n v="0"/>
    <n v="0"/>
    <n v="47061"/>
    <n v="164434.64000000001"/>
    <n v="0.28619899999999998"/>
    <n v="-998.15"/>
    <n v="-943.57"/>
    <n v="0"/>
    <n v="-943.57"/>
    <n v="152966.42000000001"/>
    <s v="Forecast"/>
  </r>
  <r>
    <x v="24"/>
    <x v="0"/>
    <s v="202410"/>
    <n v="36"/>
    <n v="273735.21999999997"/>
    <n v="-6.4996087373429351E-2"/>
    <s v="CohortAvg"/>
    <n v="-2.9863084649487871E-2"/>
    <s v="CohortAvg"/>
    <n v="0.29581472822329902"/>
    <s v="CohortAvg"/>
    <n v="9.1334505539529973E-2"/>
    <s v="CohortAvg_NonZero"/>
    <n v="8.4053102595589674E-5"/>
    <s v="CohortAvg"/>
    <n v="0"/>
    <s v="Zero"/>
    <n v="-1.915838783857533E-2"/>
    <s v="CohortAvg"/>
    <n v="-2.8030295032855978E-4"/>
    <s v="CohortAvg"/>
    <n v="0"/>
    <n v="-17791.72"/>
    <n v="-8174.58"/>
    <n v="6747.91"/>
    <n v="0"/>
    <n v="23.01"/>
    <n v="-5244.33"/>
    <n v="-76.73"/>
    <n v="254493.83"/>
    <n v="0.27110400000000001"/>
    <n v="1.0468999999999999"/>
    <n v="0.283831"/>
    <s v="CohortTrend+Seasonal(1.047)"/>
    <n v="72233.350000000006"/>
    <n v="73450.3"/>
    <n v="-1216.95"/>
    <x v="0"/>
    <n v="0"/>
    <n v="0.78500000000000003"/>
    <n v="0.24"/>
    <n v="0"/>
    <n v="0"/>
    <n v="0"/>
    <n v="73450.3"/>
    <n v="273735.21999999997"/>
    <n v="0.26832600000000001"/>
    <n v="-1216.95"/>
    <n v="-1193.94"/>
    <n v="0"/>
    <n v="-1193.94"/>
    <n v="255687.77"/>
    <s v="Forecast"/>
  </r>
  <r>
    <x v="24"/>
    <x v="0"/>
    <s v="202411"/>
    <n v="35"/>
    <n v="291026.38"/>
    <n v="-6.9611176823040313E-2"/>
    <s v="CohortAvg"/>
    <n v="-3.086166566450755E-2"/>
    <s v="CohortAvg"/>
    <n v="0.3164917324028122"/>
    <s v="CohortAvg"/>
    <n v="8.1177391426138126E-2"/>
    <s v="CohortAvg_NonZero"/>
    <n v="1.0488340418901561E-5"/>
    <s v="CohortAvg"/>
    <n v="0"/>
    <s v="Zero"/>
    <n v="-1.8285012291451561E-2"/>
    <s v="CohortAvg"/>
    <n v="-3.6587542449031951E-4"/>
    <s v="CohortAvg"/>
    <n v="0"/>
    <n v="-20258.689999999999"/>
    <n v="-8981.56"/>
    <n v="7675.62"/>
    <n v="0"/>
    <n v="3.05"/>
    <n v="-5321.42"/>
    <n v="-106.48"/>
    <n v="269458.7"/>
    <n v="0.26869700000000002"/>
    <n v="1.0468999999999999"/>
    <n v="0.28131200000000001"/>
    <s v="CohortTrend+Seasonal(1.047)"/>
    <n v="75801.960000000006"/>
    <n v="77278.460000000006"/>
    <n v="-1476.5"/>
    <x v="0"/>
    <n v="0"/>
    <n v="0.78500000000000003"/>
    <n v="0.24"/>
    <n v="0"/>
    <n v="0"/>
    <n v="0"/>
    <n v="77278.460000000006"/>
    <n v="291026.38"/>
    <n v="0.265538"/>
    <n v="-1476.5"/>
    <n v="-1473.45"/>
    <n v="0"/>
    <n v="-1473.45"/>
    <n v="270932.15000000002"/>
    <s v="Forecast"/>
  </r>
  <r>
    <x v="24"/>
    <x v="0"/>
    <s v="202412"/>
    <n v="34"/>
    <n v="354716.28"/>
    <n v="-6.5999720073016299E-2"/>
    <s v="CohortAvg"/>
    <n v="-3.2056531201785712E-2"/>
    <s v="CohortAvg"/>
    <n v="0.32605381573371339"/>
    <s v="CohortAvg"/>
    <n v="7.7730141870654468E-2"/>
    <s v="CohortAvg_NonZero"/>
    <n v="3.516547106534715E-5"/>
    <s v="CohortAvg"/>
    <n v="0"/>
    <s v="Zero"/>
    <n v="-3.3049103556124247E-2"/>
    <s v="CohortAvg"/>
    <n v="-4.3953313440767209E-4"/>
    <s v="CohortAvg"/>
    <n v="0"/>
    <n v="-23411.18"/>
    <n v="-11370.97"/>
    <n v="9638.0499999999993"/>
    <n v="0"/>
    <n v="12.47"/>
    <n v="-11723.05"/>
    <n v="-155.91"/>
    <n v="329559.71000000002"/>
    <n v="0.28810200000000002"/>
    <n v="1.0468999999999999"/>
    <n v="0.30162800000000001"/>
    <s v="CohortTrend+Seasonal(1.047)"/>
    <n v="99404.54"/>
    <n v="100552.93"/>
    <n v="-1148.3900000000001"/>
    <x v="0"/>
    <n v="0"/>
    <n v="0.78500000000000003"/>
    <n v="0.24"/>
    <n v="0"/>
    <n v="0"/>
    <n v="0"/>
    <n v="100552.93"/>
    <n v="354716.28"/>
    <n v="0.283474"/>
    <n v="-1148.3900000000001"/>
    <n v="-1135.92"/>
    <n v="0"/>
    <n v="-1135.92"/>
    <n v="330695.63"/>
    <s v="Forecast"/>
  </r>
  <r>
    <x v="24"/>
    <x v="0"/>
    <s v="202501"/>
    <n v="33"/>
    <n v="477739.35"/>
    <n v="-6.3584272723700722E-2"/>
    <s v="CohortAvg"/>
    <n v="-3.1447281722571101E-2"/>
    <s v="CohortAvg"/>
    <n v="0.33536595333019731"/>
    <s v="CohortAvg"/>
    <n v="6.8147374299233773E-2"/>
    <s v="CohortAvg_NonZero"/>
    <n v="8.2884209935133759E-5"/>
    <s v="CohortAvg"/>
    <n v="0"/>
    <s v="Zero"/>
    <n v="-4.6046017287532208E-2"/>
    <s v="CohortAvg"/>
    <n v="-9.0672568245183033E-4"/>
    <s v="CohortAvg"/>
    <n v="0"/>
    <n v="-30376.71"/>
    <n v="-15023.6"/>
    <n v="13351.46"/>
    <n v="0"/>
    <n v="39.6"/>
    <n v="-21997.99"/>
    <n v="-433.18"/>
    <n v="445650.9"/>
    <n v="0.29851299999999997"/>
    <n v="1.0468999999999999"/>
    <n v="0.31252799999999997"/>
    <s v="CohortTrend+Seasonal(1.047)"/>
    <n v="139278.29999999999"/>
    <n v="139904.06"/>
    <n v="-625.77"/>
    <x v="0"/>
    <n v="0"/>
    <n v="0.78500000000000003"/>
    <n v="0.24"/>
    <n v="0"/>
    <n v="0"/>
    <n v="0"/>
    <n v="139904.06"/>
    <n v="477739.35"/>
    <n v="0.292846"/>
    <n v="-625.77"/>
    <n v="-586.16999999999996"/>
    <n v="0"/>
    <n v="-586.16999999999996"/>
    <n v="446237.07"/>
    <s v="Forecast"/>
  </r>
  <r>
    <x v="24"/>
    <x v="0"/>
    <s v="202502"/>
    <n v="32"/>
    <n v="834159.29"/>
    <n v="-6.4749325983656639E-2"/>
    <s v="CohortAvg"/>
    <n v="-3.1798136937733243E-2"/>
    <s v="CohortAvg"/>
    <n v="0.35190838246385808"/>
    <s v="CohortAvg"/>
    <n v="4.009215574706846E-2"/>
    <s v="CohortAvg_NonZero"/>
    <n v="1.184482878517041E-4"/>
    <s v="CohortAvg"/>
    <n v="0"/>
    <s v="Zero"/>
    <n v="-0.1007398271074445"/>
    <s v="CohortAvg"/>
    <n v="-2.178222683814725E-3"/>
    <s v="CohortAvg"/>
    <n v="0"/>
    <n v="-54011.25"/>
    <n v="-26524.71"/>
    <n v="24462.3"/>
    <n v="0"/>
    <n v="98.8"/>
    <n v="-84033.06"/>
    <n v="-1816.98"/>
    <n v="777986.82"/>
    <n v="0.29089100000000001"/>
    <n v="1.0468999999999999"/>
    <n v="0.30454799999999999"/>
    <s v="CohortTrend+Seasonal(1.047)"/>
    <n v="236934.12"/>
    <n v="237876.06"/>
    <n v="-941.94"/>
    <x v="0"/>
    <n v="0"/>
    <n v="0.78500000000000003"/>
    <n v="0.24"/>
    <n v="0"/>
    <n v="0"/>
    <n v="0"/>
    <n v="237876.06"/>
    <n v="834159.29"/>
    <n v="0.28516900000000001"/>
    <n v="-941.94"/>
    <n v="-843.14"/>
    <n v="0"/>
    <n v="-843.14"/>
    <n v="778829.96"/>
    <s v="Forecast"/>
  </r>
  <r>
    <x v="24"/>
    <x v="0"/>
    <s v="202503"/>
    <n v="31"/>
    <n v="1623314.71"/>
    <n v="-5.4849332417408247E-2"/>
    <s v="CohortAvg"/>
    <n v="-3.4953030518217923E-2"/>
    <s v="CohortAvg"/>
    <n v="0.42513953996159293"/>
    <s v="CohortAvg"/>
    <n v="2.337347755521255E-2"/>
    <s v="CohortAvg_NonZero"/>
    <n v="7.0717881453845566E-6"/>
    <s v="CohortAvg"/>
    <n v="0"/>
    <s v="Zero"/>
    <n v="0"/>
    <s v="CohortAvg"/>
    <n v="0"/>
    <s v="CohortAvg"/>
    <n v="0"/>
    <n v="-89037.73"/>
    <n v="-56739.77"/>
    <n v="57511.27"/>
    <n v="0"/>
    <n v="11.48"/>
    <n v="0"/>
    <n v="0"/>
    <n v="1535037.01"/>
    <n v="0.29225400000000001"/>
    <n v="1.0468999999999999"/>
    <n v="0.305975"/>
    <s v="CohortTrend+Seasonal(1.047)"/>
    <n v="469682.39"/>
    <n v="464185.73"/>
    <n v="5496.67"/>
    <x v="0"/>
    <n v="0"/>
    <n v="0.78500000000000003"/>
    <n v="0.24"/>
    <n v="0"/>
    <n v="0"/>
    <n v="0"/>
    <n v="464185.73"/>
    <n v="1623314.71"/>
    <n v="0.28594900000000001"/>
    <n v="5496.67"/>
    <n v="5508.15"/>
    <n v="0"/>
    <n v="5508.15"/>
    <n v="1529528.86"/>
    <s v="Forecast"/>
  </r>
  <r>
    <x v="24"/>
    <x v="0"/>
    <s v="202504"/>
    <n v="30"/>
    <n v="2238542.17"/>
    <n v="-5.3666173888717639E-2"/>
    <s v="CohortAvg"/>
    <n v="-3.7426160757399109E-2"/>
    <s v="CohortAvg"/>
    <n v="0.4375704728045921"/>
    <s v="CohortAvg"/>
    <n v="1.013329171740706E-2"/>
    <s v="CohortAvg_NonZero"/>
    <n v="1.631518250180892E-6"/>
    <s v="CohortAvg"/>
    <n v="0"/>
    <s v="Zero"/>
    <n v="0"/>
    <s v="CohortAvg"/>
    <n v="0"/>
    <s v="CohortAvg"/>
    <n v="0"/>
    <n v="-120133.99"/>
    <n v="-83780.039999999994"/>
    <n v="81626.66"/>
    <n v="0"/>
    <n v="3.65"/>
    <n v="0"/>
    <n v="0"/>
    <n v="2116251.15"/>
    <n v="0.296761"/>
    <n v="1.0468999999999999"/>
    <n v="0.310693"/>
    <s v="CohortTrend+Seasonal(1.047)"/>
    <n v="657504.37"/>
    <n v="648402.09"/>
    <n v="9102.2800000000007"/>
    <x v="0"/>
    <n v="0"/>
    <n v="0.78500000000000003"/>
    <n v="0.24"/>
    <n v="0"/>
    <n v="0"/>
    <n v="0"/>
    <n v="648402.09"/>
    <n v="2238542.17"/>
    <n v="0.28965400000000002"/>
    <n v="9102.2800000000007"/>
    <n v="9105.93"/>
    <n v="0"/>
    <n v="9105.93"/>
    <n v="2107145.2200000002"/>
    <s v="Forecast"/>
  </r>
  <r>
    <x v="24"/>
    <x v="0"/>
    <s v="202505"/>
    <n v="29"/>
    <n v="3559841.87"/>
    <n v="-4.6748738920327132E-2"/>
    <s v="CohortAvg"/>
    <n v="-3.6752226443214853E-2"/>
    <s v="CohortAvg"/>
    <n v="0.44309333337731183"/>
    <s v="CohortAvg"/>
    <n v="0"/>
    <s v="CohortAvg_NoData_ERROR"/>
    <n v="9.2885622054093051E-7"/>
    <s v="CohortAvg"/>
    <n v="0"/>
    <s v="Zero"/>
    <n v="0"/>
    <s v="CohortAvg"/>
    <n v="0"/>
    <s v="CohortAvg"/>
    <n v="0"/>
    <n v="-166418.12"/>
    <n v="-130832.11"/>
    <n v="131445.18"/>
    <n v="0"/>
    <n v="3.31"/>
    <n v="0"/>
    <n v="0"/>
    <n v="3394033.52"/>
    <n v="0.30164299999999999"/>
    <n v="1.0468999999999999"/>
    <n v="0.315805"/>
    <s v="CohortTrend+Seasonal(1.047)"/>
    <n v="1071852.5900000001"/>
    <n v="1045274.95"/>
    <n v="26577.64"/>
    <x v="0"/>
    <n v="0"/>
    <n v="0.78500000000000003"/>
    <n v="0.24"/>
    <n v="0"/>
    <n v="0"/>
    <n v="0"/>
    <n v="1045274.95"/>
    <n v="3559841.87"/>
    <n v="0.29363"/>
    <n v="26577.64"/>
    <n v="26580.95"/>
    <n v="0"/>
    <n v="26580.95"/>
    <n v="3367452.57"/>
    <s v="Forecast"/>
  </r>
  <r>
    <x v="24"/>
    <x v="0"/>
    <s v="202506"/>
    <n v="28"/>
    <n v="4144202.51"/>
    <n v="-4.5258931355254661E-2"/>
    <s v="CohortAvg"/>
    <n v="-3.8263201392687331E-2"/>
    <s v="CohortAvg"/>
    <n v="0.46001233907455469"/>
    <s v="CohortAvg"/>
    <n v="0"/>
    <s v="CohortAvg_NoData_ERROR"/>
    <n v="0"/>
    <s v="CohortAvg"/>
    <n v="0"/>
    <s v="Zero"/>
    <n v="0"/>
    <s v="CohortAvg"/>
    <n v="0"/>
    <s v="CohortAvg"/>
    <n v="0"/>
    <n v="-187562.18"/>
    <n v="-158570.46"/>
    <n v="158865.35999999999"/>
    <n v="0"/>
    <n v="0"/>
    <n v="0"/>
    <n v="0"/>
    <n v="3956935.23"/>
    <n v="0.30904599999999999"/>
    <n v="1.0468999999999999"/>
    <n v="0.32355499999999998"/>
    <s v="CohortTrend+Seasonal(1.047)"/>
    <n v="1280287.1299999999"/>
    <n v="1242625.01"/>
    <n v="37662.129999999997"/>
    <x v="0"/>
    <n v="0"/>
    <n v="0.78500000000000003"/>
    <n v="0.24"/>
    <n v="0"/>
    <n v="0"/>
    <n v="0"/>
    <n v="1242625.01"/>
    <n v="4144202.51"/>
    <n v="0.29984699999999997"/>
    <n v="37662.129999999997"/>
    <n v="37662.129999999997"/>
    <n v="0"/>
    <n v="37662.129999999997"/>
    <n v="3919273.11"/>
    <s v="Forecast"/>
  </r>
  <r>
    <x v="24"/>
    <x v="0"/>
    <s v="202507"/>
    <n v="27"/>
    <n v="5220011.22"/>
    <n v="-4.3542502979975743E-2"/>
    <s v="CohortAvg"/>
    <n v="-4.103064106514677E-2"/>
    <s v="CohortAvg"/>
    <n v="0.45954021019826669"/>
    <s v="CohortAvg"/>
    <n v="0"/>
    <s v="CohortAvg_NoData_ERROR"/>
    <n v="1.332288936127796E-5"/>
    <s v="CohortAvg"/>
    <n v="0"/>
    <s v="Zero"/>
    <n v="0"/>
    <s v="CohortAvg"/>
    <n v="0"/>
    <s v="CohortAvg"/>
    <n v="0"/>
    <n v="-227292.35"/>
    <n v="-214180.41"/>
    <n v="199900.42"/>
    <n v="0"/>
    <n v="69.55"/>
    <n v="0"/>
    <n v="0"/>
    <n v="4978369.33"/>
    <n v="0.29871300000000001"/>
    <n v="1.0468999999999999"/>
    <n v="0.31273699999999999"/>
    <s v="CohortTrend+Seasonal(1.047)"/>
    <n v="1556921.16"/>
    <n v="1511059.79"/>
    <n v="45861.37"/>
    <x v="0"/>
    <n v="0"/>
    <n v="0.78500000000000003"/>
    <n v="0.24"/>
    <n v="0"/>
    <n v="0"/>
    <n v="0"/>
    <n v="1511059.79"/>
    <n v="5220011.22"/>
    <n v="0.28947400000000001"/>
    <n v="45861.37"/>
    <n v="45930.92"/>
    <n v="0"/>
    <n v="45930.92"/>
    <n v="4932438.41"/>
    <s v="Forecast"/>
  </r>
  <r>
    <x v="24"/>
    <x v="0"/>
    <s v="202508"/>
    <n v="26"/>
    <n v="4538885"/>
    <n v="-4.9079918643897352E-2"/>
    <s v="CohortAvg"/>
    <n v="-3.2776080609363191E-2"/>
    <s v="CohortAvg"/>
    <n v="0.46128343336000099"/>
    <s v="CohortAvg"/>
    <n v="0"/>
    <s v="CohortAvg_NoData_ERROR"/>
    <n v="1.1436957213960039E-5"/>
    <s v="CohortAvg"/>
    <n v="0"/>
    <s v="Zero"/>
    <n v="0"/>
    <s v="CohortAvg"/>
    <n v="0"/>
    <s v="CohortAvg"/>
    <n v="0"/>
    <n v="-222768.11"/>
    <n v="-148766.85999999999"/>
    <n v="174476.04"/>
    <n v="0"/>
    <n v="51.91"/>
    <n v="0"/>
    <n v="0"/>
    <n v="4341774.16"/>
    <n v="0.28838000000000003"/>
    <n v="1.0468999999999999"/>
    <n v="0.30191899999999999"/>
    <s v="CohortTrend+Seasonal(1.047)"/>
    <n v="1310864.5900000001"/>
    <n v="1266813.1200000001"/>
    <n v="44051.47"/>
    <x v="0"/>
    <n v="0"/>
    <n v="0.78500000000000003"/>
    <n v="0.24"/>
    <n v="0"/>
    <n v="0"/>
    <n v="0"/>
    <n v="1266813.1200000001"/>
    <n v="4538885"/>
    <n v="0.27910200000000002"/>
    <n v="44051.47"/>
    <n v="44103.38"/>
    <n v="0"/>
    <n v="44103.38"/>
    <n v="4297670.79"/>
    <s v="Forecast"/>
  </r>
  <r>
    <x v="24"/>
    <x v="0"/>
    <s v="202509"/>
    <n v="25"/>
    <n v="292.35000000000002"/>
    <n v="-0.41057778037316178"/>
    <s v="CohortAvg"/>
    <n v="-8.5337847552812776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20.03"/>
    <n v="-24.95"/>
    <n v="12.18"/>
    <n v="0"/>
    <n v="0"/>
    <n v="0"/>
    <n v="0"/>
    <n v="159.55000000000001"/>
    <n v="0.27804699999999999"/>
    <n v="1.0468999999999999"/>
    <n v="0.291101"/>
    <s v="CohortTrend+Seasonal(1.047)"/>
    <n v="46.45"/>
    <n v="78.56"/>
    <n v="-32.119999999999997"/>
    <x v="0"/>
    <n v="0"/>
    <n v="0.78500000000000003"/>
    <n v="0.24"/>
    <n v="0"/>
    <n v="0"/>
    <n v="0"/>
    <n v="78.56"/>
    <n v="292.35000000000002"/>
    <n v="0.26873000000000002"/>
    <n v="-32.119999999999997"/>
    <n v="-32.119999999999997"/>
    <n v="0"/>
    <n v="-32.119999999999997"/>
    <n v="191.67"/>
    <s v="Forecast"/>
  </r>
  <r>
    <x v="24"/>
    <x v="1"/>
    <s v="202301"/>
    <n v="47"/>
    <n v="766664.62"/>
    <n v="-8.4132904729612903E-3"/>
    <s v="CohortAvg"/>
    <n v="-4.5455562788526754E-3"/>
    <s v="CohortAvg"/>
    <n v="8.8942975682322956E-2"/>
    <s v="CohortAvg"/>
    <n v="2.3826043021110809E-2"/>
    <s v="CohortAvg_NonZero"/>
    <n v="0"/>
    <s v="CohortAvg"/>
    <n v="0"/>
    <s v="Zero"/>
    <n v="0"/>
    <s v="CohortAvg"/>
    <n v="0"/>
    <s v="CohortAvg"/>
    <n v="0"/>
    <n v="-6450.17"/>
    <n v="-3484.92"/>
    <n v="5682.45"/>
    <n v="0"/>
    <n v="0"/>
    <n v="0"/>
    <n v="0"/>
    <n v="762411.98"/>
    <n v="0.396534"/>
    <n v="1.0333000000000001"/>
    <n v="0.40973900000000002"/>
    <s v="CohortAvg+Seasonal(1.033)"/>
    <n v="312390.3"/>
    <n v="413186.72"/>
    <n v="-100796.42"/>
    <x v="0"/>
    <n v="0"/>
    <n v="0.78500000000000003"/>
    <n v="0.24"/>
    <n v="0"/>
    <n v="0"/>
    <n v="0"/>
    <n v="413186.72"/>
    <n v="766664.62"/>
    <n v="0.538941"/>
    <n v="-100796.42"/>
    <n v="-100796.42"/>
    <n v="0"/>
    <n v="-100796.42"/>
    <n v="863208.4"/>
    <s v="Forecast"/>
  </r>
  <r>
    <x v="24"/>
    <x v="1"/>
    <s v="202404"/>
    <n v="42"/>
    <n v="44332.83"/>
    <n v="-6.35169987773304E-2"/>
    <s v="CohortAvg"/>
    <n v="-1.5228590299852501E-2"/>
    <s v="CohortAvg"/>
    <n v="0.15653215789242661"/>
    <s v="CohortAvg"/>
    <n v="5.0290808809256647E-2"/>
    <s v="CohortAvg_NonZero"/>
    <n v="0"/>
    <s v="CohortAvg"/>
    <n v="0"/>
    <s v="Zero"/>
    <n v="0"/>
    <s v="CohortAvg"/>
    <n v="0"/>
    <s v="CohortAvg"/>
    <n v="0"/>
    <n v="-2815.89"/>
    <n v="-675.13"/>
    <n v="578.29"/>
    <n v="0"/>
    <n v="0"/>
    <n v="0"/>
    <n v="0"/>
    <n v="41420.11"/>
    <n v="0.246064"/>
    <n v="1.0333000000000001"/>
    <n v="0.25425900000000001"/>
    <s v="CohortAvg+Seasonal(1.033)"/>
    <n v="10531.42"/>
    <n v="14779.6"/>
    <n v="-4248.18"/>
    <x v="0"/>
    <n v="0"/>
    <n v="0.78500000000000003"/>
    <n v="0.24"/>
    <n v="0"/>
    <n v="0"/>
    <n v="0"/>
    <n v="14779.6"/>
    <n v="44332.83"/>
    <n v="0.33337800000000001"/>
    <n v="-4248.18"/>
    <n v="-4248.18"/>
    <n v="0"/>
    <n v="-4248.18"/>
    <n v="45668.29"/>
    <s v="Forecast"/>
  </r>
  <r>
    <x v="24"/>
    <x v="1"/>
    <s v="202405"/>
    <n v="41"/>
    <n v="181471.85"/>
    <n v="-1.1657944717179951E-2"/>
    <s v="CohortAvg"/>
    <n v="-1.2724959907876169E-2"/>
    <s v="CohortAvg"/>
    <n v="0.14721010305755541"/>
    <s v="CohortAvg"/>
    <n v="6.9903973618823625E-2"/>
    <s v="CohortAvg_NonZero"/>
    <n v="3.4277635310755151E-9"/>
    <s v="CohortAvg"/>
    <n v="0"/>
    <s v="Zero"/>
    <n v="0"/>
    <s v="CohortAvg"/>
    <n v="0"/>
    <s v="CohortAvg"/>
    <n v="0"/>
    <n v="-2115.59"/>
    <n v="-2309.2199999999998"/>
    <n v="2226.21"/>
    <n v="0"/>
    <n v="0"/>
    <n v="0"/>
    <n v="0"/>
    <n v="179273.24"/>
    <n v="0.467302"/>
    <n v="1.0333000000000001"/>
    <n v="0.48286499999999999"/>
    <s v="CohortAvg+Seasonal(1.033)"/>
    <n v="86564.78"/>
    <n v="114082.34"/>
    <n v="-27517.56"/>
    <x v="0"/>
    <n v="0"/>
    <n v="0.78500000000000003"/>
    <n v="0.24"/>
    <n v="0"/>
    <n v="0"/>
    <n v="0"/>
    <n v="114082.34"/>
    <n v="181471.85"/>
    <n v="0.62865000000000004"/>
    <n v="-27517.56"/>
    <n v="-27517.56"/>
    <n v="0"/>
    <n v="-27517.56"/>
    <n v="206790.8"/>
    <s v="Forecast"/>
  </r>
  <r>
    <x v="24"/>
    <x v="1"/>
    <s v="202406"/>
    <n v="40"/>
    <n v="107458.04"/>
    <n v="-1.545017919461787E-2"/>
    <s v="CohortAvg"/>
    <n v="-1.4878114840413049E-2"/>
    <s v="CohortAvg"/>
    <n v="0.17821014902188911"/>
    <s v="CohortAvg"/>
    <n v="5.620844502272148E-2"/>
    <s v="CohortAvg_NonZero"/>
    <n v="0"/>
    <s v="CohortAvg"/>
    <n v="0"/>
    <s v="Zero"/>
    <n v="0"/>
    <s v="CohortAvg"/>
    <n v="0"/>
    <s v="CohortAvg"/>
    <n v="0"/>
    <n v="-1660.25"/>
    <n v="-1598.77"/>
    <n v="1595.84"/>
    <n v="0"/>
    <n v="0"/>
    <n v="0"/>
    <n v="0"/>
    <n v="105794.86"/>
    <n v="0.32660600000000001"/>
    <n v="1.0333000000000001"/>
    <n v="0.33748299999999998"/>
    <s v="CohortAvg+Seasonal(1.033)"/>
    <n v="35703.93"/>
    <n v="51422.44"/>
    <n v="-15718.52"/>
    <x v="0"/>
    <n v="0"/>
    <n v="0.78500000000000003"/>
    <n v="0.24"/>
    <n v="0"/>
    <n v="0"/>
    <n v="0"/>
    <n v="51422.44"/>
    <n v="107458.04"/>
    <n v="0.47853499999999999"/>
    <n v="-15718.52"/>
    <n v="-15718.52"/>
    <n v="0"/>
    <n v="-15718.52"/>
    <n v="121513.38"/>
    <s v="Forecast"/>
  </r>
  <r>
    <x v="24"/>
    <x v="1"/>
    <s v="202407"/>
    <n v="39"/>
    <n v="80456.41"/>
    <n v="-4.2449030234170869E-2"/>
    <s v="CohortAvg"/>
    <n v="-1.532912169211258E-2"/>
    <s v="CohortAvg"/>
    <n v="0.16901815086399799"/>
    <s v="CohortAvg"/>
    <n v="8.2761551975630079E-2"/>
    <s v="CohortAvg_NonZero"/>
    <n v="0"/>
    <s v="CohortAvg"/>
    <n v="0"/>
    <s v="Zero"/>
    <n v="0"/>
    <s v="CohortAvg"/>
    <n v="0"/>
    <s v="CohortAvg"/>
    <n v="0"/>
    <n v="-3415.3"/>
    <n v="-1233.33"/>
    <n v="1133.22"/>
    <n v="0"/>
    <n v="0"/>
    <n v="0"/>
    <n v="0"/>
    <n v="76941"/>
    <n v="0.314139"/>
    <n v="1.0333000000000001"/>
    <n v="0.32460099999999997"/>
    <s v="CohortTrend+Seasonal(1.033)"/>
    <n v="24975.15"/>
    <n v="33647.47"/>
    <n v="-8672.32"/>
    <x v="0"/>
    <n v="0"/>
    <n v="0.78500000000000003"/>
    <n v="0.24"/>
    <n v="0"/>
    <n v="0"/>
    <n v="0"/>
    <n v="33647.47"/>
    <n v="80456.41"/>
    <n v="0.418207"/>
    <n v="-8672.32"/>
    <n v="-8672.32"/>
    <n v="0"/>
    <n v="-8672.32"/>
    <n v="85613.32"/>
    <s v="Forecast"/>
  </r>
  <r>
    <x v="24"/>
    <x v="1"/>
    <s v="202408"/>
    <n v="38"/>
    <n v="50176.21"/>
    <n v="-6.240385954045382E-2"/>
    <s v="CohortAvg"/>
    <n v="-1.6608896463160851E-2"/>
    <s v="CohortAvg"/>
    <n v="0.18294617341389771"/>
    <s v="CohortAvg"/>
    <n v="0.1104761026857973"/>
    <s v="CohortAvg_NonZero"/>
    <n v="1.0956710792893749E-11"/>
    <s v="CohortAvg"/>
    <n v="0"/>
    <s v="Zero"/>
    <n v="0"/>
    <s v="CohortAvg"/>
    <n v="0"/>
    <s v="CohortAvg"/>
    <n v="0"/>
    <n v="-3131.19"/>
    <n v="-833.37"/>
    <n v="764.96"/>
    <n v="0"/>
    <n v="0"/>
    <n v="0"/>
    <n v="0"/>
    <n v="46976.61"/>
    <n v="0.327262"/>
    <n v="1.0333000000000001"/>
    <n v="0.33816099999999999"/>
    <s v="CohortTrend+Seasonal(1.033)"/>
    <n v="15885.64"/>
    <n v="21839.33"/>
    <n v="-5953.69"/>
    <x v="0"/>
    <n v="0"/>
    <n v="0.78500000000000003"/>
    <n v="0.24"/>
    <n v="0"/>
    <n v="0"/>
    <n v="0"/>
    <n v="21839.33"/>
    <n v="50176.21"/>
    <n v="0.435253"/>
    <n v="-5953.69"/>
    <n v="-5953.69"/>
    <n v="0"/>
    <n v="-5953.69"/>
    <n v="52930.3"/>
    <s v="Forecast"/>
  </r>
  <r>
    <x v="24"/>
    <x v="1"/>
    <s v="202409"/>
    <n v="37"/>
    <n v="182848.91"/>
    <n v="-4.1072083859690092E-2"/>
    <s v="CohortAvg"/>
    <n v="-1.507166985275178E-2"/>
    <s v="CohortAvg"/>
    <n v="0.18230460282034061"/>
    <s v="CohortAvg"/>
    <n v="3.1836973159802551E-2"/>
    <s v="CohortAvg_NonZero"/>
    <n v="0"/>
    <s v="CohortAvg"/>
    <n v="0"/>
    <s v="Zero"/>
    <n v="0"/>
    <s v="CohortAvg"/>
    <n v="0"/>
    <s v="CohortAvg"/>
    <n v="0"/>
    <n v="-7509.99"/>
    <n v="-2755.84"/>
    <n v="2777.85"/>
    <n v="0"/>
    <n v="0"/>
    <n v="0"/>
    <n v="0"/>
    <n v="175360.93"/>
    <n v="0.39764300000000002"/>
    <n v="1.0333000000000001"/>
    <n v="0.41088599999999997"/>
    <s v="CohortTrend+Seasonal(1.033)"/>
    <n v="72053.350000000006"/>
    <n v="96196.65"/>
    <n v="-24143.3"/>
    <x v="0"/>
    <n v="0"/>
    <n v="0.78500000000000003"/>
    <n v="0.24"/>
    <n v="0"/>
    <n v="0"/>
    <n v="0"/>
    <n v="96196.65"/>
    <n v="182848.91"/>
    <n v="0.52609899999999998"/>
    <n v="-24143.3"/>
    <n v="-24143.3"/>
    <n v="0"/>
    <n v="-24143.3"/>
    <n v="199504.24"/>
    <s v="Forecast"/>
  </r>
  <r>
    <x v="24"/>
    <x v="1"/>
    <s v="202410"/>
    <n v="36"/>
    <n v="228820.56"/>
    <n v="-1.2590651165185041E-2"/>
    <s v="CohortAvg"/>
    <n v="-1.828385009455552E-2"/>
    <s v="CohortAvg"/>
    <n v="0.18753307191264229"/>
    <s v="CohortAvg"/>
    <n v="3.5382109961572171E-2"/>
    <s v="CohortAvg_NonZero"/>
    <n v="4.8071173475945892E-9"/>
    <s v="CohortAvg"/>
    <n v="0"/>
    <s v="Zero"/>
    <n v="0"/>
    <s v="CohortAvg"/>
    <n v="0"/>
    <s v="CohortAvg"/>
    <n v="0"/>
    <n v="-2881"/>
    <n v="-4183.72"/>
    <n v="3575.95"/>
    <n v="0"/>
    <n v="0"/>
    <n v="0"/>
    <n v="0"/>
    <n v="225331.79"/>
    <n v="0.40091300000000002"/>
    <n v="1.0333000000000001"/>
    <n v="0.41426499999999999"/>
    <s v="CohortTrend+Seasonal(1.033)"/>
    <n v="93347.01"/>
    <n v="121198.3"/>
    <n v="-27851.29"/>
    <x v="0"/>
    <n v="0"/>
    <n v="0.78500000000000003"/>
    <n v="0.24"/>
    <n v="0"/>
    <n v="0"/>
    <n v="0"/>
    <n v="121198.3"/>
    <n v="228820.56"/>
    <n v="0.52966500000000005"/>
    <n v="-27851.29"/>
    <n v="-27851.29"/>
    <n v="0"/>
    <n v="-27851.29"/>
    <n v="253183.08"/>
    <s v="Forecast"/>
  </r>
  <r>
    <x v="24"/>
    <x v="1"/>
    <s v="202411"/>
    <n v="35"/>
    <n v="158560.4"/>
    <n v="-4.4645822769417247E-2"/>
    <s v="CohortAvg"/>
    <n v="-1.4800927032506701E-2"/>
    <s v="CohortAvg"/>
    <n v="0.17334271365858511"/>
    <s v="CohortAvg"/>
    <n v="3.2241193241498357E-2"/>
    <s v="CohortAvg_NonZero"/>
    <n v="0"/>
    <s v="CohortAvg"/>
    <n v="0"/>
    <s v="Zero"/>
    <n v="0"/>
    <s v="CohortAvg"/>
    <n v="0"/>
    <s v="CohortAvg"/>
    <n v="0"/>
    <n v="-7079.06"/>
    <n v="-2346.84"/>
    <n v="2290.44"/>
    <n v="0"/>
    <n v="0"/>
    <n v="0"/>
    <n v="0"/>
    <n v="151424.94"/>
    <n v="0.29938599999999999"/>
    <n v="1.0333000000000001"/>
    <n v="0.30935699999999999"/>
    <s v="CohortTrend+Seasonal(1.033)"/>
    <n v="46844.35"/>
    <n v="63153.1"/>
    <n v="-16308.74"/>
    <x v="0"/>
    <n v="0"/>
    <n v="0.78500000000000003"/>
    <n v="0.24"/>
    <n v="0"/>
    <n v="0"/>
    <n v="0"/>
    <n v="63153.1"/>
    <n v="158560.4"/>
    <n v="0.39828999999999998"/>
    <n v="-16308.74"/>
    <n v="-16308.74"/>
    <n v="0"/>
    <n v="-16308.74"/>
    <n v="167733.68"/>
    <s v="Forecast"/>
  </r>
  <r>
    <x v="24"/>
    <x v="1"/>
    <s v="202412"/>
    <n v="34"/>
    <n v="7106.63"/>
    <n v="-8.5836500821710651E-3"/>
    <s v="CohortAvg"/>
    <n v="-1.2414462609723001E-2"/>
    <s v="CohortAvg"/>
    <n v="0.1451850052177156"/>
    <s v="CohortAvg"/>
    <n v="0.2"/>
    <s v="CohortAvg_NonZero"/>
    <n v="0"/>
    <s v="CohortAvg"/>
    <n v="0"/>
    <s v="Zero"/>
    <n v="0"/>
    <s v="CohortAvg"/>
    <n v="0"/>
    <s v="CohortAvg"/>
    <n v="0"/>
    <n v="-61"/>
    <n v="-88.22"/>
    <n v="85.98"/>
    <n v="0"/>
    <n v="0"/>
    <n v="0"/>
    <n v="0"/>
    <n v="7043.38"/>
    <n v="0.27467200000000003"/>
    <n v="1.0333000000000001"/>
    <n v="0.28381899999999999"/>
    <s v="CohortTrend+Seasonal(1.033)"/>
    <n v="1999.05"/>
    <n v="2600.0500000000002"/>
    <n v="-601"/>
    <x v="0"/>
    <n v="0"/>
    <n v="0.78500000000000003"/>
    <n v="0.24"/>
    <n v="0"/>
    <n v="0"/>
    <n v="0"/>
    <n v="2600.0500000000002"/>
    <n v="7106.63"/>
    <n v="0.36586200000000002"/>
    <n v="-601"/>
    <n v="-601"/>
    <n v="0"/>
    <n v="-601"/>
    <n v="7644.38"/>
    <s v="Forecast"/>
  </r>
  <r>
    <x v="24"/>
    <x v="1"/>
    <s v="202501"/>
    <n v="33"/>
    <n v="41380.730000000003"/>
    <n v="-1.5294161215596441E-2"/>
    <s v="CohortAvg"/>
    <n v="-1.7525185372959232E-2"/>
    <s v="CohortAvg"/>
    <n v="0.20436553736959481"/>
    <s v="CohortAvg"/>
    <n v="0"/>
    <s v="CohortAvg_NoData_ERROR"/>
    <n v="0"/>
    <s v="CohortAvg"/>
    <n v="0"/>
    <s v="Zero"/>
    <n v="0"/>
    <s v="CohortAvg"/>
    <n v="0"/>
    <s v="CohortAvg"/>
    <n v="0"/>
    <n v="-632.88"/>
    <n v="-725.2"/>
    <n v="704.73"/>
    <n v="0"/>
    <n v="0"/>
    <n v="0"/>
    <n v="0"/>
    <n v="40727.37000000000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41380.730000000003"/>
    <n v="0"/>
    <n v="0"/>
    <n v="0"/>
    <n v="0"/>
    <n v="0"/>
    <n v="40727.370000000003"/>
    <s v="Forecast"/>
  </r>
  <r>
    <x v="24"/>
    <x v="1"/>
    <s v="202502"/>
    <n v="32"/>
    <n v="86476.06"/>
    <n v="-1.3862416463238761E-2"/>
    <s v="CohortAvg"/>
    <n v="-1.894714975997662E-2"/>
    <s v="CohortAvg"/>
    <n v="0.19407948756345539"/>
    <s v="CohortAvg"/>
    <n v="0"/>
    <s v="CohortAvg_NoData_ERROR"/>
    <n v="0"/>
    <s v="CohortAvg"/>
    <n v="0"/>
    <s v="Zero"/>
    <n v="0"/>
    <s v="CohortAvg"/>
    <n v="0"/>
    <s v="CohortAvg"/>
    <n v="0"/>
    <n v="-1198.77"/>
    <n v="-1638.47"/>
    <n v="1398.6"/>
    <n v="0"/>
    <n v="0"/>
    <n v="0"/>
    <n v="0"/>
    <n v="85037.42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86476.06"/>
    <n v="0"/>
    <n v="0"/>
    <n v="0"/>
    <n v="0"/>
    <n v="0"/>
    <n v="85037.42"/>
    <s v="Forecast"/>
  </r>
  <r>
    <x v="24"/>
    <x v="1"/>
    <s v="202503"/>
    <n v="31"/>
    <n v="71209.960000000006"/>
    <n v="-9.8304542531524163E-3"/>
    <s v="CohortAvg"/>
    <n v="-1.375807050410432E-2"/>
    <s v="CohortAvg"/>
    <n v="0.20837140120526981"/>
    <s v="CohortAvg"/>
    <n v="0"/>
    <s v="CohortAvg_NoData_ERROR"/>
    <n v="0"/>
    <s v="CohortAvg"/>
    <n v="0"/>
    <s v="Zero"/>
    <n v="0"/>
    <s v="CohortAvg"/>
    <n v="0"/>
    <s v="CohortAvg"/>
    <n v="0"/>
    <n v="-700.03"/>
    <n v="-979.71"/>
    <n v="1236.51"/>
    <n v="0"/>
    <n v="0"/>
    <n v="0"/>
    <n v="0"/>
    <n v="70766.73"/>
    <n v="0.35533900000000002"/>
    <n v="1.0333000000000001"/>
    <n v="0.36717300000000003"/>
    <s v="CohortTrend+Seasonal(1.033)"/>
    <n v="25983.62"/>
    <n v="33257.21"/>
    <n v="-7273.59"/>
    <x v="0"/>
    <n v="0"/>
    <n v="0.78500000000000003"/>
    <n v="0.24"/>
    <n v="0"/>
    <n v="0"/>
    <n v="0"/>
    <n v="33257.21"/>
    <n v="71209.960000000006"/>
    <n v="0.46703"/>
    <n v="-7273.59"/>
    <n v="-7273.59"/>
    <n v="0"/>
    <n v="-7273.59"/>
    <n v="78040.320000000007"/>
    <s v="Forecast"/>
  </r>
  <r>
    <x v="24"/>
    <x v="1"/>
    <s v="202504"/>
    <n v="30"/>
    <n v="38105.949999999997"/>
    <n v="-2.0713207756499229E-2"/>
    <s v="CohortAvg"/>
    <n v="-1.674735855543634E-2"/>
    <s v="CohortAvg"/>
    <n v="0.2022209181265047"/>
    <s v="CohortAvg"/>
    <n v="0"/>
    <s v="CohortAvg_NoData_ERROR"/>
    <n v="0"/>
    <s v="CohortAvg"/>
    <n v="0"/>
    <s v="Zero"/>
    <n v="0"/>
    <s v="CohortAvg"/>
    <n v="0"/>
    <s v="CohortAvg"/>
    <n v="0"/>
    <n v="-789.3"/>
    <n v="-638.16999999999996"/>
    <n v="642.15"/>
    <n v="0"/>
    <n v="0"/>
    <n v="0"/>
    <n v="0"/>
    <n v="37320.629999999997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38105.949999999997"/>
    <n v="0"/>
    <n v="0"/>
    <n v="0"/>
    <n v="0"/>
    <n v="0"/>
    <n v="37320.629999999997"/>
    <s v="Forecast"/>
  </r>
  <r>
    <x v="24"/>
    <x v="1"/>
    <s v="202505"/>
    <n v="29"/>
    <n v="13187.53"/>
    <n v="-1.0250211258362099E-2"/>
    <s v="CohortAvg"/>
    <n v="-1.6738136595602408E-2"/>
    <s v="CohortAvg"/>
    <n v="0.2023574937651593"/>
    <s v="CohortAvg"/>
    <n v="0"/>
    <s v="CohortAvg_NoData_ERROR"/>
    <n v="0"/>
    <s v="CohortAvg"/>
    <n v="0"/>
    <s v="Zero"/>
    <n v="0"/>
    <s v="CohortAvg"/>
    <n v="0"/>
    <s v="CohortAvg"/>
    <n v="0"/>
    <n v="-135.16999999999999"/>
    <n v="-220.73"/>
    <n v="222.38"/>
    <n v="0"/>
    <n v="0"/>
    <n v="0"/>
    <n v="0"/>
    <n v="13054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3187.53"/>
    <n v="0"/>
    <n v="0"/>
    <n v="0"/>
    <n v="0"/>
    <n v="0"/>
    <n v="13054"/>
    <s v="Forecast"/>
  </r>
  <r>
    <x v="24"/>
    <x v="1"/>
    <s v="202506"/>
    <n v="28"/>
    <n v="21858.65"/>
    <n v="-1.432293835079783E-2"/>
    <s v="CohortAvg"/>
    <n v="-1.693305223668912E-2"/>
    <s v="CohortAvg"/>
    <n v="0.19673066297282821"/>
    <s v="CohortAvg"/>
    <n v="0"/>
    <s v="CohortAvg_NoData_ERROR"/>
    <n v="0"/>
    <s v="CohortAvg"/>
    <n v="0"/>
    <s v="Zero"/>
    <n v="0"/>
    <s v="CohortAvg"/>
    <n v="0"/>
    <s v="CohortAvg"/>
    <n v="0"/>
    <n v="-313.08"/>
    <n v="-370.13"/>
    <n v="358.36"/>
    <n v="0"/>
    <n v="0"/>
    <n v="0"/>
    <n v="0"/>
    <n v="21533.79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21858.65"/>
    <n v="0"/>
    <n v="0"/>
    <n v="0"/>
    <n v="0"/>
    <n v="0"/>
    <n v="21533.79"/>
    <s v="Forecast"/>
  </r>
  <r>
    <x v="24"/>
    <x v="1"/>
    <s v="202507"/>
    <n v="27"/>
    <n v="88014.12"/>
    <n v="-1.1462496805158619E-2"/>
    <s v="CohortAvg"/>
    <n v="-1.8500579549023149E-2"/>
    <s v="CohortAvg"/>
    <n v="0.20494634036158599"/>
    <s v="CohortAvg"/>
    <n v="0"/>
    <s v="CohortAvg_NoData_ERROR"/>
    <n v="0"/>
    <s v="CohortAvg"/>
    <n v="0"/>
    <s v="Zero"/>
    <n v="0"/>
    <s v="CohortAvg"/>
    <n v="0"/>
    <s v="CohortAvg"/>
    <n v="0"/>
    <n v="-1008.86"/>
    <n v="-1628.31"/>
    <n v="1503.18"/>
    <n v="0"/>
    <n v="0"/>
    <n v="0"/>
    <n v="0"/>
    <n v="86880.1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88014.12"/>
    <n v="0"/>
    <n v="0"/>
    <n v="0"/>
    <n v="0"/>
    <n v="0"/>
    <n v="86880.13"/>
    <s v="Forecast"/>
  </r>
  <r>
    <x v="24"/>
    <x v="1"/>
    <s v="202508"/>
    <n v="26"/>
    <n v="35355.199999999997"/>
    <n v="-1.505273401840241E-2"/>
    <s v="CohortAvg"/>
    <n v="-1.512940935496484E-2"/>
    <s v="CohortAvg"/>
    <n v="0.18624536628689631"/>
    <s v="CohortAvg"/>
    <n v="0"/>
    <s v="CohortAvg_NoData_ERROR"/>
    <n v="0"/>
    <s v="CohortAvg"/>
    <n v="0"/>
    <s v="Zero"/>
    <n v="0"/>
    <s v="CohortAvg"/>
    <n v="0"/>
    <s v="CohortAvg"/>
    <n v="0"/>
    <n v="-532.19000000000005"/>
    <n v="-534.9"/>
    <n v="548.73"/>
    <n v="0"/>
    <n v="0"/>
    <n v="0"/>
    <n v="0"/>
    <n v="34836.83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35355.199999999997"/>
    <n v="0"/>
    <n v="0"/>
    <n v="0"/>
    <n v="0"/>
    <n v="0"/>
    <n v="34836.83"/>
    <s v="Forecast"/>
  </r>
  <r>
    <x v="24"/>
    <x v="1"/>
    <s v="202509"/>
    <n v="25"/>
    <n v="15353.37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15353.37"/>
    <n v="0"/>
    <n v="1.0333000000000001"/>
    <n v="0"/>
    <s v="Manual+Seasonal(1.033)"/>
    <n v="0"/>
    <n v="0"/>
    <n v="0"/>
    <x v="0"/>
    <n v="0"/>
    <n v="0.78500000000000003"/>
    <n v="0.24"/>
    <n v="0"/>
    <n v="0"/>
    <n v="0"/>
    <n v="0"/>
    <n v="15353.37"/>
    <n v="0"/>
    <n v="0"/>
    <n v="0"/>
    <n v="0"/>
    <n v="0"/>
    <n v="15353.37"/>
    <s v="Forecast"/>
  </r>
  <r>
    <x v="24"/>
    <x v="2"/>
    <s v="202101"/>
    <n v="81"/>
    <n v="18298.48"/>
    <n v="-0.19327195311551931"/>
    <s v="CohortAvg"/>
    <n v="-1.430622009179708E-2"/>
    <s v="CohortAvg"/>
    <n v="0.15663568854617771"/>
    <s v="CohortAvg"/>
    <n v="1.7899160766896259E-2"/>
    <s v="CohortAvg_NonZero"/>
    <n v="0"/>
    <s v="CohortAvg"/>
    <n v="0"/>
    <s v="Zero"/>
    <n v="0"/>
    <s v="CohortAvg"/>
    <n v="0"/>
    <s v="CohortAvg"/>
    <n v="0"/>
    <n v="-3536.58"/>
    <n v="-261.77999999999997"/>
    <n v="238.85"/>
    <n v="0"/>
    <n v="0"/>
    <n v="0"/>
    <n v="0"/>
    <n v="14738.97"/>
    <n v="0.26070199999999999"/>
    <n v="1.0760000000000001"/>
    <n v="0.28051900000000002"/>
    <s v="CohortAvg+Seasonal(1.076)"/>
    <n v="4134.5600000000004"/>
    <n v="4819.68"/>
    <n v="-685.11"/>
    <x v="0"/>
    <n v="0"/>
    <n v="0.78500000000000003"/>
    <n v="0.24"/>
    <n v="0"/>
    <n v="0"/>
    <n v="0"/>
    <n v="4819.68"/>
    <n v="18298.48"/>
    <n v="0.26339200000000002"/>
    <n v="-685.11"/>
    <n v="-685.11"/>
    <n v="0"/>
    <n v="-685.11"/>
    <n v="15424.08"/>
    <s v="Forecast"/>
  </r>
  <r>
    <x v="24"/>
    <x v="2"/>
    <s v="202201"/>
    <n v="61"/>
    <n v="27248.81"/>
    <n v="-6.4337950919301432E-2"/>
    <s v="CohortAvg"/>
    <n v="-1.346886835730194E-2"/>
    <s v="CohortAvg"/>
    <n v="0.14987430983718139"/>
    <s v="CohortAvg"/>
    <n v="3.4439590134917521E-2"/>
    <s v="CohortAvg_NonZero"/>
    <n v="4.0284986583744832E-7"/>
    <s v="CohortAvg"/>
    <n v="0"/>
    <s v="Zero"/>
    <n v="-1.4406407690218069E-7"/>
    <s v="CohortAvg"/>
    <n v="-6.50423487892592E-10"/>
    <s v="CohortAvg"/>
    <n v="0"/>
    <n v="-1753.13"/>
    <n v="-367.01"/>
    <n v="340.32"/>
    <n v="0"/>
    <n v="0.01"/>
    <n v="0"/>
    <n v="0"/>
    <n v="25468.98"/>
    <n v="0.18626899999999999"/>
    <n v="1.0760000000000001"/>
    <n v="0.200428"/>
    <s v="CohortAvg+Seasonal(1.076)"/>
    <n v="5104.7"/>
    <n v="5128.42"/>
    <n v="-23.73"/>
    <x v="0"/>
    <n v="0"/>
    <n v="0.78500000000000003"/>
    <n v="0.24"/>
    <n v="0"/>
    <n v="0"/>
    <n v="0"/>
    <n v="5128.42"/>
    <n v="27248.81"/>
    <n v="0.18820700000000001"/>
    <n v="-23.73"/>
    <n v="-23.71"/>
    <n v="0"/>
    <n v="-23.71"/>
    <n v="25492.69"/>
    <s v="Forecast"/>
  </r>
  <r>
    <x v="24"/>
    <x v="2"/>
    <s v="202301"/>
    <n v="52"/>
    <n v="3959477.96"/>
    <n v="-3.5818301005784169E-2"/>
    <s v="CohortAvg"/>
    <n v="-1.5327749968484241E-2"/>
    <s v="CohortAvg"/>
    <n v="0.1743604957281554"/>
    <s v="CohortAvg"/>
    <n v="1.857113593187211E-2"/>
    <s v="CohortAvg_NonZero"/>
    <n v="1.0082607095497919E-9"/>
    <s v="CohortAvg"/>
    <n v="0"/>
    <s v="Zero"/>
    <n v="-2.9317548636566228E-6"/>
    <s v="CohortAvg"/>
    <n v="-7.2789164043939106E-9"/>
    <s v="CohortAvg"/>
    <n v="0"/>
    <n v="-141821.76999999999"/>
    <n v="-60689.89"/>
    <n v="57531.38"/>
    <n v="0"/>
    <n v="0"/>
    <n v="-11.61"/>
    <n v="-0.03"/>
    <n v="3814497.67"/>
    <n v="0.219084"/>
    <n v="1.0760000000000001"/>
    <n v="0.235738"/>
    <s v="CohortAvg+Seasonal(1.076)"/>
    <n v="899221.61"/>
    <n v="876909.84"/>
    <n v="22311.77"/>
    <x v="0"/>
    <n v="0"/>
    <n v="0.78500000000000003"/>
    <n v="0.24"/>
    <n v="0"/>
    <n v="0"/>
    <n v="0"/>
    <n v="876909.84"/>
    <n v="3959477.96"/>
    <n v="0.221471"/>
    <n v="22311.77"/>
    <n v="22311.77"/>
    <n v="0"/>
    <n v="22311.77"/>
    <n v="3792185.9"/>
    <s v="Forecast"/>
  </r>
  <r>
    <x v="24"/>
    <x v="2"/>
    <s v="202404"/>
    <n v="42"/>
    <n v="866141.08"/>
    <n v="-4.2831184824163059E-2"/>
    <s v="CohortAvg"/>
    <n v="-1.6119094987989691E-2"/>
    <s v="CohortAvg"/>
    <n v="0.1758848235694469"/>
    <s v="CohortAvg"/>
    <n v="2.1293982407885249E-2"/>
    <s v="CohortAvg_NonZero"/>
    <n v="3.8194526070413889E-8"/>
    <s v="CohortAvg"/>
    <n v="0"/>
    <s v="Zero"/>
    <n v="-2.3933597422051279E-3"/>
    <s v="CohortAvg"/>
    <n v="-1.077668247042792E-5"/>
    <s v="CohortAvg"/>
    <n v="0"/>
    <n v="-37097.85"/>
    <n v="-13961.41"/>
    <n v="12695.09"/>
    <n v="0"/>
    <n v="0.03"/>
    <n v="-2072.9899999999998"/>
    <n v="-9.33"/>
    <n v="827776.87"/>
    <n v="0.21588199999999999"/>
    <n v="1.0760000000000001"/>
    <n v="0.232292"/>
    <s v="CohortAvg+Seasonal(1.076)"/>
    <n v="192286.15"/>
    <n v="187437.48"/>
    <n v="4848.66"/>
    <x v="0"/>
    <n v="0"/>
    <n v="0.78500000000000003"/>
    <n v="0.24"/>
    <n v="0"/>
    <n v="0"/>
    <n v="0"/>
    <n v="187437.48"/>
    <n v="866141.08"/>
    <n v="0.21640499999999999"/>
    <n v="4848.66"/>
    <n v="4848.7"/>
    <n v="0"/>
    <n v="4848.7"/>
    <n v="822928.18"/>
    <s v="Forecast"/>
  </r>
  <r>
    <x v="24"/>
    <x v="2"/>
    <s v="202405"/>
    <n v="41"/>
    <n v="1265607.5900000001"/>
    <n v="-1.9047099966157971E-2"/>
    <s v="CohortAvg"/>
    <n v="-1.51158791286041E-2"/>
    <s v="CohortAvg"/>
    <n v="0.17320325182566179"/>
    <s v="CohortAvg"/>
    <n v="3.1726406692824151E-2"/>
    <s v="CohortAvg_NonZero"/>
    <n v="4.833819513799252E-9"/>
    <s v="CohortAvg"/>
    <n v="0"/>
    <s v="Zero"/>
    <n v="-5.6515252969888711E-3"/>
    <s v="CohortAvg"/>
    <n v="-3.3955356736950868E-5"/>
    <s v="CohortAvg"/>
    <n v="0"/>
    <n v="-24106.15"/>
    <n v="-19130.77"/>
    <n v="18267.28"/>
    <n v="0"/>
    <n v="0.01"/>
    <n v="-7152.61"/>
    <n v="-42.97"/>
    <n v="1240637.93"/>
    <n v="0.186367"/>
    <n v="1.0760000000000001"/>
    <n v="0.20053399999999999"/>
    <s v="CohortAvg+Seasonal(1.076)"/>
    <n v="248789.61"/>
    <n v="235907.66"/>
    <n v="12881.96"/>
    <x v="0"/>
    <n v="0"/>
    <n v="0.78500000000000003"/>
    <n v="0.24"/>
    <n v="0"/>
    <n v="0"/>
    <n v="0"/>
    <n v="235907.66"/>
    <n v="1265607.5900000001"/>
    <n v="0.18639900000000001"/>
    <n v="12881.96"/>
    <n v="12881.96"/>
    <n v="0"/>
    <n v="12881.96"/>
    <n v="1227755.97"/>
    <s v="Forecast"/>
  </r>
  <r>
    <x v="24"/>
    <x v="2"/>
    <s v="202406"/>
    <n v="40"/>
    <n v="763900.23"/>
    <n v="-2.7593702436219641E-2"/>
    <s v="CohortAvg"/>
    <n v="-1.5149089648624639E-2"/>
    <s v="CohortAvg"/>
    <n v="0.17182185996883451"/>
    <s v="CohortAvg"/>
    <n v="6.2933069892960589E-2"/>
    <s v="CohortAvg_NonZero"/>
    <n v="4.1950075638560094E-9"/>
    <s v="CohortAvg"/>
    <n v="0"/>
    <s v="Zero"/>
    <n v="-3.4595033815668251E-3"/>
    <s v="CohortAvg"/>
    <n v="-5.4398865669972347E-5"/>
    <s v="CohortAvg"/>
    <n v="0"/>
    <n v="-21078.84"/>
    <n v="-11572.39"/>
    <n v="10937.9"/>
    <n v="0"/>
    <n v="0"/>
    <n v="-2642.72"/>
    <n v="-41.56"/>
    <n v="742186.9"/>
    <n v="0.192471"/>
    <n v="1.0760000000000001"/>
    <n v="0.20710100000000001"/>
    <s v="CohortAvg+Seasonal(1.076)"/>
    <n v="153708.01"/>
    <n v="156906.76999999999"/>
    <n v="-3198.76"/>
    <x v="0"/>
    <n v="0"/>
    <n v="0.78500000000000003"/>
    <n v="0.24"/>
    <n v="0"/>
    <n v="0"/>
    <n v="0"/>
    <n v="156906.76999999999"/>
    <n v="763900.23"/>
    <n v="0.205402"/>
    <n v="-3198.76"/>
    <n v="-3198.76"/>
    <n v="0"/>
    <n v="-3198.76"/>
    <n v="745385.66"/>
    <s v="Forecast"/>
  </r>
  <r>
    <x v="24"/>
    <x v="2"/>
    <s v="202407"/>
    <n v="39"/>
    <n v="1690901.52"/>
    <n v="-2.727603844674624E-2"/>
    <s v="CohortAvg"/>
    <n v="-1.5655547555628559E-2"/>
    <s v="CohortAvg"/>
    <n v="0.17581806850169959"/>
    <s v="CohortAvg"/>
    <n v="3.1815087116044388E-2"/>
    <s v="CohortAvg_NonZero"/>
    <n v="6.5645783340322781E-6"/>
    <s v="CohortAvg"/>
    <n v="0"/>
    <s v="Zero"/>
    <n v="-4.882289745364002E-3"/>
    <s v="CohortAvg"/>
    <n v="-4.0827914249723E-5"/>
    <s v="CohortAvg"/>
    <n v="0"/>
    <n v="-46121.09"/>
    <n v="-26471.99"/>
    <n v="24774.25"/>
    <n v="0"/>
    <n v="11.1"/>
    <n v="-8255.4699999999993"/>
    <n v="-69.040000000000006"/>
    <n v="1643071.59"/>
    <n v="0.18276100000000001"/>
    <n v="1.0760000000000001"/>
    <n v="0.196654"/>
    <s v="CohortTrend+Seasonal(1.076)"/>
    <n v="323116.11"/>
    <n v="305137.31"/>
    <n v="17978.8"/>
    <x v="0"/>
    <n v="0"/>
    <n v="0.78500000000000003"/>
    <n v="0.24"/>
    <n v="0"/>
    <n v="0"/>
    <n v="0"/>
    <n v="305137.31"/>
    <n v="1690901.52"/>
    <n v="0.18045800000000001"/>
    <n v="17978.8"/>
    <n v="17989.900000000001"/>
    <n v="0"/>
    <n v="17989.900000000001"/>
    <n v="1625081.69"/>
    <s v="Forecast"/>
  </r>
  <r>
    <x v="24"/>
    <x v="2"/>
    <s v="202408"/>
    <n v="38"/>
    <n v="1353999.89"/>
    <n v="-2.3924312521021771E-2"/>
    <s v="CohortAvg"/>
    <n v="-1.6488807939409371E-2"/>
    <s v="CohortAvg"/>
    <n v="0.18796649780857999"/>
    <s v="CohortAvg"/>
    <n v="2.1737504536266251E-2"/>
    <s v="CohortAvg_NonZero"/>
    <n v="1.693236549873863E-9"/>
    <s v="CohortAvg"/>
    <n v="0"/>
    <s v="Zero"/>
    <n v="-2.0707217122798642E-3"/>
    <s v="CohortAvg"/>
    <n v="-2.254581287260458E-5"/>
    <s v="CohortAvg"/>
    <n v="0"/>
    <n v="-32393.52"/>
    <n v="-22325.84"/>
    <n v="21208.880000000001"/>
    <n v="0"/>
    <n v="0"/>
    <n v="-2803.76"/>
    <n v="-30.53"/>
    <n v="1320489.42"/>
    <n v="0.19168099999999999"/>
    <n v="1.0760000000000001"/>
    <n v="0.20625199999999999"/>
    <s v="CohortTrend+Seasonal(1.076)"/>
    <n v="272353.13"/>
    <n v="255468.77"/>
    <n v="16884.37"/>
    <x v="0"/>
    <n v="0"/>
    <n v="0.78500000000000003"/>
    <n v="0.24"/>
    <n v="0"/>
    <n v="0"/>
    <n v="0"/>
    <n v="255468.77"/>
    <n v="1353999.89"/>
    <n v="0.18867700000000001"/>
    <n v="16884.37"/>
    <n v="16884.37"/>
    <n v="0"/>
    <n v="16884.37"/>
    <n v="1303605.05"/>
    <s v="Forecast"/>
  </r>
  <r>
    <x v="24"/>
    <x v="2"/>
    <s v="202409"/>
    <n v="37"/>
    <n v="1007694.3"/>
    <n v="-3.2625036620287678E-2"/>
    <s v="CohortAvg"/>
    <n v="-1.6767226992481829E-2"/>
    <s v="CohortAvg"/>
    <n v="0.18510728789669359"/>
    <s v="CohortAvg"/>
    <n v="3.5253763018344868E-2"/>
    <s v="CohortAvg_NonZero"/>
    <n v="7.2864061714471587E-6"/>
    <s v="CohortAvg"/>
    <n v="0"/>
    <s v="Zero"/>
    <n v="-1.159102492325627E-2"/>
    <s v="CohortAvg"/>
    <n v="-9.3488709028864561E-5"/>
    <s v="CohortAvg"/>
    <n v="0"/>
    <n v="-32876.06"/>
    <n v="-16896.240000000002"/>
    <n v="15544.3"/>
    <n v="0"/>
    <n v="7.34"/>
    <n v="-11680.21"/>
    <n v="-94.21"/>
    <n v="973458.95"/>
    <n v="0.168076"/>
    <n v="1.0760000000000001"/>
    <n v="0.18085200000000001"/>
    <s v="CohortTrend+Seasonal(1.076)"/>
    <n v="176052.33"/>
    <n v="166715.94"/>
    <n v="9336.39"/>
    <x v="0"/>
    <n v="0"/>
    <n v="0.78500000000000003"/>
    <n v="0.24"/>
    <n v="0"/>
    <n v="0"/>
    <n v="0"/>
    <n v="166715.94"/>
    <n v="1007694.3"/>
    <n v="0.16544300000000001"/>
    <n v="9336.39"/>
    <n v="9343.74"/>
    <n v="0"/>
    <n v="9343.74"/>
    <n v="964115.22"/>
    <s v="Forecast"/>
  </r>
  <r>
    <x v="24"/>
    <x v="2"/>
    <s v="202410"/>
    <n v="36"/>
    <n v="864765.4"/>
    <n v="-4.0716457377821917E-2"/>
    <s v="CohortAvg"/>
    <n v="-1.6725126678804329E-2"/>
    <s v="CohortAvg"/>
    <n v="0.18193192913891171"/>
    <s v="CohortAvg"/>
    <n v="2.9566247923813169E-2"/>
    <s v="CohortAvg_NonZero"/>
    <n v="7.7791266828376653E-9"/>
    <s v="CohortAvg"/>
    <n v="0"/>
    <s v="Zero"/>
    <n v="-7.162669685535015E-3"/>
    <s v="CohortAvg"/>
    <n v="-1.104231050854185E-4"/>
    <s v="CohortAvg"/>
    <n v="0"/>
    <n v="-35210.18"/>
    <n v="-14463.31"/>
    <n v="13110.7"/>
    <n v="0"/>
    <n v="0.01"/>
    <n v="-6194.03"/>
    <n v="-95.49"/>
    <n v="828202.6"/>
    <n v="0.149454"/>
    <n v="1.0760000000000001"/>
    <n v="0.16081500000000001"/>
    <s v="CohortTrend+Seasonal(1.076)"/>
    <n v="133187.07"/>
    <n v="127494.65"/>
    <n v="5692.42"/>
    <x v="0"/>
    <n v="0"/>
    <n v="0.78500000000000003"/>
    <n v="0.24"/>
    <n v="0"/>
    <n v="0"/>
    <n v="0"/>
    <n v="127494.65"/>
    <n v="864765.4"/>
    <n v="0.14743300000000001"/>
    <n v="5692.42"/>
    <n v="5692.43"/>
    <n v="0"/>
    <n v="5692.43"/>
    <n v="822510.17"/>
    <s v="Forecast"/>
  </r>
  <r>
    <x v="24"/>
    <x v="2"/>
    <s v="202411"/>
    <n v="35"/>
    <n v="1086136.92"/>
    <n v="-3.7068447527103317E-2"/>
    <s v="CohortAvg"/>
    <n v="-1.7569137777624901E-2"/>
    <s v="CohortAvg"/>
    <n v="0.19001813360109579"/>
    <s v="CohortAvg"/>
    <n v="2.1741737806099351E-2"/>
    <s v="CohortAvg_NonZero"/>
    <n v="1.694792887920408E-6"/>
    <s v="CohortAvg"/>
    <n v="0"/>
    <s v="Zero"/>
    <n v="-1.0813492422499181E-2"/>
    <s v="CohortAvg"/>
    <n v="-9.4633235506348364E-5"/>
    <s v="CohortAvg"/>
    <n v="0"/>
    <n v="-40261.410000000003"/>
    <n v="-19082.490000000002"/>
    <n v="17198.810000000001"/>
    <n v="0"/>
    <n v="1.84"/>
    <n v="-11744.93"/>
    <n v="-102.78"/>
    <n v="1043989.99"/>
    <n v="0.15981699999999999"/>
    <n v="1.0760000000000001"/>
    <n v="0.17196600000000001"/>
    <s v="CohortTrend+Seasonal(1.076)"/>
    <n v="179530.95"/>
    <n v="170384.02"/>
    <n v="9146.94"/>
    <x v="0"/>
    <n v="0"/>
    <n v="0.78500000000000003"/>
    <n v="0.24"/>
    <n v="0"/>
    <n v="0"/>
    <n v="0"/>
    <n v="170384.02"/>
    <n v="1086136.92"/>
    <n v="0.15687200000000001"/>
    <n v="9146.94"/>
    <n v="9148.7800000000007"/>
    <n v="0"/>
    <n v="9148.7800000000007"/>
    <n v="1034841.21"/>
    <s v="Forecast"/>
  </r>
  <r>
    <x v="24"/>
    <x v="2"/>
    <s v="202412"/>
    <n v="34"/>
    <n v="1268330.24"/>
    <n v="-1.9963482028948671E-2"/>
    <s v="CohortAvg"/>
    <n v="-1.665678069684259E-2"/>
    <s v="CohortAvg"/>
    <n v="0.18940699200962949"/>
    <s v="CohortAvg"/>
    <n v="2.8242886672797861E-2"/>
    <s v="CohortAvg_NonZero"/>
    <n v="4.9147738383926232E-9"/>
    <s v="CohortAvg"/>
    <n v="0"/>
    <s v="Zero"/>
    <n v="-1.014182052220837E-2"/>
    <s v="CohortAvg"/>
    <n v="-6.8513598893372367E-5"/>
    <s v="CohortAvg"/>
    <n v="0"/>
    <n v="-25320.29"/>
    <n v="-21126.3"/>
    <n v="20019.22"/>
    <n v="0"/>
    <n v="0.01"/>
    <n v="-12863.18"/>
    <n v="-86.9"/>
    <n v="1241902.8600000001"/>
    <n v="0.12034599999999999"/>
    <n v="1.0760000000000001"/>
    <n v="0.129495"/>
    <s v="CohortTrend+Seasonal(1.076)"/>
    <n v="160819.76"/>
    <n v="150776.76"/>
    <n v="10043"/>
    <x v="0"/>
    <n v="0"/>
    <n v="0.78500000000000003"/>
    <n v="0.24"/>
    <n v="0"/>
    <n v="0"/>
    <n v="0"/>
    <n v="150776.76"/>
    <n v="1268330.24"/>
    <n v="0.118878"/>
    <n v="10043"/>
    <n v="10043.01"/>
    <n v="0"/>
    <n v="10043.01"/>
    <n v="1231859.8500000001"/>
    <s v="Forecast"/>
  </r>
  <r>
    <x v="24"/>
    <x v="2"/>
    <s v="202501"/>
    <n v="33"/>
    <n v="2024435.97"/>
    <n v="-3.0464190690287479E-2"/>
    <s v="CohortAvg"/>
    <n v="-1.7547077646966329E-2"/>
    <s v="CohortAvg"/>
    <n v="0.1907193436811741"/>
    <s v="CohortAvg"/>
    <n v="1.5595528706816259E-2"/>
    <s v="CohortAvg_NonZero"/>
    <n v="2.0680416673712049E-7"/>
    <s v="CohortAvg"/>
    <n v="0"/>
    <s v="Zero"/>
    <n v="-1.8922666185971292E-2"/>
    <s v="CohortAvg"/>
    <n v="-1.5432967853147049E-4"/>
    <s v="CohortAvg"/>
    <n v="0"/>
    <n v="-61672.800000000003"/>
    <n v="-35522.94"/>
    <n v="32174.93"/>
    <n v="0"/>
    <n v="0.42"/>
    <n v="-38307.730000000003"/>
    <n v="-312.43"/>
    <n v="1959414.74"/>
    <n v="0.136241"/>
    <n v="1.0760000000000001"/>
    <n v="0.14659800000000001"/>
    <s v="CohortTrend+Seasonal(1.076)"/>
    <n v="287246.12"/>
    <n v="270817.44"/>
    <n v="16428.669999999998"/>
    <x v="0"/>
    <n v="0"/>
    <n v="0.78500000000000003"/>
    <n v="0.24"/>
    <n v="0"/>
    <n v="0"/>
    <n v="0"/>
    <n v="270817.44"/>
    <n v="2024435.97"/>
    <n v="0.133774"/>
    <n v="16428.669999999998"/>
    <n v="16429.09"/>
    <n v="0"/>
    <n v="16429.09"/>
    <n v="1942985.65"/>
    <s v="Forecast"/>
  </r>
  <r>
    <x v="24"/>
    <x v="2"/>
    <s v="202502"/>
    <n v="32"/>
    <n v="2057605.28"/>
    <n v="-3.4077818563705418E-2"/>
    <s v="CohortAvg"/>
    <n v="-1.7641606956326231E-2"/>
    <s v="CohortAvg"/>
    <n v="0.19715119869244871"/>
    <s v="CohortAvg"/>
    <n v="7.9645373695133598E-3"/>
    <s v="CohortAvg_NonZero"/>
    <n v="0"/>
    <s v="CohortAvg"/>
    <n v="0"/>
    <s v="Zero"/>
    <n v="-3.4840503238939551E-2"/>
    <s v="CohortAvg"/>
    <n v="-3.1851635694078788E-4"/>
    <s v="CohortAvg"/>
    <n v="0"/>
    <n v="-70118.7"/>
    <n v="-36299.46"/>
    <n v="33804.949999999997"/>
    <n v="0"/>
    <n v="0"/>
    <n v="-71688"/>
    <n v="-655.38"/>
    <n v="1984992.06"/>
    <n v="0.14973"/>
    <n v="1.0760000000000001"/>
    <n v="0.16111200000000001"/>
    <s v="CohortTrend+Seasonal(1.076)"/>
    <n v="319805.82"/>
    <n v="301026.76"/>
    <n v="18779.07"/>
    <x v="0"/>
    <n v="0"/>
    <n v="0.78500000000000003"/>
    <n v="0.24"/>
    <n v="0"/>
    <n v="0"/>
    <n v="0"/>
    <n v="301026.76"/>
    <n v="2057605.28"/>
    <n v="0.14630000000000001"/>
    <n v="18779.07"/>
    <n v="18779.07"/>
    <n v="0"/>
    <n v="18779.07"/>
    <n v="1966213"/>
    <s v="Forecast"/>
  </r>
  <r>
    <x v="24"/>
    <x v="2"/>
    <s v="202503"/>
    <n v="31"/>
    <n v="3324529.65"/>
    <n v="-2.2744792186032699E-2"/>
    <s v="CohortAvg"/>
    <n v="-1.6985940006018121E-2"/>
    <s v="CohortAvg"/>
    <n v="0.20120860309538041"/>
    <s v="CohortAvg"/>
    <n v="7.1848262480383477E-3"/>
    <s v="CohortAvg_NonZero"/>
    <n v="2.892230042618718E-10"/>
    <s v="CohortAvg"/>
    <n v="0"/>
    <s v="Zero"/>
    <n v="0"/>
    <s v="CohortAvg"/>
    <n v="0"/>
    <s v="CohortAvg"/>
    <n v="0"/>
    <n v="-75615.740000000005"/>
    <n v="-56470.26"/>
    <n v="55743.66"/>
    <n v="0"/>
    <n v="0"/>
    <n v="0"/>
    <n v="0"/>
    <n v="3248187.32"/>
    <n v="0.14779500000000001"/>
    <n v="1.0760000000000001"/>
    <n v="0.15903"/>
    <s v="CohortTrend+Seasonal(1.076)"/>
    <n v="516559.88"/>
    <n v="479113.48"/>
    <n v="37446.400000000001"/>
    <x v="0"/>
    <n v="0"/>
    <n v="0.78500000000000003"/>
    <n v="0.24"/>
    <n v="0"/>
    <n v="0"/>
    <n v="0"/>
    <n v="479113.48"/>
    <n v="3324529.65"/>
    <n v="0.14411499999999999"/>
    <n v="37446.400000000001"/>
    <n v="37446.400000000001"/>
    <n v="0"/>
    <n v="37446.400000000001"/>
    <n v="3210740.92"/>
    <s v="Forecast"/>
  </r>
  <r>
    <x v="24"/>
    <x v="2"/>
    <s v="202504"/>
    <n v="30"/>
    <n v="4136978.91"/>
    <n v="-2.462679222110405E-2"/>
    <s v="CohortAvg"/>
    <n v="-1.690981763166869E-2"/>
    <s v="CohortAvg"/>
    <n v="0.19642282088219731"/>
    <s v="CohortAvg"/>
    <n v="3.260907177009143E-3"/>
    <s v="CohortAvg_NonZero"/>
    <n v="0"/>
    <s v="CohortAvg"/>
    <n v="0"/>
    <s v="Zero"/>
    <n v="0"/>
    <s v="CohortAvg"/>
    <n v="0"/>
    <s v="CohortAvg"/>
    <n v="0"/>
    <n v="-101880.52"/>
    <n v="-69955.56"/>
    <n v="67716.42"/>
    <n v="0"/>
    <n v="0"/>
    <n v="0"/>
    <n v="0"/>
    <n v="4032859.26"/>
    <n v="0.149284"/>
    <n v="1.0760000000000001"/>
    <n v="0.160632"/>
    <s v="CohortTrend+Seasonal(1.076)"/>
    <n v="647805.6"/>
    <n v="600554.5"/>
    <n v="47251.1"/>
    <x v="0"/>
    <n v="0"/>
    <n v="0.78500000000000003"/>
    <n v="0.24"/>
    <n v="0"/>
    <n v="0"/>
    <n v="0"/>
    <n v="600554.5"/>
    <n v="4136978.91"/>
    <n v="0.14516699999999999"/>
    <n v="47251.1"/>
    <n v="47251.1"/>
    <n v="0"/>
    <n v="47251.1"/>
    <n v="3985608.16"/>
    <s v="Forecast"/>
  </r>
  <r>
    <x v="24"/>
    <x v="2"/>
    <s v="202505"/>
    <n v="29"/>
    <n v="3948228.03"/>
    <n v="-2.748550606807203E-2"/>
    <s v="CohortAvg"/>
    <n v="-1.660564725632498E-2"/>
    <s v="CohortAvg"/>
    <n v="0.1942633783471327"/>
    <s v="CohortAvg"/>
    <n v="0"/>
    <s v="CohortAvg_NoData_ERROR"/>
    <n v="0"/>
    <s v="CohortAvg"/>
    <n v="0"/>
    <s v="Zero"/>
    <n v="0"/>
    <s v="CohortAvg"/>
    <n v="0"/>
    <s v="CohortAvg"/>
    <n v="0"/>
    <n v="-108519.05"/>
    <n v="-65562.880000000005"/>
    <n v="63916.34"/>
    <n v="0"/>
    <n v="0"/>
    <n v="0"/>
    <n v="0"/>
    <n v="3838062.45"/>
    <n v="0.14712600000000001"/>
    <n v="1.0760000000000001"/>
    <n v="0.15831000000000001"/>
    <s v="CohortTrend+Seasonal(1.076)"/>
    <n v="607602.25"/>
    <n v="563561.48"/>
    <n v="44040.77"/>
    <x v="0"/>
    <n v="0"/>
    <n v="0.78500000000000003"/>
    <n v="0.24"/>
    <n v="0"/>
    <n v="0"/>
    <n v="0"/>
    <n v="563561.48"/>
    <n v="3948228.03"/>
    <n v="0.142738"/>
    <n v="44040.77"/>
    <n v="44040.77"/>
    <n v="0"/>
    <n v="44040.77"/>
    <n v="3794021.68"/>
    <s v="Forecast"/>
  </r>
  <r>
    <x v="24"/>
    <x v="2"/>
    <s v="202506"/>
    <n v="28"/>
    <n v="4638504.53"/>
    <n v="-2.0109379427979031E-2"/>
    <s v="CohortAvg"/>
    <n v="-1.628627675318782E-2"/>
    <s v="CohortAvg"/>
    <n v="0.19798410223950899"/>
    <s v="CohortAvg"/>
    <n v="0"/>
    <s v="CohortAvg_NoData_ERROR"/>
    <n v="0"/>
    <s v="CohortAvg"/>
    <n v="0"/>
    <s v="Zero"/>
    <n v="0"/>
    <s v="CohortAvg"/>
    <n v="0"/>
    <s v="CohortAvg"/>
    <n v="0"/>
    <n v="-93277.45"/>
    <n v="-75543.97"/>
    <n v="76529.179999999993"/>
    <n v="0"/>
    <n v="0"/>
    <n v="0"/>
    <n v="0"/>
    <n v="4546212.29"/>
    <n v="0.14785799999999999"/>
    <n v="1.0760000000000001"/>
    <n v="0.15909699999999999"/>
    <s v="CohortTrend+Seasonal(1.076)"/>
    <n v="723290.65"/>
    <n v="663265.18999999994"/>
    <n v="60025.47"/>
    <x v="0"/>
    <n v="0"/>
    <n v="0.78500000000000003"/>
    <n v="0.24"/>
    <n v="0"/>
    <n v="0"/>
    <n v="0"/>
    <n v="663265.18999999994"/>
    <n v="4638504.53"/>
    <n v="0.14299100000000001"/>
    <n v="60025.47"/>
    <n v="60025.47"/>
    <n v="0"/>
    <n v="60025.47"/>
    <n v="4486186.82"/>
    <s v="Forecast"/>
  </r>
  <r>
    <x v="24"/>
    <x v="2"/>
    <s v="202507"/>
    <n v="27"/>
    <n v="6059260.9299999997"/>
    <n v="-1.6335870700002399E-2"/>
    <s v="CohortAvg"/>
    <n v="-1.716890163814578E-2"/>
    <s v="CohortAvg"/>
    <n v="0.189171648340142"/>
    <s v="CohortAvg"/>
    <n v="0"/>
    <s v="CohortAvg_NoData_ERROR"/>
    <n v="0"/>
    <s v="CohortAvg"/>
    <n v="0"/>
    <s v="Zero"/>
    <n v="0"/>
    <s v="CohortAvg"/>
    <n v="0"/>
    <s v="CohortAvg"/>
    <n v="0"/>
    <n v="-98983.3"/>
    <n v="-104030.85"/>
    <n v="95520.03"/>
    <n v="0"/>
    <n v="0"/>
    <n v="0"/>
    <n v="0"/>
    <n v="5951766.7999999998"/>
    <n v="0.14152999999999999"/>
    <n v="1.0760000000000001"/>
    <n v="0.15228800000000001"/>
    <s v="CohortTrend+Seasonal(1.076)"/>
    <n v="906384.34"/>
    <n v="827681.25"/>
    <n v="78703.09"/>
    <x v="0"/>
    <n v="0"/>
    <n v="0.78500000000000003"/>
    <n v="0.24"/>
    <n v="0"/>
    <n v="0"/>
    <n v="0"/>
    <n v="827681.25"/>
    <n v="6059260.9299999997"/>
    <n v="0.136598"/>
    <n v="78703.09"/>
    <n v="78703.09"/>
    <n v="0"/>
    <n v="78703.09"/>
    <n v="5873063.71"/>
    <s v="Forecast"/>
  </r>
  <r>
    <x v="24"/>
    <x v="2"/>
    <s v="202508"/>
    <n v="26"/>
    <n v="5527950.9000000004"/>
    <n v="-1.9860576475971531E-2"/>
    <s v="CohortAvg"/>
    <n v="-1.214911088878585E-2"/>
    <s v="CohortAvg"/>
    <n v="0.19147461454480549"/>
    <s v="CohortAvg"/>
    <n v="0"/>
    <s v="CohortAvg_NoData_ERROR"/>
    <n v="3.5428076111116589E-5"/>
    <s v="CohortAvg"/>
    <n v="0"/>
    <s v="Zero"/>
    <n v="0"/>
    <s v="CohortAvg"/>
    <n v="0"/>
    <s v="CohortAvg"/>
    <n v="0"/>
    <n v="-109788.29"/>
    <n v="-67159.69"/>
    <n v="88205.19"/>
    <n v="0"/>
    <n v="195.84"/>
    <n v="0"/>
    <n v="0"/>
    <n v="5439012.2599999998"/>
    <n v="0.13520199999999999"/>
    <n v="1.0760000000000001"/>
    <n v="0.145479"/>
    <s v="CohortTrend+Seasonal(1.076)"/>
    <n v="791262.84"/>
    <n v="719762.86"/>
    <n v="71499.98"/>
    <x v="0"/>
    <n v="0"/>
    <n v="0.78500000000000003"/>
    <n v="0.24"/>
    <n v="0"/>
    <n v="0"/>
    <n v="0"/>
    <n v="719762.86"/>
    <n v="5527950.9000000004"/>
    <n v="0.13020399999999999"/>
    <n v="71499.98"/>
    <n v="71695.820000000007"/>
    <n v="0"/>
    <n v="71695.820000000007"/>
    <n v="5367316.4400000004"/>
    <s v="Forecast"/>
  </r>
  <r>
    <x v="24"/>
    <x v="2"/>
    <s v="202509"/>
    <n v="25"/>
    <n v="47756.34"/>
    <n v="-0.26560224319685488"/>
    <s v="CohortAvg"/>
    <n v="-3.2588135831790738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12684.19"/>
    <n v="-1556.29"/>
    <n v="1989.85"/>
    <n v="0"/>
    <n v="0"/>
    <n v="0"/>
    <n v="0"/>
    <n v="35505.699999999997"/>
    <n v="0.12887399999999999"/>
    <n v="1.0760000000000001"/>
    <n v="0.13866999999999999"/>
    <s v="CohortTrend+Seasonal(1.076)"/>
    <n v="4923.58"/>
    <n v="5912.75"/>
    <n v="-989.18"/>
    <x v="0"/>
    <n v="0"/>
    <n v="0.78500000000000003"/>
    <n v="0.24"/>
    <n v="0"/>
    <n v="0"/>
    <n v="0"/>
    <n v="5912.75"/>
    <n v="47756.34"/>
    <n v="0.123811"/>
    <n v="-989.18"/>
    <n v="-989.18"/>
    <n v="0"/>
    <n v="-989.18"/>
    <n v="36494.879999999997"/>
    <s v="Forecast"/>
  </r>
  <r>
    <x v="24"/>
    <x v="3"/>
    <s v="201912"/>
    <n v="94"/>
    <n v="39466.79"/>
    <n v="-6.8331843324065207E-3"/>
    <s v="CohortAvg"/>
    <n v="-6.4273551169688958E-4"/>
    <s v="CohortAvg"/>
    <n v="0"/>
    <s v="CohortAvg"/>
    <n v="3.008323243564117E-2"/>
    <s v="CohortAvg_NonZero"/>
    <n v="5.471666842837567E-9"/>
    <s v="CohortAvg"/>
    <n v="0"/>
    <s v="Zero"/>
    <n v="0"/>
    <s v="CohortAvg"/>
    <n v="0"/>
    <s v="CohortAvg"/>
    <n v="0"/>
    <n v="-269.68"/>
    <n v="-25.37"/>
    <n v="0"/>
    <n v="0"/>
    <n v="0"/>
    <n v="0"/>
    <n v="0"/>
    <n v="39171.74"/>
    <n v="0.988151"/>
    <n v="0.99670000000000003"/>
    <n v="0.98484700000000003"/>
    <s v="CohortAvg+Seasonal(0.997)"/>
    <n v="38578.15"/>
    <n v="38944.839999999997"/>
    <n v="-366.69"/>
    <x v="0"/>
    <n v="0"/>
    <n v="0.78500000000000003"/>
    <n v="0.24"/>
    <n v="0"/>
    <n v="0"/>
    <n v="0"/>
    <n v="38944.839999999997"/>
    <n v="39466.79"/>
    <n v="0.98677499999999996"/>
    <n v="-366.69"/>
    <n v="-366.69"/>
    <n v="0"/>
    <n v="-366.69"/>
    <n v="39538.43"/>
    <s v="Forecast"/>
  </r>
  <r>
    <x v="24"/>
    <x v="3"/>
    <s v="202001"/>
    <n v="93"/>
    <n v="0"/>
    <n v="-0.5"/>
    <s v="CohortAvg"/>
    <n v="-1.4725171444151301E-7"/>
    <s v="CohortAvg"/>
    <n v="0"/>
    <s v="CohortAvg"/>
    <n v="1.8004568433139721E-2"/>
    <s v="CohortAvg_NonZero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0"/>
    <n v="0.81933800000000001"/>
    <n v="0.99670000000000003"/>
    <n v="0.81659800000000005"/>
    <s v="CohortAvg+Seasonal(0.997)"/>
    <n v="0"/>
    <n v="0"/>
    <n v="0"/>
    <x v="0"/>
    <n v="0"/>
    <n v="0.78500000000000003"/>
    <n v="0.24"/>
    <n v="0"/>
    <n v="0"/>
    <n v="0"/>
    <n v="0"/>
    <n v="0"/>
    <n v="0.81816599999999995"/>
    <n v="0"/>
    <n v="0"/>
    <n v="0"/>
    <n v="0"/>
    <n v="0"/>
    <s v="Forecast"/>
  </r>
  <r>
    <x v="24"/>
    <x v="3"/>
    <s v="202101"/>
    <n v="81"/>
    <n v="147019.53"/>
    <n v="-0.1051731332754605"/>
    <s v="CohortAvg"/>
    <n v="-8.1082743578462652E-3"/>
    <s v="CohortAvg"/>
    <n v="0.10888512064112291"/>
    <s v="CohortAvg"/>
    <n v="6.1881522978123474E-3"/>
    <s v="CohortAvg_NonZero"/>
    <n v="0"/>
    <s v="CohortAvg"/>
    <n v="0"/>
    <s v="Zero"/>
    <n v="-1.3088327924510491E-6"/>
    <s v="CohortAvg"/>
    <n v="-1.389040712056658E-8"/>
    <s v="CohortAvg"/>
    <n v="0"/>
    <n v="-15462.5"/>
    <n v="-1192.07"/>
    <n v="1334.02"/>
    <n v="0"/>
    <n v="0"/>
    <n v="-0.19"/>
    <n v="0"/>
    <n v="131698.97"/>
    <n v="0.27618199999999998"/>
    <n v="0.99670000000000003"/>
    <n v="0.27525899999999998"/>
    <s v="CohortAvg+Seasonal(0.997)"/>
    <n v="36251.269999999997"/>
    <n v="40547.06"/>
    <n v="-4295.79"/>
    <x v="0"/>
    <n v="0"/>
    <n v="0.78500000000000003"/>
    <n v="0.24"/>
    <n v="0"/>
    <n v="0"/>
    <n v="0"/>
    <n v="40547.06"/>
    <n v="147019.53"/>
    <n v="0.27579399999999998"/>
    <n v="-4295.79"/>
    <n v="-4295.79"/>
    <n v="0"/>
    <n v="-4295.79"/>
    <n v="135994.76"/>
    <s v="Forecast"/>
  </r>
  <r>
    <x v="24"/>
    <x v="3"/>
    <s v="202201"/>
    <n v="61"/>
    <n v="36128.629999999997"/>
    <n v="-8.8822533864943889E-2"/>
    <s v="CohortAvg"/>
    <n v="-1.036946330531572E-2"/>
    <s v="CohortAvg"/>
    <n v="0.11260575353587"/>
    <s v="CohortAvg"/>
    <n v="3.3694648061118541E-2"/>
    <s v="CohortAvg_NonZero"/>
    <n v="9.0886735163256394E-4"/>
    <s v="CohortAvg"/>
    <n v="0"/>
    <s v="Zero"/>
    <n v="-1.3695592374475E-6"/>
    <s v="CohortAvg"/>
    <n v="-1.1659851392213581E-8"/>
    <s v="CohortAvg"/>
    <n v="0"/>
    <n v="-3209.04"/>
    <n v="-374.63"/>
    <n v="339.02"/>
    <n v="0"/>
    <n v="32.840000000000003"/>
    <n v="-0.05"/>
    <n v="0"/>
    <n v="32851.14"/>
    <n v="0.30421999999999999"/>
    <n v="0.99670000000000003"/>
    <n v="0.30320200000000003"/>
    <s v="CohortAvg+Seasonal(0.997)"/>
    <n v="9960.5400000000009"/>
    <n v="10975.84"/>
    <n v="-1015.3"/>
    <x v="0"/>
    <n v="0"/>
    <n v="0.78500000000000003"/>
    <n v="0.24"/>
    <n v="0"/>
    <n v="0"/>
    <n v="0"/>
    <n v="10975.84"/>
    <n v="36128.629999999997"/>
    <n v="0.30379899999999999"/>
    <n v="-1015.3"/>
    <n v="-982.46"/>
    <n v="0"/>
    <n v="-982.46"/>
    <n v="33833.61"/>
    <s v="Forecast"/>
  </r>
  <r>
    <x v="24"/>
    <x v="3"/>
    <s v="202301"/>
    <n v="52"/>
    <n v="679793.13"/>
    <n v="-6.9804434007632934E-2"/>
    <s v="CohortAvg"/>
    <n v="-1.6140595445968211E-2"/>
    <s v="CohortAvg"/>
    <n v="0.19077182058862671"/>
    <s v="CohortAvg"/>
    <n v="2.530250484386418E-2"/>
    <s v="CohortAvg_NonZero"/>
    <n v="3.275602903488018E-8"/>
    <s v="CohortAvg"/>
    <n v="0"/>
    <s v="Zero"/>
    <n v="-2.3732229085335452E-3"/>
    <s v="CohortAvg"/>
    <n v="-1.387052709383779E-5"/>
    <s v="CohortAvg"/>
    <n v="0"/>
    <n v="-47452.57"/>
    <n v="-10972.27"/>
    <n v="10807.11"/>
    <n v="0"/>
    <n v="0.02"/>
    <n v="-1613.3"/>
    <n v="-9.43"/>
    <n v="632175.38"/>
    <n v="0.28102199999999999"/>
    <n v="0.99670000000000003"/>
    <n v="0.280082"/>
    <s v="CohortAvg+Seasonal(0.997)"/>
    <n v="177061"/>
    <n v="190875.03"/>
    <n v="-13814.03"/>
    <x v="0"/>
    <n v="0"/>
    <n v="0.78500000000000003"/>
    <n v="0.24"/>
    <n v="0"/>
    <n v="0"/>
    <n v="0"/>
    <n v="190875.03"/>
    <n v="679793.13"/>
    <n v="0.28078399999999998"/>
    <n v="-13814.03"/>
    <n v="-13814.01"/>
    <n v="0"/>
    <n v="-13814.01"/>
    <n v="645989.39"/>
    <s v="Forecast"/>
  </r>
  <r>
    <x v="24"/>
    <x v="3"/>
    <s v="202404"/>
    <n v="42"/>
    <n v="188586.66"/>
    <n v="-5.0055993142816939E-2"/>
    <s v="CohortAvg"/>
    <n v="-1.7543917680322329E-2"/>
    <s v="CohortAvg"/>
    <n v="0.19117658045379229"/>
    <s v="CohortAvg"/>
    <n v="6.3545891878978911E-2"/>
    <s v="CohortAvg_NonZero"/>
    <n v="8.3175126896044649E-7"/>
    <s v="CohortAvg"/>
    <n v="0"/>
    <s v="Zero"/>
    <n v="-1.0565393249893791E-2"/>
    <s v="CohortAvg"/>
    <n v="-1.1930947315937579E-4"/>
    <s v="CohortAvg"/>
    <n v="0"/>
    <n v="-9439.89"/>
    <n v="-3308.55"/>
    <n v="3004.45"/>
    <n v="0"/>
    <n v="0.16"/>
    <n v="-1992.49"/>
    <n v="-22.5"/>
    <n v="178842.51"/>
    <n v="0.226355"/>
    <n v="0.99670000000000003"/>
    <n v="0.22559799999999999"/>
    <s v="CohortAvg+Seasonal(0.997)"/>
    <n v="40346.589999999997"/>
    <n v="42326"/>
    <n v="-1979.41"/>
    <x v="0"/>
    <n v="0"/>
    <n v="0.78500000000000003"/>
    <n v="0.24"/>
    <n v="0"/>
    <n v="0"/>
    <n v="0"/>
    <n v="42326"/>
    <n v="188586.66"/>
    <n v="0.224438"/>
    <n v="-1979.41"/>
    <n v="-1979.25"/>
    <n v="0"/>
    <n v="-1979.25"/>
    <n v="180821.76000000001"/>
    <s v="Forecast"/>
  </r>
  <r>
    <x v="24"/>
    <x v="3"/>
    <s v="202405"/>
    <n v="41"/>
    <n v="184078.67"/>
    <n v="-5.214246014716567E-2"/>
    <s v="CohortAvg"/>
    <n v="-1.7932193800360409E-2"/>
    <s v="CohortAvg"/>
    <n v="0.19976789682461579"/>
    <s v="CohortAvg"/>
    <n v="4.5816857999562401E-2"/>
    <s v="CohortAvg_NonZero"/>
    <n v="1.28008227184121E-8"/>
    <s v="CohortAvg"/>
    <n v="0"/>
    <s v="Zero"/>
    <n v="-1.203180104381267E-2"/>
    <s v="CohortAvg"/>
    <n v="-1.074074148728392E-4"/>
    <s v="CohortAvg"/>
    <n v="0"/>
    <n v="-9598.31"/>
    <n v="-3300.93"/>
    <n v="3064.42"/>
    <n v="0"/>
    <n v="0"/>
    <n v="-2214.8000000000002"/>
    <n v="-19.77"/>
    <n v="174243.83"/>
    <n v="0.182505"/>
    <n v="0.99670000000000003"/>
    <n v="0.181894"/>
    <s v="CohortAvg+Seasonal(0.997)"/>
    <n v="31693.98"/>
    <n v="33279.99"/>
    <n v="-1586"/>
    <x v="0"/>
    <n v="0"/>
    <n v="0.78500000000000003"/>
    <n v="0.24"/>
    <n v="0"/>
    <n v="0"/>
    <n v="0"/>
    <n v="33279.99"/>
    <n v="184078.67"/>
    <n v="0.18079200000000001"/>
    <n v="-1586"/>
    <n v="-1586"/>
    <n v="0"/>
    <n v="-1586"/>
    <n v="175829.83"/>
    <s v="Forecast"/>
  </r>
  <r>
    <x v="24"/>
    <x v="3"/>
    <s v="202406"/>
    <n v="40"/>
    <n v="255614.85"/>
    <n v="-4.7995120150241453E-2"/>
    <s v="CohortAvg"/>
    <n v="-1.810543682328708E-2"/>
    <s v="CohortAvg"/>
    <n v="0.20235021120765281"/>
    <s v="CohortAvg"/>
    <n v="3.955892293465111E-2"/>
    <s v="CohortAvg_NonZero"/>
    <n v="9.2458764805336981E-9"/>
    <s v="CohortAvg"/>
    <n v="0"/>
    <s v="Zero"/>
    <n v="-1.3747774071933779E-2"/>
    <s v="CohortAvg"/>
    <n v="-1.0406120060577479E-4"/>
    <s v="CohortAvg"/>
    <n v="0"/>
    <n v="-12268.27"/>
    <n v="-4628.0200000000004"/>
    <n v="4310.3100000000004"/>
    <n v="0"/>
    <n v="0"/>
    <n v="-3514.14"/>
    <n v="-26.6"/>
    <n v="243028.88"/>
    <n v="0.14444399999999999"/>
    <n v="0.99670000000000003"/>
    <n v="0.14396100000000001"/>
    <s v="CohortAvg+Seasonal(0.997)"/>
    <n v="34986.76"/>
    <n v="38564.639999999999"/>
    <n v="-3577.88"/>
    <x v="0"/>
    <n v="0"/>
    <n v="0.78500000000000003"/>
    <n v="0.24"/>
    <n v="0"/>
    <n v="0"/>
    <n v="0"/>
    <n v="38564.639999999999"/>
    <n v="255614.85"/>
    <n v="0.15087"/>
    <n v="-3577.88"/>
    <n v="-3577.88"/>
    <n v="0"/>
    <n v="-3577.88"/>
    <n v="246606.75"/>
    <s v="Forecast"/>
  </r>
  <r>
    <x v="24"/>
    <x v="3"/>
    <s v="202407"/>
    <n v="39"/>
    <n v="175715.89"/>
    <n v="-6.7767345180127878E-2"/>
    <s v="CohortAvg"/>
    <n v="-1.8952326746370249E-2"/>
    <s v="CohortAvg"/>
    <n v="0.20660967347820439"/>
    <s v="CohortAvg"/>
    <n v="2.711257309782384E-2"/>
    <s v="CohortAvg_NonZero"/>
    <n v="4.3906582292607321E-6"/>
    <s v="CohortAvg"/>
    <n v="0"/>
    <s v="Zero"/>
    <n v="-1.6893205545915991E-2"/>
    <s v="CohortAvg"/>
    <n v="-2.007799149750115E-4"/>
    <s v="CohortAvg"/>
    <n v="0"/>
    <n v="-11907.8"/>
    <n v="-3330.22"/>
    <n v="3025.38"/>
    <n v="0"/>
    <n v="0.77"/>
    <n v="-2968.4"/>
    <n v="-35.28"/>
    <n v="163502.48000000001"/>
    <n v="0.122498"/>
    <n v="0.99670000000000003"/>
    <n v="0.122088"/>
    <s v="CohortTrend+Seasonal(0.997)"/>
    <n v="19961.689999999999"/>
    <n v="21164.240000000002"/>
    <n v="-1202.55"/>
    <x v="0"/>
    <n v="0"/>
    <n v="0.78500000000000003"/>
    <n v="0.24"/>
    <n v="0"/>
    <n v="0"/>
    <n v="0"/>
    <n v="21164.240000000002"/>
    <n v="175715.89"/>
    <n v="0.120446"/>
    <n v="-1202.55"/>
    <n v="-1201.78"/>
    <n v="0"/>
    <n v="-1201.78"/>
    <n v="164704.26"/>
    <s v="Forecast"/>
  </r>
  <r>
    <x v="24"/>
    <x v="3"/>
    <s v="202408"/>
    <n v="38"/>
    <n v="289370.03999999998"/>
    <n v="-4.9822990582540611E-2"/>
    <s v="CohortAvg"/>
    <n v="-1.9275539750682479E-2"/>
    <s v="CohortAvg"/>
    <n v="0.2137835521307902"/>
    <s v="CohortAvg"/>
    <n v="3.2222728582594867E-2"/>
    <s v="CohortAvg_NonZero"/>
    <n v="1.68022926456628E-8"/>
    <s v="CohortAvg"/>
    <n v="0"/>
    <s v="Zero"/>
    <n v="-1.137475401520799E-2"/>
    <s v="CohortAvg"/>
    <n v="-9.7563364890118718E-5"/>
    <s v="CohortAvg"/>
    <n v="0"/>
    <n v="-14417.28"/>
    <n v="-5577.76"/>
    <n v="5155.21"/>
    <n v="0"/>
    <n v="0"/>
    <n v="-3291.51"/>
    <n v="-28.23"/>
    <n v="274530.21000000002"/>
    <n v="0.10206800000000001"/>
    <n v="0.99670000000000003"/>
    <n v="0.101726"/>
    <s v="CohortTrend+Seasonal(0.997)"/>
    <n v="27926.92"/>
    <n v="29113.69"/>
    <n v="-1186.78"/>
    <x v="0"/>
    <n v="0"/>
    <n v="0.78500000000000003"/>
    <n v="0.24"/>
    <n v="0"/>
    <n v="0"/>
    <n v="0"/>
    <n v="29113.69"/>
    <n v="289370.03999999998"/>
    <n v="0.10061100000000001"/>
    <n v="-1186.78"/>
    <n v="-1186.77"/>
    <n v="0"/>
    <n v="-1186.77"/>
    <n v="275716.98"/>
    <s v="Forecast"/>
  </r>
  <r>
    <x v="24"/>
    <x v="3"/>
    <s v="202409"/>
    <n v="37"/>
    <n v="143480.32000000001"/>
    <n v="-7.4008623509427524E-2"/>
    <s v="CohortAvg"/>
    <n v="-2.0184882920423999E-2"/>
    <s v="CohortAvg"/>
    <n v="0.21041672364113159"/>
    <s v="CohortAvg"/>
    <n v="3.5815290411335049E-2"/>
    <s v="CohortAvg_NonZero"/>
    <n v="1.149843458209923E-8"/>
    <s v="CohortAvg"/>
    <n v="0"/>
    <s v="Zero"/>
    <n v="-1.4036350252502199E-2"/>
    <s v="CohortAvg"/>
    <n v="-1.091606364479822E-4"/>
    <s v="CohortAvg"/>
    <n v="0"/>
    <n v="-10618.78"/>
    <n v="-2896.13"/>
    <n v="2515.89"/>
    <n v="0"/>
    <n v="0"/>
    <n v="-2013.94"/>
    <n v="-15.66"/>
    <n v="132481.29"/>
    <n v="8.1504999999999994E-2"/>
    <n v="0.99670000000000003"/>
    <n v="8.1231999999999999E-2"/>
    <s v="CohortTrend+Seasonal(0.997)"/>
    <n v="10761.72"/>
    <n v="11567.16"/>
    <n v="-805.44"/>
    <x v="0"/>
    <n v="0"/>
    <n v="0.78500000000000003"/>
    <n v="0.24"/>
    <n v="0"/>
    <n v="0"/>
    <n v="0"/>
    <n v="11567.16"/>
    <n v="143480.32000000001"/>
    <n v="8.0617999999999995E-2"/>
    <n v="-805.44"/>
    <n v="-805.44"/>
    <n v="0"/>
    <n v="-805.44"/>
    <n v="133286.73000000001"/>
    <s v="Forecast"/>
  </r>
  <r>
    <x v="24"/>
    <x v="3"/>
    <s v="202410"/>
    <n v="36"/>
    <n v="241375.58"/>
    <n v="-4.8312292241598533E-2"/>
    <s v="CohortAvg"/>
    <n v="-2.0003274319419329E-2"/>
    <s v="CohortAvg"/>
    <n v="0.2130850078687152"/>
    <s v="CohortAvg"/>
    <n v="3.780143451102131E-2"/>
    <s v="CohortAvg_NonZero"/>
    <n v="8.4422064205261941E-7"/>
    <s v="CohortAvg"/>
    <n v="0"/>
    <s v="Zero"/>
    <n v="-1.934325016663067E-2"/>
    <s v="CohortAvg"/>
    <n v="-1.5624189099016931E-4"/>
    <s v="CohortAvg"/>
    <n v="0"/>
    <n v="-11661.41"/>
    <n v="-4828.3"/>
    <n v="4286.13"/>
    <n v="0"/>
    <n v="0.2"/>
    <n v="-4668.99"/>
    <n v="-37.71"/>
    <n v="229171.79"/>
    <n v="7.5110999999999997E-2"/>
    <n v="0.99670000000000003"/>
    <n v="7.4859999999999996E-2"/>
    <s v="CohortTrend+Seasonal(0.997)"/>
    <n v="17155.84"/>
    <n v="17943.53"/>
    <n v="-787.68"/>
    <x v="0"/>
    <n v="0"/>
    <n v="0.78500000000000003"/>
    <n v="0.24"/>
    <n v="0"/>
    <n v="0"/>
    <n v="0"/>
    <n v="17943.53"/>
    <n v="241375.58"/>
    <n v="7.4339000000000002E-2"/>
    <n v="-787.68"/>
    <n v="-787.48"/>
    <n v="0"/>
    <n v="-787.48"/>
    <n v="229959.27"/>
    <s v="Forecast"/>
  </r>
  <r>
    <x v="24"/>
    <x v="3"/>
    <s v="202411"/>
    <n v="35"/>
    <n v="271989.27"/>
    <n v="-5.2230273026647851E-2"/>
    <s v="CohortAvg"/>
    <n v="-2.0127980357461869E-2"/>
    <s v="CohortAvg"/>
    <n v="0.22300556996256471"/>
    <s v="CohortAvg"/>
    <n v="2.8782704004736599E-2"/>
    <s v="CohortAvg_NonZero"/>
    <n v="3.755339748827806E-9"/>
    <s v="CohortAvg"/>
    <n v="0"/>
    <s v="Zero"/>
    <n v="-2.4203201143190401E-2"/>
    <s v="CohortAvg"/>
    <n v="-2.2333815815797601E-4"/>
    <s v="CohortAvg"/>
    <n v="0"/>
    <n v="-14206.07"/>
    <n v="-5474.59"/>
    <n v="5054.59"/>
    <n v="0"/>
    <n v="0"/>
    <n v="-6583.01"/>
    <n v="-60.75"/>
    <n v="257363.19"/>
    <n v="7.0980000000000001E-2"/>
    <n v="0.99670000000000003"/>
    <n v="7.0743E-2"/>
    <s v="CohortTrend+Seasonal(0.997)"/>
    <n v="18206.669999999998"/>
    <n v="19070.240000000002"/>
    <n v="-863.57"/>
    <x v="0"/>
    <n v="0"/>
    <n v="0.78500000000000003"/>
    <n v="0.24"/>
    <n v="0"/>
    <n v="0"/>
    <n v="0"/>
    <n v="19070.240000000002"/>
    <n v="271989.27"/>
    <n v="7.0113999999999996E-2"/>
    <n v="-863.57"/>
    <n v="-863.57"/>
    <n v="0"/>
    <n v="-863.57"/>
    <n v="258226.76"/>
    <s v="Forecast"/>
  </r>
  <r>
    <x v="24"/>
    <x v="3"/>
    <s v="202412"/>
    <n v="34"/>
    <n v="287979.59000000003"/>
    <n v="-5.0385099404154428E-2"/>
    <s v="CohortAvg"/>
    <n v="-2.0616210119590379E-2"/>
    <s v="CohortAvg"/>
    <n v="0.22196914748733421"/>
    <s v="CohortAvg"/>
    <n v="3.3047871718409033E-2"/>
    <s v="CohortAvg_NonZero"/>
    <n v="8.1636898538486633E-7"/>
    <s v="CohortAvg"/>
    <n v="0"/>
    <s v="Zero"/>
    <n v="-4.4491478884822681E-2"/>
    <s v="CohortAvg"/>
    <n v="-4.6139830511024221E-4"/>
    <s v="CohortAvg"/>
    <n v="0"/>
    <n v="-14509.88"/>
    <n v="-5937.05"/>
    <n v="5326.88"/>
    <n v="0"/>
    <n v="0.24"/>
    <n v="-12812.64"/>
    <n v="-132.87"/>
    <n v="272859.31"/>
    <n v="7.6028999999999999E-2"/>
    <n v="0.99670000000000003"/>
    <n v="7.5774999999999995E-2"/>
    <s v="CohortTrend+Seasonal(0.997)"/>
    <n v="20675.79"/>
    <n v="21518.79"/>
    <n v="-843.01"/>
    <x v="0"/>
    <n v="0"/>
    <n v="0.78500000000000003"/>
    <n v="0.24"/>
    <n v="0"/>
    <n v="0"/>
    <n v="0"/>
    <n v="21518.79"/>
    <n v="287979.59000000003"/>
    <n v="7.4722999999999998E-2"/>
    <n v="-843.01"/>
    <n v="-842.77"/>
    <n v="0"/>
    <n v="-842.77"/>
    <n v="273702.08"/>
    <s v="Forecast"/>
  </r>
  <r>
    <x v="24"/>
    <x v="3"/>
    <s v="202501"/>
    <n v="33"/>
    <n v="517075.92"/>
    <n v="-5.2604143735557857E-2"/>
    <s v="CohortAvg"/>
    <n v="-2.0835865613427582E-2"/>
    <s v="CohortAvg"/>
    <n v="0.22494044956188011"/>
    <s v="CohortAvg"/>
    <n v="1.417455011652673E-2"/>
    <s v="CohortAvg_NonZero"/>
    <n v="1.5178952392405581E-5"/>
    <s v="CohortAvg"/>
    <n v="0"/>
    <s v="Zero"/>
    <n v="-4.3284097981295601E-2"/>
    <s v="CohortAvg"/>
    <n v="-4.6020464172552371E-4"/>
    <s v="CohortAvg"/>
    <n v="0"/>
    <n v="-27200.34"/>
    <n v="-10773.72"/>
    <n v="9692.61"/>
    <n v="0"/>
    <n v="7.85"/>
    <n v="-22381.16"/>
    <n v="-237.96"/>
    <n v="488786.62"/>
    <n v="8.2852999999999996E-2"/>
    <n v="0.99670000000000003"/>
    <n v="8.2575999999999997E-2"/>
    <s v="CohortTrend+Seasonal(0.997)"/>
    <n v="40362.04"/>
    <n v="41869.61"/>
    <n v="-1507.57"/>
    <x v="0"/>
    <n v="0"/>
    <n v="0.78500000000000003"/>
    <n v="0.24"/>
    <n v="0"/>
    <n v="0"/>
    <n v="0"/>
    <n v="41869.61"/>
    <n v="517075.92"/>
    <n v="8.0974000000000004E-2"/>
    <n v="-1507.57"/>
    <n v="-1499.72"/>
    <n v="0"/>
    <n v="-1499.72"/>
    <n v="490286.34"/>
    <s v="Forecast"/>
  </r>
  <r>
    <x v="24"/>
    <x v="3"/>
    <s v="202502"/>
    <n v="32"/>
    <n v="546474.93999999994"/>
    <n v="-5.3384429039118719E-2"/>
    <s v="CohortAvg"/>
    <n v="-1.9136827747364481E-2"/>
    <s v="CohortAvg"/>
    <n v="0.22665140822057039"/>
    <s v="CohortAvg"/>
    <n v="1.954237287584646E-2"/>
    <s v="CohortAvg_NonZero"/>
    <n v="3.9067593027776259E-4"/>
    <s v="CohortAvg"/>
    <n v="0"/>
    <s v="Zero"/>
    <n v="-9.2325123358149949E-2"/>
    <s v="CohortAvg"/>
    <n v="-1.2005207045478489E-3"/>
    <s v="CohortAvg"/>
    <n v="0"/>
    <n v="-29173.25"/>
    <n v="-10457.799999999999"/>
    <n v="10321.61"/>
    <n v="0"/>
    <n v="213.49"/>
    <n v="-50453.37"/>
    <n v="-656.05"/>
    <n v="516952.01"/>
    <n v="8.2313999999999998E-2"/>
    <n v="0.99670000000000003"/>
    <n v="8.2038E-2"/>
    <s v="CohortTrend+Seasonal(0.997)"/>
    <n v="42409.94"/>
    <n v="43864.959999999999"/>
    <n v="-1455.02"/>
    <x v="0"/>
    <n v="0"/>
    <n v="0.78500000000000003"/>
    <n v="0.24"/>
    <n v="0"/>
    <n v="0"/>
    <n v="0"/>
    <n v="43864.959999999999"/>
    <n v="546474.93999999994"/>
    <n v="8.0268999999999993E-2"/>
    <n v="-1455.02"/>
    <n v="-1241.53"/>
    <n v="0"/>
    <n v="-1241.53"/>
    <n v="518193.54"/>
    <s v="Forecast"/>
  </r>
  <r>
    <x v="24"/>
    <x v="3"/>
    <s v="202503"/>
    <n v="31"/>
    <n v="807846.59"/>
    <n v="-4.5513773347608637E-2"/>
    <s v="CohortAvg"/>
    <n v="-2.1959795443979548E-2"/>
    <s v="CohortAvg"/>
    <n v="0.25478922363806877"/>
    <s v="CohortAvg"/>
    <n v="4.6176837495393924E-3"/>
    <s v="CohortAvg_NonZero"/>
    <n v="1.2888253230397031E-9"/>
    <s v="CohortAvg"/>
    <n v="0"/>
    <s v="Zero"/>
    <n v="0"/>
    <s v="CohortAvg"/>
    <n v="0"/>
    <s v="CohortAvg"/>
    <n v="0"/>
    <n v="-36768.15"/>
    <n v="-17740.150000000001"/>
    <n v="17152.55"/>
    <n v="0"/>
    <n v="0"/>
    <n v="0"/>
    <n v="0"/>
    <n v="770490.84"/>
    <n v="9.6935999999999994E-2"/>
    <n v="0.99670000000000003"/>
    <n v="9.6612000000000003E-2"/>
    <s v="CohortTrend+Seasonal(0.997)"/>
    <n v="74438.710000000006"/>
    <n v="75770.25"/>
    <n v="-1331.55"/>
    <x v="0"/>
    <n v="0"/>
    <n v="0.78500000000000003"/>
    <n v="0.24"/>
    <n v="0"/>
    <n v="0"/>
    <n v="0"/>
    <n v="75770.25"/>
    <n v="807846.59"/>
    <n v="9.3793000000000001E-2"/>
    <n v="-1331.55"/>
    <n v="-1331.55"/>
    <n v="0"/>
    <n v="-1331.55"/>
    <n v="771822.39"/>
    <s v="Forecast"/>
  </r>
  <r>
    <x v="24"/>
    <x v="3"/>
    <s v="202504"/>
    <n v="30"/>
    <n v="579975.91"/>
    <n v="-5.578001171626381E-2"/>
    <s v="CohortAvg"/>
    <n v="-2.2022978863016782E-2"/>
    <s v="CohortAvg"/>
    <n v="0.25068595048874598"/>
    <s v="CohortAvg"/>
    <n v="2.1791689037598898E-3"/>
    <s v="CohortAvg_NonZero"/>
    <n v="1.016567134626836E-9"/>
    <s v="CohortAvg"/>
    <n v="0"/>
    <s v="Zero"/>
    <n v="0"/>
    <s v="CohortAvg"/>
    <n v="0"/>
    <s v="CohortAvg"/>
    <n v="0"/>
    <n v="-32351.06"/>
    <n v="-12772.8"/>
    <n v="12115.98"/>
    <n v="0"/>
    <n v="0"/>
    <n v="0"/>
    <n v="0"/>
    <n v="546968.03"/>
    <n v="9.7557000000000005E-2"/>
    <n v="0.99670000000000003"/>
    <n v="9.7229999999999997E-2"/>
    <s v="CohortTrend+Seasonal(0.997)"/>
    <n v="53181.93"/>
    <n v="54605.79"/>
    <n v="-1423.86"/>
    <x v="0"/>
    <n v="0"/>
    <n v="0.78500000000000003"/>
    <n v="0.24"/>
    <n v="0"/>
    <n v="0"/>
    <n v="0"/>
    <n v="54605.79"/>
    <n v="579975.91"/>
    <n v="9.4152E-2"/>
    <n v="-1423.86"/>
    <n v="-1423.86"/>
    <n v="0"/>
    <n v="-1423.86"/>
    <n v="548391.89"/>
    <s v="Forecast"/>
  </r>
  <r>
    <x v="24"/>
    <x v="3"/>
    <s v="202505"/>
    <n v="29"/>
    <n v="794188.85"/>
    <n v="-4.9461828122114387E-2"/>
    <s v="CohortAvg"/>
    <n v="-2.154535766888158E-2"/>
    <s v="CohortAvg"/>
    <n v="0.24382179162604409"/>
    <s v="CohortAvg"/>
    <n v="0"/>
    <s v="CohortAvg_NoData_ERROR"/>
    <n v="0"/>
    <s v="CohortAvg"/>
    <n v="0"/>
    <s v="Zero"/>
    <n v="0"/>
    <s v="CohortAvg"/>
    <n v="0"/>
    <s v="CohortAvg"/>
    <n v="0"/>
    <n v="-39282.03"/>
    <n v="-17111.080000000002"/>
    <n v="16136.71"/>
    <n v="0"/>
    <n v="0"/>
    <n v="0"/>
    <n v="0"/>
    <n v="753932.45"/>
    <n v="0.106683"/>
    <n v="0.99670000000000003"/>
    <n v="0.106326"/>
    <s v="CohortTrend+Seasonal(0.997)"/>
    <n v="80162.92"/>
    <n v="81326.929999999993"/>
    <n v="-1164"/>
    <x v="0"/>
    <n v="0"/>
    <n v="0.78500000000000003"/>
    <n v="0.24"/>
    <n v="0"/>
    <n v="0"/>
    <n v="0"/>
    <n v="81326.929999999993"/>
    <n v="794188.85"/>
    <n v="0.10240299999999999"/>
    <n v="-1164"/>
    <n v="-1164"/>
    <n v="0"/>
    <n v="-1164"/>
    <n v="755096.45"/>
    <s v="Forecast"/>
  </r>
  <r>
    <x v="24"/>
    <x v="3"/>
    <s v="202506"/>
    <n v="28"/>
    <n v="840424.86"/>
    <n v="-5.3753821750059362E-2"/>
    <s v="CohortAvg"/>
    <n v="-2.2646982753780989E-2"/>
    <s v="CohortAvg"/>
    <n v="0.25635116687304971"/>
    <s v="CohortAvg"/>
    <n v="0"/>
    <s v="CohortAvg_NoData_ERROR"/>
    <n v="0"/>
    <s v="CohortAvg"/>
    <n v="0"/>
    <s v="Zero"/>
    <n v="0"/>
    <s v="CohortAvg"/>
    <n v="0"/>
    <s v="CohortAvg"/>
    <n v="0"/>
    <n v="-45176.05"/>
    <n v="-19033.09"/>
    <n v="17953.66"/>
    <n v="0"/>
    <n v="0"/>
    <n v="0"/>
    <n v="0"/>
    <n v="794169.38"/>
    <n v="0.107474"/>
    <n v="0.99670000000000003"/>
    <n v="0.107115"/>
    <s v="CohortTrend+Seasonal(0.997)"/>
    <n v="85067.12"/>
    <n v="86422.64"/>
    <n v="-1355.53"/>
    <x v="0"/>
    <n v="0"/>
    <n v="0.78500000000000003"/>
    <n v="0.24"/>
    <n v="0"/>
    <n v="0"/>
    <n v="0"/>
    <n v="86422.64"/>
    <n v="840424.86"/>
    <n v="0.10283200000000001"/>
    <n v="-1355.53"/>
    <n v="-1355.53"/>
    <n v="0"/>
    <n v="-1355.53"/>
    <n v="795524.91"/>
    <s v="Forecast"/>
  </r>
  <r>
    <x v="24"/>
    <x v="3"/>
    <s v="202507"/>
    <n v="27"/>
    <n v="1318611.2"/>
    <n v="-3.9749356020084989E-2"/>
    <s v="CohortAvg"/>
    <n v="-2.38698684185197E-2"/>
    <s v="CohortAvg"/>
    <n v="0.25827767981716487"/>
    <s v="CohortAvg"/>
    <n v="0"/>
    <s v="CohortAvg_NoData_ERROR"/>
    <n v="0"/>
    <s v="CohortAvg"/>
    <n v="0"/>
    <s v="Zero"/>
    <n v="0"/>
    <s v="CohortAvg"/>
    <n v="0"/>
    <s v="CohortAvg"/>
    <n v="0"/>
    <n v="-52413.95"/>
    <n v="-31475.08"/>
    <n v="28380.65"/>
    <n v="0"/>
    <n v="0"/>
    <n v="0"/>
    <n v="0"/>
    <n v="1263102.83"/>
    <n v="0.102975"/>
    <n v="0.99670000000000003"/>
    <n v="0.102631"/>
    <s v="CohortTrend+Seasonal(0.997)"/>
    <n v="129633.64"/>
    <n v="129672.01"/>
    <n v="-38.369999999999997"/>
    <x v="0"/>
    <n v="0"/>
    <n v="0.78500000000000003"/>
    <n v="0.24"/>
    <n v="0"/>
    <n v="0"/>
    <n v="0"/>
    <n v="129672.01"/>
    <n v="1318611.2"/>
    <n v="9.8339999999999997E-2"/>
    <n v="-38.369999999999997"/>
    <n v="-38.369999999999997"/>
    <n v="0"/>
    <n v="-38.369999999999997"/>
    <n v="1263141.21"/>
    <s v="Forecast"/>
  </r>
  <r>
    <x v="24"/>
    <x v="3"/>
    <s v="202508"/>
    <n v="26"/>
    <n v="1574969.94"/>
    <n v="-3.9881090791571018E-2"/>
    <s v="CohortAvg"/>
    <n v="-1.8289608091733731E-2"/>
    <s v="CohortAvg"/>
    <n v="0.2494159871433671"/>
    <s v="CohortAvg"/>
    <n v="0"/>
    <s v="CohortAvg_NoData_ERROR"/>
    <n v="0"/>
    <s v="CohortAvg"/>
    <n v="0"/>
    <s v="Zero"/>
    <n v="0"/>
    <s v="CohortAvg"/>
    <n v="0"/>
    <s v="CohortAvg"/>
    <n v="0"/>
    <n v="-62811.519999999997"/>
    <n v="-28805.58"/>
    <n v="32735.22"/>
    <n v="0"/>
    <n v="0"/>
    <n v="0"/>
    <n v="0"/>
    <n v="1516088.06"/>
    <n v="9.8476999999999995E-2"/>
    <n v="0.99670000000000003"/>
    <n v="9.8147999999999999E-2"/>
    <s v="CohortTrend+Seasonal(0.997)"/>
    <n v="148800.45000000001"/>
    <n v="147807.13"/>
    <n v="993.33"/>
    <x v="0"/>
    <n v="0"/>
    <n v="0.78500000000000003"/>
    <n v="0.24"/>
    <n v="0"/>
    <n v="0"/>
    <n v="0"/>
    <n v="147807.13"/>
    <n v="1574969.94"/>
    <n v="9.3848000000000001E-2"/>
    <n v="993.33"/>
    <n v="993.33"/>
    <n v="0"/>
    <n v="993.33"/>
    <n v="1515094.74"/>
    <s v="Forecast"/>
  </r>
  <r>
    <x v="24"/>
    <x v="3"/>
    <s v="202509"/>
    <n v="25"/>
    <n v="20028.22"/>
    <n v="-0.25646784671937051"/>
    <s v="CohortAvg"/>
    <n v="-3.7521228382893172E-2"/>
    <s v="CohortAvg"/>
    <n v="0.5"/>
    <s v="CohortAvg"/>
    <n v="0"/>
    <s v="CohortAvg_NoData_ERROR"/>
    <n v="0"/>
    <s v="CohortAvg"/>
    <n v="0"/>
    <s v="Zero"/>
    <n v="0"/>
    <s v="CohortAvg"/>
    <n v="0"/>
    <s v="CohortAvg"/>
    <n v="0"/>
    <n v="-5136.59"/>
    <n v="-751.48"/>
    <n v="834.51"/>
    <n v="0"/>
    <n v="0"/>
    <n v="0"/>
    <n v="0"/>
    <n v="14974.65"/>
    <n v="9.3978000000000006E-2"/>
    <n v="0.99670000000000003"/>
    <n v="9.3663999999999997E-2"/>
    <s v="CohortTrend+Seasonal(0.997)"/>
    <n v="1402.59"/>
    <n v="1789.63"/>
    <n v="-387.04"/>
    <x v="0"/>
    <n v="0"/>
    <n v="0.78500000000000003"/>
    <n v="0.24"/>
    <n v="0"/>
    <n v="0"/>
    <n v="0"/>
    <n v="1789.63"/>
    <n v="20028.22"/>
    <n v="8.9355000000000004E-2"/>
    <n v="-387.04"/>
    <n v="-387.04"/>
    <n v="0"/>
    <n v="-387.04"/>
    <n v="15361.69"/>
    <s v="Forecast"/>
  </r>
  <r>
    <x v="24"/>
    <x v="4"/>
    <s v="202101"/>
    <n v="79"/>
    <n v="69701.539999999994"/>
    <n v="-0.13749865685757759"/>
    <s v="CohortAvg"/>
    <n v="-1.1537508069933901E-2"/>
    <s v="CohortAvg"/>
    <n v="0.13198660109905341"/>
    <s v="CohortAvg"/>
    <n v="4.6013437306645442E-2"/>
    <s v="CohortAvg_NonZero"/>
    <n v="0"/>
    <s v="CohortAvg"/>
    <n v="0"/>
    <s v="Zero"/>
    <n v="0"/>
    <s v="CohortAvg"/>
    <n v="0"/>
    <s v="CohortAvg"/>
    <n v="0"/>
    <n v="-9583.8700000000008"/>
    <n v="-804.18"/>
    <n v="766.64"/>
    <n v="0"/>
    <n v="0"/>
    <n v="0"/>
    <n v="0"/>
    <n v="60080.13"/>
    <n v="0.17010800000000001"/>
    <n v="0.93420000000000003"/>
    <n v="0.158918"/>
    <s v="CohortAvg+Seasonal(0.934)"/>
    <n v="9547.84"/>
    <n v="13365.19"/>
    <n v="-3817.35"/>
    <x v="0"/>
    <n v="0"/>
    <n v="0.78500000000000003"/>
    <n v="0.24"/>
    <n v="0"/>
    <n v="0"/>
    <n v="0"/>
    <n v="13365.19"/>
    <n v="69701.539999999994"/>
    <n v="0.191749"/>
    <n v="-3817.35"/>
    <n v="-3817.35"/>
    <n v="0"/>
    <n v="-3817.35"/>
    <n v="63897.48"/>
    <s v="Forecast"/>
  </r>
  <r>
    <x v="24"/>
    <x v="4"/>
    <s v="202201"/>
    <n v="61"/>
    <n v="7309.27"/>
    <n v="-9.8960457084561193E-2"/>
    <s v="CohortAvg"/>
    <n v="-9.5729368278295261E-3"/>
    <s v="CohortAvg"/>
    <n v="9.958340680942511E-2"/>
    <s v="CohortAvg"/>
    <n v="3.6322638125087868E-2"/>
    <s v="CohortAvg_NonZero"/>
    <n v="3.2243569734386802E-11"/>
    <s v="CohortAvg"/>
    <n v="0"/>
    <s v="Zero"/>
    <n v="0"/>
    <s v="CohortAvg"/>
    <n v="0"/>
    <s v="CohortAvg"/>
    <n v="0"/>
    <n v="-723.33"/>
    <n v="-69.97"/>
    <n v="60.66"/>
    <n v="0"/>
    <n v="0"/>
    <n v="0"/>
    <n v="0"/>
    <n v="6576.63"/>
    <n v="3.9081999999999999E-2"/>
    <n v="0.93420000000000003"/>
    <n v="3.6511000000000002E-2"/>
    <s v="CohortAvg+Seasonal(0.934)"/>
    <n v="240.12"/>
    <n v="322.05"/>
    <n v="-81.92"/>
    <x v="0"/>
    <n v="0"/>
    <n v="0.78500000000000003"/>
    <n v="0.24"/>
    <n v="0"/>
    <n v="0"/>
    <n v="0"/>
    <n v="322.05"/>
    <n v="7309.27"/>
    <n v="4.4060000000000002E-2"/>
    <n v="-81.92"/>
    <n v="-81.92"/>
    <n v="0"/>
    <n v="-81.92"/>
    <n v="6658.55"/>
    <s v="Forecast"/>
  </r>
  <r>
    <x v="24"/>
    <x v="4"/>
    <s v="202405"/>
    <n v="41"/>
    <n v="3200.64"/>
    <n v="-1.675320807195832E-2"/>
    <s v="CohortAvg"/>
    <n v="-1.046070931632191E-2"/>
    <s v="CohortAvg"/>
    <n v="0.1215717687733331"/>
    <s v="CohortAvg"/>
    <n v="0"/>
    <s v="CohortAvg_NoData_ERROR"/>
    <n v="0"/>
    <s v="CohortAvg"/>
    <n v="0"/>
    <s v="Zero"/>
    <n v="0"/>
    <s v="CohortAvg"/>
    <n v="0"/>
    <s v="CohortAvg"/>
    <n v="0"/>
    <n v="-53.62"/>
    <n v="-33.479999999999997"/>
    <n v="32.43"/>
    <n v="0"/>
    <n v="0"/>
    <n v="0"/>
    <n v="0"/>
    <n v="3145.96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200.64"/>
    <n v="0"/>
    <n v="0"/>
    <n v="0"/>
    <n v="0"/>
    <n v="0"/>
    <n v="3145.96"/>
    <s v="Forecast"/>
  </r>
  <r>
    <x v="24"/>
    <x v="4"/>
    <s v="202407"/>
    <n v="39"/>
    <n v="827.72"/>
    <n v="-5.3632824875355728E-2"/>
    <s v="CohortAvg"/>
    <n v="-1.049742809161505E-2"/>
    <s v="CohortAvg"/>
    <n v="0.1204573383695029"/>
    <s v="CohortAvg"/>
    <n v="0"/>
    <s v="CohortAvg_NoData_ERROR"/>
    <n v="0"/>
    <s v="CohortAvg"/>
    <n v="0"/>
    <s v="Zero"/>
    <n v="0"/>
    <s v="CohortAvg"/>
    <n v="0"/>
    <s v="CohortAvg"/>
    <n v="0"/>
    <n v="-44.39"/>
    <n v="-8.69"/>
    <n v="8.31"/>
    <n v="0"/>
    <n v="0"/>
    <n v="0"/>
    <n v="0"/>
    <n v="782.95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827.72"/>
    <n v="0"/>
    <n v="0"/>
    <n v="0"/>
    <n v="0"/>
    <n v="0"/>
    <n v="782.95"/>
    <s v="Forecast"/>
  </r>
  <r>
    <x v="24"/>
    <x v="4"/>
    <s v="202409"/>
    <n v="37"/>
    <n v="3510.96"/>
    <n v="-4.3488133189087563E-2"/>
    <s v="CohortAvg"/>
    <n v="-1.046707887114957E-2"/>
    <s v="CohortAvg"/>
    <n v="0.12081738888791289"/>
    <s v="CohortAvg"/>
    <n v="0"/>
    <s v="CohortAvg_NoData_ERROR"/>
    <n v="0"/>
    <s v="CohortAvg"/>
    <n v="0"/>
    <s v="Zero"/>
    <n v="0"/>
    <s v="CohortAvg"/>
    <n v="0"/>
    <s v="CohortAvg"/>
    <n v="0"/>
    <n v="-152.69"/>
    <n v="-36.75"/>
    <n v="35.35"/>
    <n v="0"/>
    <n v="0"/>
    <n v="0"/>
    <n v="0"/>
    <n v="3356.88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510.96"/>
    <n v="0"/>
    <n v="0"/>
    <n v="0"/>
    <n v="0"/>
    <n v="0"/>
    <n v="3356.88"/>
    <s v="Forecast"/>
  </r>
  <r>
    <x v="24"/>
    <x v="4"/>
    <s v="202504"/>
    <n v="30"/>
    <n v="3407.57"/>
    <n v="-1.298326583450825E-2"/>
    <s v="CohortAvg"/>
    <n v="-1.0430271912187381E-2"/>
    <s v="CohortAvg"/>
    <n v="0.12561216903172689"/>
    <s v="CohortAvg"/>
    <n v="0"/>
    <s v="CohortAvg_NoData_ERROR"/>
    <n v="0"/>
    <s v="CohortAvg"/>
    <n v="0"/>
    <s v="Zero"/>
    <n v="0"/>
    <s v="CohortAvg"/>
    <n v="0"/>
    <s v="CohortAvg"/>
    <n v="0"/>
    <n v="-44.24"/>
    <n v="-35.54"/>
    <n v="35.67"/>
    <n v="0"/>
    <n v="0"/>
    <n v="0"/>
    <n v="0"/>
    <n v="3363.46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3407.57"/>
    <n v="0"/>
    <n v="0"/>
    <n v="0"/>
    <n v="0"/>
    <n v="0"/>
    <n v="3363.46"/>
    <s v="Forecast"/>
  </r>
  <r>
    <x v="24"/>
    <x v="4"/>
    <s v="202507"/>
    <n v="27"/>
    <n v="7758.54"/>
    <n v="-1.168246184989302E-2"/>
    <s v="CohortAvg"/>
    <n v="-1.1548007681046021E-2"/>
    <s v="CohortAvg"/>
    <n v="0.13741216056163791"/>
    <s v="CohortAvg"/>
    <n v="0"/>
    <s v="CohortAvg_NoData_ERROR"/>
    <n v="0"/>
    <s v="CohortAvg"/>
    <n v="0"/>
    <s v="Zero"/>
    <n v="0"/>
    <s v="CohortAvg"/>
    <n v="0"/>
    <s v="CohortAvg"/>
    <n v="0"/>
    <n v="-90.64"/>
    <n v="-89.6"/>
    <n v="88.84"/>
    <n v="0"/>
    <n v="0"/>
    <n v="0"/>
    <n v="0"/>
    <n v="7667.15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7758.54"/>
    <n v="0"/>
    <n v="0"/>
    <n v="0"/>
    <n v="0"/>
    <n v="0"/>
    <n v="7667.15"/>
    <s v="Forecast"/>
  </r>
  <r>
    <x v="24"/>
    <x v="4"/>
    <s v="202508"/>
    <n v="26"/>
    <n v="29967.75"/>
    <n v="-7.6177328116600676E-3"/>
    <s v="CohortAvg"/>
    <n v="-3.9207403241787271E-3"/>
    <s v="CohortAvg"/>
    <n v="0.13668466758449421"/>
    <s v="CohortAvg"/>
    <n v="0"/>
    <s v="CohortAvg_NoData_ERROR"/>
    <n v="0"/>
    <s v="CohortAvg"/>
    <n v="0"/>
    <s v="Zero"/>
    <n v="0"/>
    <s v="CohortAvg"/>
    <n v="0"/>
    <s v="CohortAvg"/>
    <n v="0"/>
    <n v="-228.29"/>
    <n v="-117.5"/>
    <n v="341.34"/>
    <n v="0"/>
    <n v="0"/>
    <n v="0"/>
    <n v="0"/>
    <n v="29963.31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29967.75"/>
    <n v="0"/>
    <n v="0"/>
    <n v="0"/>
    <n v="0"/>
    <n v="0"/>
    <n v="29963.31"/>
    <s v="Forecast"/>
  </r>
  <r>
    <x v="24"/>
    <x v="4"/>
    <s v="202509"/>
    <n v="25"/>
    <n v="24414.84"/>
    <n v="0"/>
    <s v="CohortAvg"/>
    <n v="0"/>
    <s v="CohortAvg"/>
    <n v="0"/>
    <s v="CohortAvg"/>
    <n v="0"/>
    <s v="CohortAvg_NoData_ERROR"/>
    <n v="0"/>
    <s v="CohortAvg"/>
    <n v="0"/>
    <s v="Zero"/>
    <n v="0"/>
    <s v="CohortAvg"/>
    <n v="0"/>
    <s v="CohortAvg"/>
    <n v="0"/>
    <n v="0"/>
    <n v="0"/>
    <n v="0"/>
    <n v="0"/>
    <n v="0"/>
    <n v="0"/>
    <n v="0"/>
    <n v="24414.84"/>
    <n v="0"/>
    <n v="0.93420000000000003"/>
    <n v="0"/>
    <s v="Manual+Seasonal(0.934)"/>
    <n v="0"/>
    <n v="0"/>
    <n v="0"/>
    <x v="0"/>
    <n v="0"/>
    <n v="0.78500000000000003"/>
    <n v="0.24"/>
    <n v="0"/>
    <n v="0"/>
    <n v="0"/>
    <n v="0"/>
    <n v="24414.84"/>
    <n v="0"/>
    <n v="0"/>
    <n v="0"/>
    <n v="0"/>
    <n v="0"/>
    <n v="24414.84"/>
    <s v="Forecast"/>
  </r>
  <r>
    <x v="2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42E44-36A3-422E-9F5E-85979C947005}" name="PivotTable15" cacheId="2" dataOnRows="1" dataPosition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AE123" firstHeaderRow="1" firstDataRow="2" firstDataCol="2"/>
  <pivotFields count="56">
    <pivotField axis="axisCol" compact="0" outline="0" showAll="0" insertBlankRow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outline="0" showAll="0" insertBlankRow="1">
      <items count="7">
        <item x="0"/>
        <item x="1"/>
        <item x="2"/>
        <item x="3"/>
        <item x="4"/>
        <item x="5"/>
        <item t="default"/>
      </items>
    </pivotField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dataField="1"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compact="0" outline="0" showAll="0" insertBlankRow="1">
      <items count="4">
        <item x="0"/>
        <item x="1"/>
        <item x="2"/>
        <item t="default"/>
      </items>
    </pivotField>
    <pivotField dataField="1" compact="0" outline="0" showAll="0" insertBlankRow="1"/>
    <pivotField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dataField="1" compact="0" outline="0" showAll="0" insertBlankRow="1"/>
    <pivotField compact="0" outline="0" showAll="0" insertBlankRow="1"/>
    <pivotField compact="0" outline="0" showAll="0" insertBlankRow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sertBlankRow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sertBlankRow="1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-2"/>
    <field x="1"/>
  </rowFields>
  <rowItems count="119">
    <i>
      <x/>
      <x/>
    </i>
    <i r="1">
      <x v="1"/>
    </i>
    <i r="1">
      <x v="2"/>
    </i>
    <i r="1">
      <x v="3"/>
    </i>
    <i r="1">
      <x v="4"/>
    </i>
    <i r="1">
      <x v="5"/>
    </i>
    <i t="blank">
      <x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blank">
      <x v="1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t="blank">
      <x v="2"/>
    </i>
    <i i="3">
      <x v="3"/>
      <x/>
    </i>
    <i r="1" i="3">
      <x v="1"/>
    </i>
    <i r="1" i="3">
      <x v="2"/>
    </i>
    <i r="1" i="3">
      <x v="3"/>
    </i>
    <i r="1" i="3">
      <x v="4"/>
    </i>
    <i r="1" i="3">
      <x v="5"/>
    </i>
    <i t="blank">
      <x v="3"/>
    </i>
    <i i="4">
      <x v="4"/>
      <x/>
    </i>
    <i r="1" i="4">
      <x v="1"/>
    </i>
    <i r="1" i="4">
      <x v="2"/>
    </i>
    <i r="1" i="4">
      <x v="3"/>
    </i>
    <i r="1" i="4">
      <x v="4"/>
    </i>
    <i r="1" i="4">
      <x v="5"/>
    </i>
    <i t="blank">
      <x v="4"/>
    </i>
    <i i="5">
      <x v="5"/>
      <x/>
    </i>
    <i r="1" i="5">
      <x v="1"/>
    </i>
    <i r="1" i="5">
      <x v="2"/>
    </i>
    <i r="1" i="5">
      <x v="3"/>
    </i>
    <i r="1" i="5">
      <x v="4"/>
    </i>
    <i r="1" i="5">
      <x v="5"/>
    </i>
    <i t="blank">
      <x v="5"/>
    </i>
    <i i="6">
      <x v="6"/>
      <x/>
    </i>
    <i r="1" i="6">
      <x v="1"/>
    </i>
    <i r="1" i="6">
      <x v="2"/>
    </i>
    <i r="1" i="6">
      <x v="3"/>
    </i>
    <i r="1" i="6">
      <x v="4"/>
    </i>
    <i r="1" i="6">
      <x v="5"/>
    </i>
    <i t="blank">
      <x v="6"/>
    </i>
    <i i="7">
      <x v="7"/>
      <x/>
    </i>
    <i r="1" i="7">
      <x v="1"/>
    </i>
    <i r="1" i="7">
      <x v="2"/>
    </i>
    <i r="1" i="7">
      <x v="3"/>
    </i>
    <i r="1" i="7">
      <x v="4"/>
    </i>
    <i r="1" i="7">
      <x v="5"/>
    </i>
    <i t="blank">
      <x v="7"/>
    </i>
    <i i="8">
      <x v="8"/>
      <x/>
    </i>
    <i r="1" i="8">
      <x v="1"/>
    </i>
    <i r="1" i="8">
      <x v="2"/>
    </i>
    <i r="1" i="8">
      <x v="3"/>
    </i>
    <i r="1" i="8">
      <x v="4"/>
    </i>
    <i r="1" i="8">
      <x v="5"/>
    </i>
    <i t="blank">
      <x v="8"/>
    </i>
    <i i="9">
      <x v="9"/>
      <x/>
    </i>
    <i r="1" i="9">
      <x v="1"/>
    </i>
    <i r="1" i="9">
      <x v="2"/>
    </i>
    <i r="1" i="9">
      <x v="3"/>
    </i>
    <i r="1" i="9">
      <x v="4"/>
    </i>
    <i r="1" i="9">
      <x v="5"/>
    </i>
    <i t="blank">
      <x v="9"/>
    </i>
    <i i="10">
      <x v="10"/>
      <x/>
    </i>
    <i r="1" i="10">
      <x v="1"/>
    </i>
    <i r="1" i="10">
      <x v="2"/>
    </i>
    <i r="1" i="10">
      <x v="3"/>
    </i>
    <i r="1" i="10">
      <x v="4"/>
    </i>
    <i r="1" i="10">
      <x v="5"/>
    </i>
    <i t="blank">
      <x v="10"/>
    </i>
    <i i="11">
      <x v="11"/>
      <x/>
    </i>
    <i r="1" i="11">
      <x v="1"/>
    </i>
    <i r="1" i="11">
      <x v="2"/>
    </i>
    <i r="1" i="11">
      <x v="3"/>
    </i>
    <i r="1" i="11">
      <x v="4"/>
    </i>
    <i r="1" i="11">
      <x v="5"/>
    </i>
    <i t="blank">
      <x v="11"/>
    </i>
    <i i="12">
      <x v="12"/>
      <x/>
    </i>
    <i r="1" i="12">
      <x v="1"/>
    </i>
    <i r="1" i="12">
      <x v="2"/>
    </i>
    <i r="1" i="12">
      <x v="3"/>
    </i>
    <i r="1" i="12">
      <x v="4"/>
    </i>
    <i r="1" i="12">
      <x v="5"/>
    </i>
    <i t="blank">
      <x v="12"/>
    </i>
    <i i="13">
      <x v="13"/>
      <x/>
    </i>
    <i r="1" i="13">
      <x v="1"/>
    </i>
    <i r="1" i="13">
      <x v="2"/>
    </i>
    <i r="1" i="13">
      <x v="3"/>
    </i>
    <i r="1" i="13">
      <x v="4"/>
    </i>
    <i r="1" i="13">
      <x v="5"/>
    </i>
    <i t="blank">
      <x v="13"/>
    </i>
    <i i="14">
      <x v="14"/>
      <x/>
    </i>
    <i r="1" i="14">
      <x v="1"/>
    </i>
    <i r="1" i="14">
      <x v="2"/>
    </i>
    <i r="1" i="14">
      <x v="3"/>
    </i>
    <i r="1" i="14">
      <x v="4"/>
    </i>
    <i r="1" i="14">
      <x v="5"/>
    </i>
    <i t="blank">
      <x v="14"/>
    </i>
    <i i="15">
      <x v="15"/>
      <x/>
    </i>
    <i r="1" i="15">
      <x v="1"/>
    </i>
    <i r="1" i="15">
      <x v="2"/>
    </i>
    <i r="1" i="15">
      <x v="3"/>
    </i>
    <i r="1" i="15">
      <x v="4"/>
    </i>
    <i r="1" i="15">
      <x v="5"/>
    </i>
    <i t="blank">
      <x v="15"/>
    </i>
    <i i="16">
      <x v="16"/>
      <x/>
    </i>
    <i r="1" i="16">
      <x v="1"/>
    </i>
    <i r="1" i="16">
      <x v="2"/>
    </i>
    <i r="1" i="16">
      <x v="3"/>
    </i>
    <i r="1" i="16">
      <x v="4"/>
    </i>
    <i r="1" i="16">
      <x v="5"/>
    </i>
    <i t="blank">
      <x v="16"/>
    </i>
  </rowItems>
  <colFields count="1">
    <field x="0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dataFields count="17">
    <dataField name="Sum of ClosingGBV" fld="29" baseField="0" baseItem="0"/>
    <dataField name="Sum of Prior_Provision_Balance" fld="35" baseField="0" baseItem="0"/>
    <dataField name="Sum of Total_Provision_Balance" fld="34" baseField="0" baseItem="0"/>
    <dataField name="Sum of Total_Provision_Movement" fld="36" baseField="0" baseItem="0"/>
    <dataField name="Sum of Debt_Sale_WriteOffs" fld="38" baseField="0" baseItem="0"/>
    <dataField name="Sum of DS_Provision_For_Pool" fld="41" baseField="0" baseItem="0"/>
    <dataField name="Sum of Debt_Sale_Provision_Release" fld="42" baseField="0" baseItem="0"/>
    <dataField name="Average of Debt_Sale_Proceeds_Rate" fld="40" subtotal="average" baseField="1" baseItem="0"/>
    <dataField name="Sum of Debt_Sale_Proceeds" fld="43" baseField="0" baseItem="0"/>
    <dataField name="Sum of Core_Provision" fld="44" baseField="0" baseItem="0"/>
    <dataField name="Sum of Core_GBV" fld="45" baseField="0" baseItem="0"/>
    <dataField name="Sum of Core_Coverage_Ratio" fld="46" baseField="0" baseItem="0"/>
    <dataField name="Sum of Non_DS_Provision_Movement" fld="47" baseField="0" baseItem="0"/>
    <dataField name="Sum of Gross_Impairment_ExcludingDS" fld="48" baseField="0" baseItem="0"/>
    <dataField name="Sum of Debt_Sale_Impact" fld="49" baseField="0" baseItem="0"/>
    <dataField name="Sum of Net_Impairment" fld="50" baseField="0" baseItem="0"/>
    <dataField name="Sum of ClosingNBV" fld="51" baseField="0" baseItem="0"/>
  </dataFields>
  <formats count="2">
    <format dxfId="0">
      <pivotArea outline="0" fieldPosition="0">
        <references count="3">
          <reference field="4294967294" count="15" selected="0">
            <x v="0"/>
            <x v="1"/>
            <x v="2"/>
            <x v="3"/>
            <x v="4"/>
            <x v="5"/>
            <x v="6"/>
            <x v="8"/>
            <x v="9"/>
            <x v="10"/>
            <x v="11"/>
            <x v="12"/>
            <x v="13"/>
            <x v="14"/>
            <x v="15"/>
          </reference>
          <reference field="0" count="2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">
      <pivotArea outline="0" fieldPosition="0">
        <references count="3">
          <reference field="4294967294" count="1" selected="0">
            <x v="16"/>
          </reference>
          <reference field="0" count="2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  <reference field="1" count="5" selected="0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B6FF-189B-4271-AE8E-049CFD7281FC}">
  <dimension ref="B3:AE122"/>
  <sheetViews>
    <sheetView tabSelected="1" topLeftCell="A31" workbookViewId="0">
      <selection activeCell="C58" sqref="C58"/>
    </sheetView>
  </sheetViews>
  <sheetFormatPr defaultRowHeight="14.4" x14ac:dyDescent="0.3"/>
  <cols>
    <col min="2" max="2" width="59.33203125" style="3" bestFit="1" customWidth="1"/>
    <col min="4" max="4" width="51.44140625" customWidth="1"/>
    <col min="5" max="5" width="11" bestFit="1" customWidth="1"/>
    <col min="6" max="6" width="16.33203125" bestFit="1" customWidth="1"/>
    <col min="7" max="9" width="12.21875" bestFit="1" customWidth="1"/>
    <col min="10" max="30" width="11.21875" bestFit="1" customWidth="1"/>
    <col min="31" max="32" width="7.109375" bestFit="1" customWidth="1"/>
    <col min="33" max="33" width="10.6640625" bestFit="1" customWidth="1"/>
    <col min="34" max="34" width="15.5546875" bestFit="1" customWidth="1"/>
    <col min="35" max="35" width="12.77734375" bestFit="1" customWidth="1"/>
    <col min="36" max="36" width="10.6640625" bestFit="1" customWidth="1"/>
    <col min="37" max="37" width="11.6640625" bestFit="1" customWidth="1"/>
    <col min="38" max="39" width="10.6640625" bestFit="1" customWidth="1"/>
    <col min="40" max="40" width="15.5546875" bestFit="1" customWidth="1"/>
    <col min="41" max="41" width="12.77734375" bestFit="1" customWidth="1"/>
    <col min="42" max="42" width="10.6640625" bestFit="1" customWidth="1"/>
    <col min="43" max="44" width="11.6640625" bestFit="1" customWidth="1"/>
    <col min="45" max="45" width="10.6640625" bestFit="1" customWidth="1"/>
    <col min="46" max="46" width="15.5546875" bestFit="1" customWidth="1"/>
    <col min="47" max="47" width="12.77734375" bestFit="1" customWidth="1"/>
    <col min="48" max="48" width="10.6640625" bestFit="1" customWidth="1"/>
    <col min="49" max="49" width="11.6640625" bestFit="1" customWidth="1"/>
    <col min="50" max="51" width="10.6640625" bestFit="1" customWidth="1"/>
    <col min="52" max="52" width="15.5546875" bestFit="1" customWidth="1"/>
    <col min="53" max="53" width="12.77734375" bestFit="1" customWidth="1"/>
    <col min="54" max="54" width="10.6640625" bestFit="1" customWidth="1"/>
    <col min="55" max="55" width="11.6640625" bestFit="1" customWidth="1"/>
    <col min="56" max="57" width="10.6640625" bestFit="1" customWidth="1"/>
    <col min="58" max="58" width="15.5546875" bestFit="1" customWidth="1"/>
    <col min="59" max="59" width="12.77734375" bestFit="1" customWidth="1"/>
    <col min="60" max="60" width="9.6640625" bestFit="1" customWidth="1"/>
    <col min="61" max="61" width="10.6640625" bestFit="1" customWidth="1"/>
    <col min="62" max="62" width="11.6640625" bestFit="1" customWidth="1"/>
    <col min="63" max="63" width="9.6640625" bestFit="1" customWidth="1"/>
    <col min="64" max="64" width="15.5546875" bestFit="1" customWidth="1"/>
    <col min="65" max="65" width="12.77734375" bestFit="1" customWidth="1"/>
    <col min="66" max="66" width="9.6640625" bestFit="1" customWidth="1"/>
    <col min="67" max="67" width="11.6640625" bestFit="1" customWidth="1"/>
    <col min="68" max="69" width="10.6640625" bestFit="1" customWidth="1"/>
    <col min="70" max="70" width="15.5546875" bestFit="1" customWidth="1"/>
    <col min="71" max="71" width="12.77734375" bestFit="1" customWidth="1"/>
    <col min="72" max="72" width="9.6640625" bestFit="1" customWidth="1"/>
    <col min="73" max="74" width="11.6640625" bestFit="1" customWidth="1"/>
    <col min="75" max="75" width="9.6640625" bestFit="1" customWidth="1"/>
    <col min="76" max="76" width="15.5546875" bestFit="1" customWidth="1"/>
    <col min="77" max="77" width="12.77734375" bestFit="1" customWidth="1"/>
    <col min="78" max="78" width="9.6640625" bestFit="1" customWidth="1"/>
    <col min="79" max="80" width="11.6640625" bestFit="1" customWidth="1"/>
    <col min="81" max="81" width="9.6640625" bestFit="1" customWidth="1"/>
    <col min="82" max="82" width="15.5546875" bestFit="1" customWidth="1"/>
    <col min="83" max="83" width="12.77734375" bestFit="1" customWidth="1"/>
    <col min="84" max="84" width="8.6640625" bestFit="1" customWidth="1"/>
    <col min="85" max="86" width="11.6640625" bestFit="1" customWidth="1"/>
    <col min="87" max="87" width="9.6640625" bestFit="1" customWidth="1"/>
    <col min="88" max="88" width="15.5546875" bestFit="1" customWidth="1"/>
    <col min="89" max="89" width="12.77734375" bestFit="1" customWidth="1"/>
    <col min="90" max="90" width="9.6640625" bestFit="1" customWidth="1"/>
    <col min="91" max="92" width="11.6640625" bestFit="1" customWidth="1"/>
    <col min="93" max="93" width="9.6640625" bestFit="1" customWidth="1"/>
    <col min="94" max="94" width="15.5546875" bestFit="1" customWidth="1"/>
    <col min="95" max="95" width="12.77734375" bestFit="1" customWidth="1"/>
    <col min="96" max="96" width="9.6640625" bestFit="1" customWidth="1"/>
    <col min="97" max="97" width="11.6640625" bestFit="1" customWidth="1"/>
    <col min="98" max="98" width="10.6640625" bestFit="1" customWidth="1"/>
    <col min="99" max="99" width="9.6640625" bestFit="1" customWidth="1"/>
    <col min="100" max="100" width="15.5546875" bestFit="1" customWidth="1"/>
    <col min="101" max="101" width="12.77734375" bestFit="1" customWidth="1"/>
    <col min="102" max="102" width="9.6640625" bestFit="1" customWidth="1"/>
    <col min="103" max="103" width="11.6640625" bestFit="1" customWidth="1"/>
    <col min="104" max="104" width="10.6640625" bestFit="1" customWidth="1"/>
    <col min="105" max="105" width="9.6640625" bestFit="1" customWidth="1"/>
    <col min="106" max="106" width="15.5546875" bestFit="1" customWidth="1"/>
    <col min="107" max="107" width="12.77734375" bestFit="1" customWidth="1"/>
    <col min="108" max="108" width="9.6640625" bestFit="1" customWidth="1"/>
    <col min="109" max="109" width="11.6640625" bestFit="1" customWidth="1"/>
    <col min="110" max="110" width="10.6640625" bestFit="1" customWidth="1"/>
    <col min="111" max="111" width="9.6640625" bestFit="1" customWidth="1"/>
    <col min="112" max="112" width="15.5546875" bestFit="1" customWidth="1"/>
    <col min="113" max="113" width="12.77734375" bestFit="1" customWidth="1"/>
    <col min="114" max="114" width="9.6640625" bestFit="1" customWidth="1"/>
    <col min="115" max="115" width="11.6640625" bestFit="1" customWidth="1"/>
    <col min="116" max="116" width="10.6640625" bestFit="1" customWidth="1"/>
    <col min="117" max="117" width="9.6640625" bestFit="1" customWidth="1"/>
    <col min="118" max="118" width="15.5546875" bestFit="1" customWidth="1"/>
    <col min="119" max="119" width="12.77734375" bestFit="1" customWidth="1"/>
    <col min="120" max="120" width="9.6640625" bestFit="1" customWidth="1"/>
    <col min="121" max="121" width="11.6640625" bestFit="1" customWidth="1"/>
    <col min="122" max="122" width="10.6640625" bestFit="1" customWidth="1"/>
    <col min="123" max="123" width="9.6640625" bestFit="1" customWidth="1"/>
    <col min="124" max="124" width="15.5546875" bestFit="1" customWidth="1"/>
    <col min="125" max="125" width="12.77734375" bestFit="1" customWidth="1"/>
    <col min="126" max="127" width="9.6640625" bestFit="1" customWidth="1"/>
    <col min="128" max="128" width="10.6640625" bestFit="1" customWidth="1"/>
    <col min="129" max="129" width="9.6640625" bestFit="1" customWidth="1"/>
    <col min="130" max="130" width="15.5546875" bestFit="1" customWidth="1"/>
    <col min="131" max="131" width="12.77734375" bestFit="1" customWidth="1"/>
    <col min="132" max="132" width="9.6640625" bestFit="1" customWidth="1"/>
    <col min="133" max="133" width="11.6640625" bestFit="1" customWidth="1"/>
    <col min="134" max="134" width="10.6640625" bestFit="1" customWidth="1"/>
    <col min="135" max="135" width="8.6640625" bestFit="1" customWidth="1"/>
    <col min="136" max="136" width="15.5546875" bestFit="1" customWidth="1"/>
    <col min="137" max="137" width="12.77734375" bestFit="1" customWidth="1"/>
    <col min="138" max="138" width="9.6640625" bestFit="1" customWidth="1"/>
    <col min="139" max="139" width="11.6640625" bestFit="1" customWidth="1"/>
    <col min="140" max="140" width="10.6640625" bestFit="1" customWidth="1"/>
    <col min="141" max="141" width="9.6640625" bestFit="1" customWidth="1"/>
    <col min="142" max="142" width="15.5546875" bestFit="1" customWidth="1"/>
    <col min="143" max="143" width="12.77734375" bestFit="1" customWidth="1"/>
    <col min="144" max="144" width="9.6640625" bestFit="1" customWidth="1"/>
    <col min="145" max="145" width="11.6640625" bestFit="1" customWidth="1"/>
    <col min="146" max="146" width="10.6640625" bestFit="1" customWidth="1"/>
    <col min="147" max="147" width="9.6640625" bestFit="1" customWidth="1"/>
    <col min="148" max="148" width="15.5546875" bestFit="1" customWidth="1"/>
    <col min="149" max="149" width="12.77734375" bestFit="1" customWidth="1"/>
    <col min="150" max="150" width="9.6640625" bestFit="1" customWidth="1"/>
    <col min="151" max="151" width="11.6640625" bestFit="1" customWidth="1"/>
    <col min="152" max="152" width="10.6640625" bestFit="1" customWidth="1"/>
    <col min="153" max="153" width="9.6640625" bestFit="1" customWidth="1"/>
    <col min="154" max="154" width="15.5546875" bestFit="1" customWidth="1"/>
    <col min="155" max="155" width="9" bestFit="1" customWidth="1"/>
    <col min="156" max="156" width="11.77734375" bestFit="1" customWidth="1"/>
    <col min="157" max="157" width="12.6640625" bestFit="1" customWidth="1"/>
  </cols>
  <sheetData>
    <row r="3" spans="4:31" x14ac:dyDescent="0.3">
      <c r="F3" t="s">
        <v>0</v>
      </c>
    </row>
    <row r="4" spans="4:31" x14ac:dyDescent="0.3">
      <c r="D4" t="s">
        <v>1</v>
      </c>
      <c r="E4" t="s">
        <v>2</v>
      </c>
      <c r="F4" s="1">
        <v>45961</v>
      </c>
      <c r="G4" s="1">
        <v>45991</v>
      </c>
      <c r="H4" s="1">
        <v>46022</v>
      </c>
      <c r="I4" s="1">
        <v>46053</v>
      </c>
      <c r="J4" s="1">
        <v>46081</v>
      </c>
      <c r="K4" s="1">
        <v>46112</v>
      </c>
      <c r="L4" s="1">
        <v>46142</v>
      </c>
      <c r="M4" s="1">
        <v>46173</v>
      </c>
      <c r="N4" s="1">
        <v>46203</v>
      </c>
      <c r="O4" s="1">
        <v>46234</v>
      </c>
      <c r="P4" s="1">
        <v>46265</v>
      </c>
      <c r="Q4" s="1">
        <v>46295</v>
      </c>
      <c r="R4" s="1">
        <v>46326</v>
      </c>
      <c r="S4" s="1">
        <v>46356</v>
      </c>
      <c r="T4" s="1">
        <v>46387</v>
      </c>
      <c r="U4" s="1">
        <v>46418</v>
      </c>
      <c r="V4" s="1">
        <v>46446</v>
      </c>
      <c r="W4" s="1">
        <v>46477</v>
      </c>
      <c r="X4" s="1">
        <v>46507</v>
      </c>
      <c r="Y4" s="1">
        <v>46538</v>
      </c>
      <c r="Z4" s="1">
        <v>46568</v>
      </c>
      <c r="AA4" s="1">
        <v>46599</v>
      </c>
      <c r="AB4" s="1">
        <v>46630</v>
      </c>
      <c r="AC4" s="1">
        <v>46660</v>
      </c>
      <c r="AD4" s="1">
        <v>46691</v>
      </c>
      <c r="AE4" t="s">
        <v>3</v>
      </c>
    </row>
    <row r="5" spans="4:31" x14ac:dyDescent="0.3">
      <c r="D5" t="s">
        <v>4</v>
      </c>
      <c r="E5" t="s">
        <v>5</v>
      </c>
      <c r="F5" s="2">
        <v>113897568.06999999</v>
      </c>
      <c r="G5" s="2">
        <v>109769545.60999998</v>
      </c>
      <c r="H5" s="2">
        <v>102936524.20999999</v>
      </c>
      <c r="I5" s="2">
        <v>98690698.950000003</v>
      </c>
      <c r="J5" s="2">
        <v>92101595.5</v>
      </c>
      <c r="K5" s="2">
        <v>83359839.639999986</v>
      </c>
      <c r="L5" s="2">
        <v>77500102.229999989</v>
      </c>
      <c r="M5" s="2">
        <v>72115827.280000001</v>
      </c>
      <c r="N5" s="2">
        <v>65704085.020000003</v>
      </c>
      <c r="O5" s="2">
        <v>61673190.849999994</v>
      </c>
      <c r="P5" s="2">
        <v>58079404.119999997</v>
      </c>
      <c r="Q5" s="2">
        <v>53530072.49000001</v>
      </c>
      <c r="R5" s="2">
        <v>50634506.190000005</v>
      </c>
      <c r="S5" s="2">
        <v>47949987.780000001</v>
      </c>
      <c r="T5" s="2">
        <v>44457692.779999994</v>
      </c>
      <c r="U5" s="2">
        <v>42167735.04999999</v>
      </c>
      <c r="V5" s="2">
        <v>40010416.979999997</v>
      </c>
      <c r="W5" s="2">
        <v>37228608.32</v>
      </c>
      <c r="X5" s="2">
        <v>35352527.079999998</v>
      </c>
      <c r="Y5" s="2">
        <v>33577548.510000005</v>
      </c>
      <c r="Z5" s="2">
        <v>31331464.43</v>
      </c>
      <c r="AA5" s="2">
        <v>29776948.830000002</v>
      </c>
      <c r="AB5" s="2">
        <v>28304181.259999998</v>
      </c>
      <c r="AC5" s="2">
        <v>26477289.740000002</v>
      </c>
      <c r="AD5" s="2">
        <v>25181987.68</v>
      </c>
    </row>
    <row r="6" spans="4:31" x14ac:dyDescent="0.3">
      <c r="E6" t="s">
        <v>6</v>
      </c>
      <c r="F6" s="2">
        <v>5371841.5700000003</v>
      </c>
      <c r="G6" s="2">
        <v>5223202.9399999995</v>
      </c>
      <c r="H6" s="2">
        <v>4841580.7699999996</v>
      </c>
      <c r="I6" s="2">
        <v>4708872.08</v>
      </c>
      <c r="J6" s="2">
        <v>4579845.4600000009</v>
      </c>
      <c r="K6" s="2">
        <v>4251601.1400000006</v>
      </c>
      <c r="L6" s="2">
        <v>4138216.46</v>
      </c>
      <c r="M6" s="2">
        <v>4029135.85</v>
      </c>
      <c r="N6" s="2">
        <v>3754120.9799999995</v>
      </c>
      <c r="O6" s="2">
        <v>3659162.4500000011</v>
      </c>
      <c r="P6" s="2">
        <v>3568014.27</v>
      </c>
      <c r="Q6" s="2">
        <v>3337017.8599999994</v>
      </c>
      <c r="R6" s="2">
        <v>3257614.98</v>
      </c>
      <c r="S6" s="2">
        <v>3181359.5199999996</v>
      </c>
      <c r="T6" s="2">
        <v>2986412.0300000003</v>
      </c>
      <c r="U6" s="2">
        <v>2919679.73</v>
      </c>
      <c r="V6" s="2">
        <v>2855503.72</v>
      </c>
      <c r="W6" s="2">
        <v>2689593.6799999997</v>
      </c>
      <c r="X6" s="2">
        <v>2633117.6000000006</v>
      </c>
      <c r="Y6" s="2">
        <v>2578716.9999999995</v>
      </c>
      <c r="Z6" s="2">
        <v>2436431.3700000006</v>
      </c>
      <c r="AA6" s="2">
        <v>2388282.1999999997</v>
      </c>
      <c r="AB6" s="2">
        <v>2341826.1400000006</v>
      </c>
      <c r="AC6" s="2">
        <v>2218838.0299999998</v>
      </c>
      <c r="AD6" s="2">
        <v>2177489.11</v>
      </c>
    </row>
    <row r="7" spans="4:31" x14ac:dyDescent="0.3">
      <c r="E7" t="s">
        <v>7</v>
      </c>
      <c r="F7" s="2">
        <v>103679111.19</v>
      </c>
      <c r="G7" s="2">
        <v>101061435.57999998</v>
      </c>
      <c r="H7" s="2">
        <v>97385448.030000001</v>
      </c>
      <c r="I7" s="2">
        <v>94876254.170000017</v>
      </c>
      <c r="J7" s="2">
        <v>91476123.959999993</v>
      </c>
      <c r="K7" s="2">
        <v>86943372.620000005</v>
      </c>
      <c r="L7" s="2">
        <v>83587701.650000006</v>
      </c>
      <c r="M7" s="2">
        <v>80294972.140000001</v>
      </c>
      <c r="N7" s="2">
        <v>76310556.940000013</v>
      </c>
      <c r="O7" s="2">
        <v>73510515.310000002</v>
      </c>
      <c r="P7" s="2">
        <v>70927745.469999999</v>
      </c>
      <c r="Q7" s="2">
        <v>67728366.209999993</v>
      </c>
      <c r="R7" s="2">
        <v>65549881.5</v>
      </c>
      <c r="S7" s="2">
        <v>63520435.580000006</v>
      </c>
      <c r="T7" s="2">
        <v>60894123.399999991</v>
      </c>
      <c r="U7" s="2">
        <v>59122989.519999988</v>
      </c>
      <c r="V7" s="2">
        <v>57443736.810000002</v>
      </c>
      <c r="W7" s="2">
        <v>55204425.460000008</v>
      </c>
      <c r="X7" s="2">
        <v>53694365.589999996</v>
      </c>
      <c r="Y7" s="2">
        <v>52245335.119999997</v>
      </c>
      <c r="Z7" s="2">
        <v>50285950.059999995</v>
      </c>
      <c r="AA7" s="2">
        <v>48959050.060000002</v>
      </c>
      <c r="AB7" s="2">
        <v>47677296.519999996</v>
      </c>
      <c r="AC7" s="2">
        <v>45937752.960000001</v>
      </c>
      <c r="AD7" s="2">
        <v>44752435.609999999</v>
      </c>
    </row>
    <row r="8" spans="4:31" x14ac:dyDescent="0.3">
      <c r="E8" t="s">
        <v>8</v>
      </c>
      <c r="F8" s="2">
        <v>41315670.859999992</v>
      </c>
      <c r="G8" s="2">
        <v>39556219.140000001</v>
      </c>
      <c r="H8" s="2">
        <v>37336199.149999999</v>
      </c>
      <c r="I8" s="2">
        <v>35632552.750000007</v>
      </c>
      <c r="J8" s="2">
        <v>33623577.489999995</v>
      </c>
      <c r="K8" s="2">
        <v>31162155.079999994</v>
      </c>
      <c r="L8" s="2">
        <v>29246383.739999995</v>
      </c>
      <c r="M8" s="2">
        <v>27393283.34</v>
      </c>
      <c r="N8" s="2">
        <v>25292023.039999995</v>
      </c>
      <c r="O8" s="2">
        <v>23716244.84</v>
      </c>
      <c r="P8" s="2">
        <v>22263159.239999998</v>
      </c>
      <c r="Q8" s="2">
        <v>20620269.890000001</v>
      </c>
      <c r="R8" s="2">
        <v>19406426.34</v>
      </c>
      <c r="S8" s="2">
        <v>18285525.299999997</v>
      </c>
      <c r="T8" s="2">
        <v>16999179.719999999</v>
      </c>
      <c r="U8" s="2">
        <v>16049403.93</v>
      </c>
      <c r="V8" s="2">
        <v>15164838.040000001</v>
      </c>
      <c r="W8" s="2">
        <v>14137983.780000003</v>
      </c>
      <c r="X8" s="2">
        <v>13376570.07</v>
      </c>
      <c r="Y8" s="2">
        <v>12662645.099999998</v>
      </c>
      <c r="Z8" s="2">
        <v>11829640.989999998</v>
      </c>
      <c r="AA8" s="2">
        <v>11208299.23</v>
      </c>
      <c r="AB8" s="2">
        <v>10623213.380000001</v>
      </c>
      <c r="AC8" s="2">
        <v>9940195.3800000008</v>
      </c>
      <c r="AD8" s="2">
        <v>9427385.5900000017</v>
      </c>
    </row>
    <row r="9" spans="4:31" x14ac:dyDescent="0.3">
      <c r="E9" t="s">
        <v>9</v>
      </c>
      <c r="F9" s="2">
        <v>3280578.0200000005</v>
      </c>
      <c r="G9" s="2">
        <v>2903252.9699999997</v>
      </c>
      <c r="H9" s="2">
        <v>2431413.6999999997</v>
      </c>
      <c r="I9" s="2">
        <v>2134083.3199999998</v>
      </c>
      <c r="J9" s="2">
        <v>1865957.2700000003</v>
      </c>
      <c r="K9" s="2">
        <v>1530356.81</v>
      </c>
      <c r="L9" s="2">
        <v>1337102.1000000001</v>
      </c>
      <c r="M9" s="2">
        <v>1168134.6499999999</v>
      </c>
      <c r="N9" s="2">
        <v>972359.5</v>
      </c>
      <c r="O9" s="2">
        <v>851375.28</v>
      </c>
      <c r="P9" s="2">
        <v>746433.3</v>
      </c>
      <c r="Q9" s="2">
        <v>624711.68999999994</v>
      </c>
      <c r="R9" s="2">
        <v>550189.77999999991</v>
      </c>
      <c r="S9" s="2">
        <v>485685.34000000008</v>
      </c>
      <c r="T9" s="2">
        <v>411313.43000000005</v>
      </c>
      <c r="U9" s="2">
        <v>365537.36000000004</v>
      </c>
      <c r="V9" s="2">
        <v>325923.02</v>
      </c>
      <c r="W9" s="2">
        <v>280314.74</v>
      </c>
      <c r="X9" s="2">
        <v>252175.11000000002</v>
      </c>
      <c r="Y9" s="2">
        <v>227808.00000000003</v>
      </c>
      <c r="Z9" s="2">
        <v>199771.26</v>
      </c>
      <c r="AA9" s="2">
        <v>182423.03</v>
      </c>
      <c r="AB9" s="2">
        <v>167382.56</v>
      </c>
      <c r="AC9" s="2">
        <v>150098.83000000002</v>
      </c>
      <c r="AD9" s="2">
        <v>139351.31</v>
      </c>
    </row>
    <row r="10" spans="4:31" x14ac:dyDescent="0.3">
      <c r="E10" t="s">
        <v>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2" spans="4:31" x14ac:dyDescent="0.3">
      <c r="D12" t="s">
        <v>10</v>
      </c>
      <c r="E12" t="s">
        <v>5</v>
      </c>
      <c r="F12" s="2">
        <v>16065717.330000002</v>
      </c>
      <c r="G12" s="2">
        <v>13003289.880000001</v>
      </c>
      <c r="H12" s="2">
        <v>15557185.429999998</v>
      </c>
      <c r="I12" s="2">
        <v>13806282.979999999</v>
      </c>
      <c r="J12" s="2">
        <v>15342044.930000002</v>
      </c>
      <c r="K12" s="2">
        <v>15299265.77</v>
      </c>
      <c r="L12" s="2">
        <v>13796485.99</v>
      </c>
      <c r="M12" s="2">
        <v>14313256.930000002</v>
      </c>
      <c r="N12" s="2">
        <v>13297852.920000002</v>
      </c>
      <c r="O12" s="2">
        <v>12827794.629999999</v>
      </c>
      <c r="P12" s="2">
        <v>12255141.370000001</v>
      </c>
      <c r="Q12" s="2">
        <v>12782152.98</v>
      </c>
      <c r="R12" s="2">
        <v>12309290.529999999</v>
      </c>
      <c r="S12" s="2">
        <v>12200545.610000001</v>
      </c>
      <c r="T12" s="2">
        <v>13470194.9</v>
      </c>
      <c r="U12" s="2">
        <v>10953305.779999999</v>
      </c>
      <c r="V12" s="2">
        <v>11194018.289999999</v>
      </c>
      <c r="W12" s="2">
        <v>10627109.500000002</v>
      </c>
      <c r="X12" s="2">
        <v>9520610.6499999985</v>
      </c>
      <c r="Y12" s="2">
        <v>9757106.0199999977</v>
      </c>
      <c r="Z12" s="2">
        <v>8902172.8300000001</v>
      </c>
      <c r="AA12" s="2">
        <v>8605642.8099999987</v>
      </c>
      <c r="AB12" s="2">
        <v>8206156.9300000006</v>
      </c>
      <c r="AC12" s="2">
        <v>8630751.3599999994</v>
      </c>
      <c r="AD12" s="2">
        <v>8611708.3499999996</v>
      </c>
    </row>
    <row r="13" spans="4:31" x14ac:dyDescent="0.3">
      <c r="E13" t="s">
        <v>6</v>
      </c>
      <c r="F13" s="2">
        <v>563720.19999999995</v>
      </c>
      <c r="G13" s="2">
        <v>811793.08</v>
      </c>
      <c r="H13" s="2">
        <v>444660.08999999997</v>
      </c>
      <c r="I13" s="2">
        <v>545901.77999999991</v>
      </c>
      <c r="J13" s="2">
        <v>609681.06999999983</v>
      </c>
      <c r="K13" s="2">
        <v>730802.24</v>
      </c>
      <c r="L13" s="2">
        <v>877910.07999999984</v>
      </c>
      <c r="M13" s="2">
        <v>988302.71</v>
      </c>
      <c r="N13" s="2">
        <v>830467.35000000009</v>
      </c>
      <c r="O13" s="2">
        <v>937452.38</v>
      </c>
      <c r="P13" s="2">
        <v>857202.54000000015</v>
      </c>
      <c r="Q13" s="2">
        <v>1061810.07</v>
      </c>
      <c r="R13" s="2">
        <v>1100561.9500000002</v>
      </c>
      <c r="S13" s="2">
        <v>848522.01000000013</v>
      </c>
      <c r="T13" s="2">
        <v>464020.7</v>
      </c>
      <c r="U13" s="2">
        <v>556708.22000000009</v>
      </c>
      <c r="V13" s="2">
        <v>606707.18999999994</v>
      </c>
      <c r="W13" s="2">
        <v>718031.04000000015</v>
      </c>
      <c r="X13" s="2">
        <v>833662.33</v>
      </c>
      <c r="Y13" s="2">
        <v>936030.48</v>
      </c>
      <c r="Z13" s="2">
        <v>795677.58999999985</v>
      </c>
      <c r="AA13" s="2">
        <v>879726.37</v>
      </c>
      <c r="AB13" s="2">
        <v>787292.24</v>
      </c>
      <c r="AC13" s="2">
        <v>953374.8</v>
      </c>
      <c r="AD13" s="2">
        <v>965363.20999999985</v>
      </c>
    </row>
    <row r="14" spans="4:31" x14ac:dyDescent="0.3">
      <c r="E14" t="s">
        <v>7</v>
      </c>
      <c r="F14" s="2">
        <v>5977924.1200000001</v>
      </c>
      <c r="G14" s="2">
        <v>4833174.1000000006</v>
      </c>
      <c r="H14" s="2">
        <v>4583285.6300000008</v>
      </c>
      <c r="I14" s="2">
        <v>5393101.6600000011</v>
      </c>
      <c r="J14" s="2">
        <v>5862644.870000002</v>
      </c>
      <c r="K14" s="2">
        <v>6402576.1800000016</v>
      </c>
      <c r="L14" s="2">
        <v>5195565.6799999988</v>
      </c>
      <c r="M14" s="2">
        <v>5560138.7600000007</v>
      </c>
      <c r="N14" s="2">
        <v>5536138.0300000012</v>
      </c>
      <c r="O14" s="2">
        <v>6041740.370000002</v>
      </c>
      <c r="P14" s="2">
        <v>5995908.9900000012</v>
      </c>
      <c r="Q14" s="2">
        <v>6747182.0399999982</v>
      </c>
      <c r="R14" s="2">
        <v>6851969.4299999997</v>
      </c>
      <c r="S14" s="2">
        <v>7294082.4199999981</v>
      </c>
      <c r="T14" s="2">
        <v>6728004.5</v>
      </c>
      <c r="U14" s="2">
        <v>7578034.2699999996</v>
      </c>
      <c r="V14" s="2">
        <v>7866158.629999999</v>
      </c>
      <c r="W14" s="2">
        <v>8168355.0799999982</v>
      </c>
      <c r="X14" s="2">
        <v>6401097.5099999998</v>
      </c>
      <c r="Y14" s="2">
        <v>6538489.9299999997</v>
      </c>
      <c r="Z14" s="2">
        <v>6272348.3099999987</v>
      </c>
      <c r="AA14" s="2">
        <v>6642716.1200000001</v>
      </c>
      <c r="AB14" s="2">
        <v>6411780.04</v>
      </c>
      <c r="AC14" s="2">
        <v>7056848.9900000002</v>
      </c>
      <c r="AD14" s="2">
        <v>7074783.0100000007</v>
      </c>
    </row>
    <row r="15" spans="4:31" x14ac:dyDescent="0.3">
      <c r="E15" t="s">
        <v>8</v>
      </c>
      <c r="F15" s="2">
        <v>3429094.1</v>
      </c>
      <c r="G15" s="2">
        <v>2239074.9100000006</v>
      </c>
      <c r="H15" s="2">
        <v>2477081.4899999998</v>
      </c>
      <c r="I15" s="2">
        <v>2278461.1000000006</v>
      </c>
      <c r="J15" s="2">
        <v>2369521.3299999996</v>
      </c>
      <c r="K15" s="2">
        <v>2420493.2500000009</v>
      </c>
      <c r="L15" s="2">
        <v>2200088.4499999997</v>
      </c>
      <c r="M15" s="2">
        <v>2215814.3000000007</v>
      </c>
      <c r="N15" s="2">
        <v>2014388.7200000002</v>
      </c>
      <c r="O15" s="2">
        <v>1997681.5</v>
      </c>
      <c r="P15" s="2">
        <v>1868000.8800000001</v>
      </c>
      <c r="Q15" s="2">
        <v>1955824.4500000004</v>
      </c>
      <c r="R15" s="2">
        <v>1919782.8499999996</v>
      </c>
      <c r="S15" s="2">
        <v>1815839.1800000002</v>
      </c>
      <c r="T15" s="2">
        <v>1960793.28</v>
      </c>
      <c r="U15" s="2">
        <v>1702227.3000000003</v>
      </c>
      <c r="V15" s="2">
        <v>1695151.9499999995</v>
      </c>
      <c r="W15" s="2">
        <v>1668637.7899999998</v>
      </c>
      <c r="X15" s="2">
        <v>1482420.4799999997</v>
      </c>
      <c r="Y15" s="2">
        <v>1447956.4800000002</v>
      </c>
      <c r="Z15" s="2">
        <v>1291287.8499999999</v>
      </c>
      <c r="AA15" s="2">
        <v>1265852.26</v>
      </c>
      <c r="AB15" s="2">
        <v>1166829.33</v>
      </c>
      <c r="AC15" s="2">
        <v>1203319.94</v>
      </c>
      <c r="AD15" s="2">
        <v>1179020</v>
      </c>
    </row>
    <row r="16" spans="4:31" x14ac:dyDescent="0.3">
      <c r="E16" t="s">
        <v>9</v>
      </c>
      <c r="F16" s="2">
        <v>601555.32999999996</v>
      </c>
      <c r="G16" s="2">
        <v>482127.51</v>
      </c>
      <c r="H16" s="2">
        <v>404193.71</v>
      </c>
      <c r="I16" s="2">
        <v>399900.65</v>
      </c>
      <c r="J16" s="2">
        <v>359739.8</v>
      </c>
      <c r="K16" s="2">
        <v>350612.10000000003</v>
      </c>
      <c r="L16" s="2">
        <v>214037.44</v>
      </c>
      <c r="M16" s="2">
        <v>190935.56</v>
      </c>
      <c r="N16" s="2">
        <v>163154.31</v>
      </c>
      <c r="O16" s="2">
        <v>149235.17000000001</v>
      </c>
      <c r="P16" s="2">
        <v>123484.3</v>
      </c>
      <c r="Q16" s="2">
        <v>115246.57</v>
      </c>
      <c r="R16" s="2">
        <v>100081.69</v>
      </c>
      <c r="S16" s="2">
        <v>71580.59</v>
      </c>
      <c r="T16" s="2">
        <v>58271.89</v>
      </c>
      <c r="U16" s="2">
        <v>55594.520000000004</v>
      </c>
      <c r="V16" s="2">
        <v>49156.22</v>
      </c>
      <c r="W16" s="2">
        <v>47720.42</v>
      </c>
      <c r="X16" s="2">
        <v>29547.29</v>
      </c>
      <c r="Y16" s="2">
        <v>26355.09</v>
      </c>
      <c r="Z16" s="2">
        <v>22395.920000000002</v>
      </c>
      <c r="AA16" s="2">
        <v>20385.599999999999</v>
      </c>
      <c r="AB16" s="2">
        <v>16853.670000000002</v>
      </c>
      <c r="AC16" s="2">
        <v>15737.65</v>
      </c>
      <c r="AD16" s="2">
        <v>13687.24</v>
      </c>
    </row>
    <row r="17" spans="2:30" x14ac:dyDescent="0.3">
      <c r="E17" t="s">
        <v>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9" spans="2:30" x14ac:dyDescent="0.3">
      <c r="B19" s="3" t="s">
        <v>11</v>
      </c>
      <c r="D19" t="s">
        <v>12</v>
      </c>
      <c r="E19" t="s">
        <v>5</v>
      </c>
      <c r="F19" s="2">
        <v>13003289.880000001</v>
      </c>
      <c r="G19" s="2">
        <v>15557185.429999998</v>
      </c>
      <c r="H19" s="2">
        <v>13806282.979999999</v>
      </c>
      <c r="I19" s="2">
        <v>15342044.930000002</v>
      </c>
      <c r="J19" s="2">
        <v>15299265.77</v>
      </c>
      <c r="K19" s="2">
        <v>13796485.99</v>
      </c>
      <c r="L19" s="2">
        <v>14313256.930000002</v>
      </c>
      <c r="M19" s="2">
        <v>13297852.920000002</v>
      </c>
      <c r="N19" s="2">
        <v>12827794.629999999</v>
      </c>
      <c r="O19" s="2">
        <v>12255141.370000001</v>
      </c>
      <c r="P19" s="2">
        <v>12782152.98</v>
      </c>
      <c r="Q19" s="2">
        <v>12309290.529999999</v>
      </c>
      <c r="R19" s="2">
        <v>12200545.610000001</v>
      </c>
      <c r="S19" s="2">
        <v>13470194.9</v>
      </c>
      <c r="T19" s="2">
        <v>10953305.779999999</v>
      </c>
      <c r="U19" s="2">
        <v>11194018.289999999</v>
      </c>
      <c r="V19" s="2">
        <v>10627109.500000002</v>
      </c>
      <c r="W19" s="2">
        <v>9520610.6499999985</v>
      </c>
      <c r="X19" s="2">
        <v>9757106.0199999977</v>
      </c>
      <c r="Y19" s="2">
        <v>8902172.8300000001</v>
      </c>
      <c r="Z19" s="2">
        <v>8605642.8099999987</v>
      </c>
      <c r="AA19" s="2">
        <v>8206156.9300000006</v>
      </c>
      <c r="AB19" s="2">
        <v>8630751.3599999994</v>
      </c>
      <c r="AC19" s="2">
        <v>8611708.3499999996</v>
      </c>
      <c r="AD19" s="2">
        <v>8780760.4399999995</v>
      </c>
    </row>
    <row r="20" spans="2:30" x14ac:dyDescent="0.3">
      <c r="E20" t="s">
        <v>6</v>
      </c>
      <c r="F20" s="2">
        <v>811793.08</v>
      </c>
      <c r="G20" s="2">
        <v>444660.08999999997</v>
      </c>
      <c r="H20" s="2">
        <v>545901.77999999991</v>
      </c>
      <c r="I20" s="2">
        <v>609681.06999999983</v>
      </c>
      <c r="J20" s="2">
        <v>730802.24</v>
      </c>
      <c r="K20" s="2">
        <v>877910.07999999984</v>
      </c>
      <c r="L20" s="2">
        <v>988302.71</v>
      </c>
      <c r="M20" s="2">
        <v>830467.35000000009</v>
      </c>
      <c r="N20" s="2">
        <v>937452.38</v>
      </c>
      <c r="O20" s="2">
        <v>857202.54000000015</v>
      </c>
      <c r="P20" s="2">
        <v>1061810.07</v>
      </c>
      <c r="Q20" s="2">
        <v>1100561.9500000002</v>
      </c>
      <c r="R20" s="2">
        <v>848522.01000000013</v>
      </c>
      <c r="S20" s="2">
        <v>464020.7</v>
      </c>
      <c r="T20" s="2">
        <v>556708.22000000009</v>
      </c>
      <c r="U20" s="2">
        <v>606707.18999999994</v>
      </c>
      <c r="V20" s="2">
        <v>718031.04000000015</v>
      </c>
      <c r="W20" s="2">
        <v>833662.33</v>
      </c>
      <c r="X20" s="2">
        <v>936030.48</v>
      </c>
      <c r="Y20" s="2">
        <v>795677.58999999985</v>
      </c>
      <c r="Z20" s="2">
        <v>879726.37</v>
      </c>
      <c r="AA20" s="2">
        <v>787292.24</v>
      </c>
      <c r="AB20" s="2">
        <v>953374.8</v>
      </c>
      <c r="AC20" s="2">
        <v>965363.20999999985</v>
      </c>
      <c r="AD20" s="2">
        <v>726278.60000000009</v>
      </c>
    </row>
    <row r="21" spans="2:30" x14ac:dyDescent="0.3">
      <c r="E21" t="s">
        <v>7</v>
      </c>
      <c r="F21" s="2">
        <v>4833174.1000000006</v>
      </c>
      <c r="G21" s="2">
        <v>4583285.6300000008</v>
      </c>
      <c r="H21" s="2">
        <v>5393101.6600000011</v>
      </c>
      <c r="I21" s="2">
        <v>5862644.870000002</v>
      </c>
      <c r="J21" s="2">
        <v>6402576.1800000016</v>
      </c>
      <c r="K21" s="2">
        <v>5195565.6799999988</v>
      </c>
      <c r="L21" s="2">
        <v>5560138.7600000007</v>
      </c>
      <c r="M21" s="2">
        <v>5536138.0300000012</v>
      </c>
      <c r="N21" s="2">
        <v>6041740.370000002</v>
      </c>
      <c r="O21" s="2">
        <v>5995908.9900000012</v>
      </c>
      <c r="P21" s="2">
        <v>6747182.0399999982</v>
      </c>
      <c r="Q21" s="2">
        <v>6851969.4299999997</v>
      </c>
      <c r="R21" s="2">
        <v>7294082.4199999981</v>
      </c>
      <c r="S21" s="2">
        <v>6728004.5</v>
      </c>
      <c r="T21" s="2">
        <v>7578034.2699999996</v>
      </c>
      <c r="U21" s="2">
        <v>7866158.629999999</v>
      </c>
      <c r="V21" s="2">
        <v>8168355.0799999982</v>
      </c>
      <c r="W21" s="2">
        <v>6401097.5099999998</v>
      </c>
      <c r="X21" s="2">
        <v>6538489.9299999997</v>
      </c>
      <c r="Y21" s="2">
        <v>6272348.3099999987</v>
      </c>
      <c r="Z21" s="2">
        <v>6642716.1200000001</v>
      </c>
      <c r="AA21" s="2">
        <v>6411780.04</v>
      </c>
      <c r="AB21" s="2">
        <v>7056848.9900000002</v>
      </c>
      <c r="AC21" s="2">
        <v>7074783.0100000007</v>
      </c>
      <c r="AD21" s="2">
        <v>7553185.0700000003</v>
      </c>
    </row>
    <row r="22" spans="2:30" x14ac:dyDescent="0.3">
      <c r="E22" t="s">
        <v>8</v>
      </c>
      <c r="F22" s="2">
        <v>2239074.9100000006</v>
      </c>
      <c r="G22" s="2">
        <v>2477081.4899999998</v>
      </c>
      <c r="H22" s="2">
        <v>2278461.1000000006</v>
      </c>
      <c r="I22" s="2">
        <v>2369521.3299999996</v>
      </c>
      <c r="J22" s="2">
        <v>2420493.2500000009</v>
      </c>
      <c r="K22" s="2">
        <v>2200088.4499999997</v>
      </c>
      <c r="L22" s="2">
        <v>2215814.3000000007</v>
      </c>
      <c r="M22" s="2">
        <v>2014388.7200000002</v>
      </c>
      <c r="N22" s="2">
        <v>1997681.5</v>
      </c>
      <c r="O22" s="2">
        <v>1868000.8800000001</v>
      </c>
      <c r="P22" s="2">
        <v>1955824.4500000004</v>
      </c>
      <c r="Q22" s="2">
        <v>1919782.8499999996</v>
      </c>
      <c r="R22" s="2">
        <v>1815839.1800000002</v>
      </c>
      <c r="S22" s="2">
        <v>1960793.28</v>
      </c>
      <c r="T22" s="2">
        <v>1702227.3000000003</v>
      </c>
      <c r="U22" s="2">
        <v>1695151.9499999995</v>
      </c>
      <c r="V22" s="2">
        <v>1668637.7899999998</v>
      </c>
      <c r="W22" s="2">
        <v>1482420.4799999997</v>
      </c>
      <c r="X22" s="2">
        <v>1447956.4800000002</v>
      </c>
      <c r="Y22" s="2">
        <v>1291287.8499999999</v>
      </c>
      <c r="Z22" s="2">
        <v>1265852.26</v>
      </c>
      <c r="AA22" s="2">
        <v>1166829.33</v>
      </c>
      <c r="AB22" s="2">
        <v>1203319.94</v>
      </c>
      <c r="AC22" s="2">
        <v>1179020</v>
      </c>
      <c r="AD22" s="2">
        <v>1139026.26</v>
      </c>
    </row>
    <row r="23" spans="2:30" x14ac:dyDescent="0.3">
      <c r="E23" t="s">
        <v>9</v>
      </c>
      <c r="F23" s="2">
        <v>482127.51</v>
      </c>
      <c r="G23" s="2">
        <v>404193.71</v>
      </c>
      <c r="H23" s="2">
        <v>399900.65</v>
      </c>
      <c r="I23" s="2">
        <v>359739.8</v>
      </c>
      <c r="J23" s="2">
        <v>350612.10000000003</v>
      </c>
      <c r="K23" s="2">
        <v>214037.44</v>
      </c>
      <c r="L23" s="2">
        <v>190935.56</v>
      </c>
      <c r="M23" s="2">
        <v>163154.31</v>
      </c>
      <c r="N23" s="2">
        <v>149235.17000000001</v>
      </c>
      <c r="O23" s="2">
        <v>123484.3</v>
      </c>
      <c r="P23" s="2">
        <v>115246.57</v>
      </c>
      <c r="Q23" s="2">
        <v>100081.69</v>
      </c>
      <c r="R23" s="2">
        <v>71580.59</v>
      </c>
      <c r="S23" s="2">
        <v>58271.89</v>
      </c>
      <c r="T23" s="2">
        <v>55594.520000000004</v>
      </c>
      <c r="U23" s="2">
        <v>49156.22</v>
      </c>
      <c r="V23" s="2">
        <v>47720.42</v>
      </c>
      <c r="W23" s="2">
        <v>29547.29</v>
      </c>
      <c r="X23" s="2">
        <v>26355.09</v>
      </c>
      <c r="Y23" s="2">
        <v>22395.920000000002</v>
      </c>
      <c r="Z23" s="2">
        <v>20385.599999999999</v>
      </c>
      <c r="AA23" s="2">
        <v>16853.670000000002</v>
      </c>
      <c r="AB23" s="2">
        <v>15737.65</v>
      </c>
      <c r="AC23" s="2">
        <v>13687.24</v>
      </c>
      <c r="AD23" s="2">
        <v>9787.9600000000009</v>
      </c>
    </row>
    <row r="24" spans="2:30" x14ac:dyDescent="0.3">
      <c r="E24" t="s"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6" spans="2:30" x14ac:dyDescent="0.3">
      <c r="B26" s="3" t="s">
        <v>13</v>
      </c>
      <c r="D26" t="s">
        <v>14</v>
      </c>
      <c r="E26" t="s">
        <v>5</v>
      </c>
      <c r="F26" s="2">
        <v>-3062427.45</v>
      </c>
      <c r="G26" s="2">
        <v>2553895.5300000003</v>
      </c>
      <c r="H26" s="2">
        <v>-1750902.4800000002</v>
      </c>
      <c r="I26" s="2">
        <v>1535761.97</v>
      </c>
      <c r="J26" s="2">
        <v>-42779.199999999822</v>
      </c>
      <c r="K26" s="2">
        <v>-1502779.7300000002</v>
      </c>
      <c r="L26" s="2">
        <v>516770.8899999999</v>
      </c>
      <c r="M26" s="2">
        <v>-1015404.01</v>
      </c>
      <c r="N26" s="2">
        <v>-470058.28000000014</v>
      </c>
      <c r="O26" s="2">
        <v>-572653.26</v>
      </c>
      <c r="P26" s="2">
        <v>527011.60000000009</v>
      </c>
      <c r="Q26" s="2">
        <v>-472862.46000000008</v>
      </c>
      <c r="R26" s="2">
        <v>-108744.90000000004</v>
      </c>
      <c r="S26" s="2">
        <v>1269649.3</v>
      </c>
      <c r="T26" s="2">
        <v>-2516889.1100000003</v>
      </c>
      <c r="U26" s="2">
        <v>240712.52</v>
      </c>
      <c r="V26" s="2">
        <v>-566908.79</v>
      </c>
      <c r="W26" s="2">
        <v>-1106498.8399999999</v>
      </c>
      <c r="X26" s="2">
        <v>236495.35999999999</v>
      </c>
      <c r="Y26" s="2">
        <v>-854933.19</v>
      </c>
      <c r="Z26" s="2">
        <v>-296530.02</v>
      </c>
      <c r="AA26" s="2">
        <v>-399485.88999999996</v>
      </c>
      <c r="AB26" s="2">
        <v>424594.48</v>
      </c>
      <c r="AC26" s="2">
        <v>-19042.999999999985</v>
      </c>
      <c r="AD26" s="2">
        <v>169052.08</v>
      </c>
    </row>
    <row r="27" spans="2:30" x14ac:dyDescent="0.3">
      <c r="E27" t="s">
        <v>6</v>
      </c>
      <c r="F27" s="2">
        <v>248072.87999999998</v>
      </c>
      <c r="G27" s="2">
        <v>-367133.02000000008</v>
      </c>
      <c r="H27" s="2">
        <v>101241.72</v>
      </c>
      <c r="I27" s="2">
        <v>63779.310000000005</v>
      </c>
      <c r="J27" s="2">
        <v>121121.17</v>
      </c>
      <c r="K27" s="2">
        <v>147107.81999999998</v>
      </c>
      <c r="L27" s="2">
        <v>110392.64</v>
      </c>
      <c r="M27" s="2">
        <v>-157835.36000000002</v>
      </c>
      <c r="N27" s="2">
        <v>106985.01</v>
      </c>
      <c r="O27" s="2">
        <v>-80249.840000000011</v>
      </c>
      <c r="P27" s="2">
        <v>204607.56</v>
      </c>
      <c r="Q27" s="2">
        <v>38751.870000000003</v>
      </c>
      <c r="R27" s="2">
        <v>-252039.93999999997</v>
      </c>
      <c r="S27" s="2">
        <v>-384501.3</v>
      </c>
      <c r="T27" s="2">
        <v>92687.51999999999</v>
      </c>
      <c r="U27" s="2">
        <v>49998.94999999999</v>
      </c>
      <c r="V27" s="2">
        <v>111323.85</v>
      </c>
      <c r="W27" s="2">
        <v>115631.29000000001</v>
      </c>
      <c r="X27" s="2">
        <v>102368.15000000001</v>
      </c>
      <c r="Y27" s="2">
        <v>-140352.89000000001</v>
      </c>
      <c r="Z27" s="2">
        <v>84048.8</v>
      </c>
      <c r="AA27" s="2">
        <v>-92434.11</v>
      </c>
      <c r="AB27" s="2">
        <v>166082.53000000003</v>
      </c>
      <c r="AC27" s="2">
        <v>11988.419999999998</v>
      </c>
      <c r="AD27" s="2">
        <v>-239084.61</v>
      </c>
    </row>
    <row r="28" spans="2:30" x14ac:dyDescent="0.3">
      <c r="E28" t="s">
        <v>7</v>
      </c>
      <c r="F28" s="2">
        <v>-1144750.0199999998</v>
      </c>
      <c r="G28" s="2">
        <v>-249888.43000000008</v>
      </c>
      <c r="H28" s="2">
        <v>809816.02</v>
      </c>
      <c r="I28" s="2">
        <v>469543.21</v>
      </c>
      <c r="J28" s="2">
        <v>539931.31000000006</v>
      </c>
      <c r="K28" s="2">
        <v>-1207010.5299999998</v>
      </c>
      <c r="L28" s="2">
        <v>364573.05</v>
      </c>
      <c r="M28" s="2">
        <v>-24000.740000000005</v>
      </c>
      <c r="N28" s="2">
        <v>505602.32</v>
      </c>
      <c r="O28" s="2">
        <v>-45831.379999999983</v>
      </c>
      <c r="P28" s="2">
        <v>751273.04999999993</v>
      </c>
      <c r="Q28" s="2">
        <v>104787.41</v>
      </c>
      <c r="R28" s="2">
        <v>442113.00000000006</v>
      </c>
      <c r="S28" s="2">
        <v>-566077.9099999998</v>
      </c>
      <c r="T28" s="2">
        <v>850029.72000000009</v>
      </c>
      <c r="U28" s="2">
        <v>288124.34000000003</v>
      </c>
      <c r="V28" s="2">
        <v>302196.47000000003</v>
      </c>
      <c r="W28" s="2">
        <v>-1767257.57</v>
      </c>
      <c r="X28" s="2">
        <v>137392.43</v>
      </c>
      <c r="Y28" s="2">
        <v>-266141.63</v>
      </c>
      <c r="Z28" s="2">
        <v>370367.76999999996</v>
      </c>
      <c r="AA28" s="2">
        <v>-230936.06000000003</v>
      </c>
      <c r="AB28" s="2">
        <v>645068.96</v>
      </c>
      <c r="AC28" s="2">
        <v>17934.030000000002</v>
      </c>
      <c r="AD28" s="2">
        <v>478402.0799999999</v>
      </c>
    </row>
    <row r="29" spans="2:30" x14ac:dyDescent="0.3">
      <c r="E29" t="s">
        <v>8</v>
      </c>
      <c r="F29" s="2">
        <v>-1190019.19</v>
      </c>
      <c r="G29" s="2">
        <v>238006.57</v>
      </c>
      <c r="H29" s="2">
        <v>-198620.38000000003</v>
      </c>
      <c r="I29" s="2">
        <v>91060.220000000016</v>
      </c>
      <c r="J29" s="2">
        <v>50971.909999999996</v>
      </c>
      <c r="K29" s="2">
        <v>-220404.79</v>
      </c>
      <c r="L29" s="2">
        <v>15725.849999999997</v>
      </c>
      <c r="M29" s="2">
        <v>-201425.58000000005</v>
      </c>
      <c r="N29" s="2">
        <v>-16707.219999999994</v>
      </c>
      <c r="O29" s="2">
        <v>-129680.62</v>
      </c>
      <c r="P29" s="2">
        <v>87823.579999999987</v>
      </c>
      <c r="Q29" s="2">
        <v>-36041.560000000005</v>
      </c>
      <c r="R29" s="2">
        <v>-103943.68000000002</v>
      </c>
      <c r="S29" s="2">
        <v>144954.10999999999</v>
      </c>
      <c r="T29" s="2">
        <v>-258566.00000000006</v>
      </c>
      <c r="U29" s="2">
        <v>-7075.3499999999985</v>
      </c>
      <c r="V29" s="2">
        <v>-26514.150000000027</v>
      </c>
      <c r="W29" s="2">
        <v>-186217.28</v>
      </c>
      <c r="X29" s="2">
        <v>-34464.01</v>
      </c>
      <c r="Y29" s="2">
        <v>-156668.63999999996</v>
      </c>
      <c r="Z29" s="2">
        <v>-25435.59</v>
      </c>
      <c r="AA29" s="2">
        <v>-99022.95</v>
      </c>
      <c r="AB29" s="2">
        <v>36490.629999999997</v>
      </c>
      <c r="AC29" s="2">
        <v>-24299.939999999991</v>
      </c>
      <c r="AD29" s="2">
        <v>-39993.74</v>
      </c>
    </row>
    <row r="30" spans="2:30" x14ac:dyDescent="0.3">
      <c r="E30" t="s">
        <v>9</v>
      </c>
      <c r="F30" s="2">
        <v>-119427.81999999999</v>
      </c>
      <c r="G30" s="2">
        <v>-77933.8</v>
      </c>
      <c r="H30" s="2">
        <v>-4293.0600000000004</v>
      </c>
      <c r="I30" s="2">
        <v>-40160.839999999997</v>
      </c>
      <c r="J30" s="2">
        <v>-9127.7099999999991</v>
      </c>
      <c r="K30" s="2">
        <v>-136574.66</v>
      </c>
      <c r="L30" s="2">
        <v>-23101.88</v>
      </c>
      <c r="M30" s="2">
        <v>-27781.239999999998</v>
      </c>
      <c r="N30" s="2">
        <v>-13919.15</v>
      </c>
      <c r="O30" s="2">
        <v>-25750.87</v>
      </c>
      <c r="P30" s="2">
        <v>-8237.73</v>
      </c>
      <c r="Q30" s="2">
        <v>-15164.869999999999</v>
      </c>
      <c r="R30" s="2">
        <v>-28501.100000000002</v>
      </c>
      <c r="S30" s="2">
        <v>-13308.71</v>
      </c>
      <c r="T30" s="2">
        <v>-2677.37</v>
      </c>
      <c r="U30" s="2">
        <v>-6438.3</v>
      </c>
      <c r="V30" s="2">
        <v>-1435.8000000000002</v>
      </c>
      <c r="W30" s="2">
        <v>-18173.13</v>
      </c>
      <c r="X30" s="2">
        <v>-3192.21</v>
      </c>
      <c r="Y30" s="2">
        <v>-3959.17</v>
      </c>
      <c r="Z30" s="2">
        <v>-2010.32</v>
      </c>
      <c r="AA30" s="2">
        <v>-3531.9300000000003</v>
      </c>
      <c r="AB30" s="2">
        <v>-1116.01</v>
      </c>
      <c r="AC30" s="2">
        <v>-2050.42</v>
      </c>
      <c r="AD30" s="2">
        <v>-3899.27</v>
      </c>
    </row>
    <row r="31" spans="2:30" x14ac:dyDescent="0.3">
      <c r="E31" t="s">
        <v>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3" spans="2:30" x14ac:dyDescent="0.3">
      <c r="B33" s="3" t="s">
        <v>15</v>
      </c>
      <c r="D33" t="s">
        <v>16</v>
      </c>
      <c r="E33" t="s">
        <v>5</v>
      </c>
      <c r="F33" s="2">
        <v>0</v>
      </c>
      <c r="G33" s="2">
        <v>0</v>
      </c>
      <c r="H33" s="2">
        <v>2567210.7600000002</v>
      </c>
      <c r="I33" s="2">
        <v>0</v>
      </c>
      <c r="J33" s="2">
        <v>0</v>
      </c>
      <c r="K33" s="2">
        <v>2172036.44</v>
      </c>
      <c r="L33" s="2">
        <v>0</v>
      </c>
      <c r="M33" s="2">
        <v>0</v>
      </c>
      <c r="N33" s="2">
        <v>1702630.3699999999</v>
      </c>
      <c r="O33" s="2">
        <v>0</v>
      </c>
      <c r="P33" s="2">
        <v>0</v>
      </c>
      <c r="Q33" s="2">
        <v>1299317.3799999999</v>
      </c>
      <c r="R33" s="2">
        <v>0</v>
      </c>
      <c r="S33" s="2">
        <v>0</v>
      </c>
      <c r="T33" s="2">
        <v>984434.92999999993</v>
      </c>
      <c r="U33" s="2">
        <v>0</v>
      </c>
      <c r="V33" s="2">
        <v>0</v>
      </c>
      <c r="W33" s="2">
        <v>745440.13000000012</v>
      </c>
      <c r="X33" s="2">
        <v>0</v>
      </c>
      <c r="Y33" s="2">
        <v>0</v>
      </c>
      <c r="Z33" s="2">
        <v>565958.65</v>
      </c>
      <c r="AA33" s="2">
        <v>0</v>
      </c>
      <c r="AB33" s="2">
        <v>0</v>
      </c>
      <c r="AC33" s="2">
        <v>431323.49000000005</v>
      </c>
      <c r="AD33" s="2">
        <v>0</v>
      </c>
    </row>
    <row r="34" spans="2:30" x14ac:dyDescent="0.3">
      <c r="E34" t="s">
        <v>6</v>
      </c>
      <c r="F34" s="2">
        <v>0</v>
      </c>
      <c r="G34" s="2">
        <v>0</v>
      </c>
      <c r="H34" s="2">
        <v>242172.1</v>
      </c>
      <c r="I34" s="2">
        <v>0</v>
      </c>
      <c r="J34" s="2">
        <v>0</v>
      </c>
      <c r="K34" s="2">
        <v>203935.12000000002</v>
      </c>
      <c r="L34" s="2">
        <v>0</v>
      </c>
      <c r="M34" s="2">
        <v>0</v>
      </c>
      <c r="N34" s="2">
        <v>170225.38000000003</v>
      </c>
      <c r="O34" s="2">
        <v>0</v>
      </c>
      <c r="P34" s="2">
        <v>0</v>
      </c>
      <c r="Q34" s="2">
        <v>143512.13999999998</v>
      </c>
      <c r="R34" s="2">
        <v>0</v>
      </c>
      <c r="S34" s="2">
        <v>0</v>
      </c>
      <c r="T34" s="2">
        <v>121693.11</v>
      </c>
      <c r="U34" s="2">
        <v>0</v>
      </c>
      <c r="V34" s="2">
        <v>0</v>
      </c>
      <c r="W34" s="2">
        <v>104167.73000000001</v>
      </c>
      <c r="X34" s="2">
        <v>0</v>
      </c>
      <c r="Y34" s="2">
        <v>0</v>
      </c>
      <c r="Z34" s="2">
        <v>89862.170000000013</v>
      </c>
      <c r="AA34" s="2">
        <v>0</v>
      </c>
      <c r="AB34" s="2">
        <v>0</v>
      </c>
      <c r="AC34" s="2">
        <v>78146.850000000006</v>
      </c>
      <c r="AD34" s="2">
        <v>0</v>
      </c>
    </row>
    <row r="35" spans="2:30" x14ac:dyDescent="0.3">
      <c r="E35" t="s">
        <v>7</v>
      </c>
      <c r="F35" s="2">
        <v>0</v>
      </c>
      <c r="G35" s="2">
        <v>0</v>
      </c>
      <c r="H35" s="2">
        <v>1039437.81</v>
      </c>
      <c r="I35" s="2">
        <v>0</v>
      </c>
      <c r="J35" s="2">
        <v>0</v>
      </c>
      <c r="K35" s="2">
        <v>1021216.7999999999</v>
      </c>
      <c r="L35" s="2">
        <v>0</v>
      </c>
      <c r="M35" s="2">
        <v>0</v>
      </c>
      <c r="N35" s="2">
        <v>918237.30999999994</v>
      </c>
      <c r="O35" s="2">
        <v>0</v>
      </c>
      <c r="P35" s="2">
        <v>0</v>
      </c>
      <c r="Q35" s="2">
        <v>818826.97</v>
      </c>
      <c r="R35" s="2">
        <v>0</v>
      </c>
      <c r="S35" s="2">
        <v>0</v>
      </c>
      <c r="T35" s="2">
        <v>723948.27999999991</v>
      </c>
      <c r="U35" s="2">
        <v>0</v>
      </c>
      <c r="V35" s="2">
        <v>0</v>
      </c>
      <c r="W35" s="2">
        <v>639563.80999999994</v>
      </c>
      <c r="X35" s="2">
        <v>0</v>
      </c>
      <c r="Y35" s="2">
        <v>0</v>
      </c>
      <c r="Z35" s="2">
        <v>565141.15</v>
      </c>
      <c r="AA35" s="2">
        <v>0</v>
      </c>
      <c r="AB35" s="2">
        <v>0</v>
      </c>
      <c r="AC35" s="2">
        <v>499661.57</v>
      </c>
      <c r="AD35" s="2">
        <v>0</v>
      </c>
    </row>
    <row r="36" spans="2:30" x14ac:dyDescent="0.3">
      <c r="E36" t="s">
        <v>8</v>
      </c>
      <c r="F36" s="2">
        <v>0</v>
      </c>
      <c r="G36" s="2">
        <v>0</v>
      </c>
      <c r="H36" s="2">
        <v>487092.99</v>
      </c>
      <c r="I36" s="2">
        <v>0</v>
      </c>
      <c r="J36" s="2">
        <v>0</v>
      </c>
      <c r="K36" s="2">
        <v>443522.07</v>
      </c>
      <c r="L36" s="2">
        <v>0</v>
      </c>
      <c r="M36" s="2">
        <v>0</v>
      </c>
      <c r="N36" s="2">
        <v>373904.36000000004</v>
      </c>
      <c r="O36" s="2">
        <v>0</v>
      </c>
      <c r="P36" s="2">
        <v>0</v>
      </c>
      <c r="Q36" s="2">
        <v>306144.53999999998</v>
      </c>
      <c r="R36" s="2">
        <v>0</v>
      </c>
      <c r="S36" s="2">
        <v>0</v>
      </c>
      <c r="T36" s="2">
        <v>248334.39000000004</v>
      </c>
      <c r="U36" s="2">
        <v>0</v>
      </c>
      <c r="V36" s="2">
        <v>0</v>
      </c>
      <c r="W36" s="2">
        <v>200897.37999999998</v>
      </c>
      <c r="X36" s="2">
        <v>0</v>
      </c>
      <c r="Y36" s="2">
        <v>0</v>
      </c>
      <c r="Z36" s="2">
        <v>162487.55999999997</v>
      </c>
      <c r="AA36" s="2">
        <v>0</v>
      </c>
      <c r="AB36" s="2">
        <v>0</v>
      </c>
      <c r="AC36" s="2">
        <v>131517.23000000001</v>
      </c>
      <c r="AD36" s="2">
        <v>0</v>
      </c>
    </row>
    <row r="37" spans="2:30" x14ac:dyDescent="0.3">
      <c r="E37" t="s">
        <v>9</v>
      </c>
      <c r="F37" s="2">
        <v>0</v>
      </c>
      <c r="G37" s="2">
        <v>0</v>
      </c>
      <c r="H37" s="2">
        <v>107700.04999999999</v>
      </c>
      <c r="I37" s="2">
        <v>0</v>
      </c>
      <c r="J37" s="2">
        <v>0</v>
      </c>
      <c r="K37" s="2">
        <v>98698.75</v>
      </c>
      <c r="L37" s="2">
        <v>0</v>
      </c>
      <c r="M37" s="2">
        <v>0</v>
      </c>
      <c r="N37" s="2">
        <v>48767.12</v>
      </c>
      <c r="O37" s="2">
        <v>0</v>
      </c>
      <c r="P37" s="2">
        <v>0</v>
      </c>
      <c r="Q37" s="2">
        <v>30807.23</v>
      </c>
      <c r="R37" s="2">
        <v>0</v>
      </c>
      <c r="S37" s="2">
        <v>0</v>
      </c>
      <c r="T37" s="2">
        <v>18552.41</v>
      </c>
      <c r="U37" s="2">
        <v>0</v>
      </c>
      <c r="V37" s="2">
        <v>0</v>
      </c>
      <c r="W37" s="2">
        <v>11322.96</v>
      </c>
      <c r="X37" s="2">
        <v>0</v>
      </c>
      <c r="Y37" s="2">
        <v>0</v>
      </c>
      <c r="Z37" s="2">
        <v>6930.33</v>
      </c>
      <c r="AA37" s="2">
        <v>0</v>
      </c>
      <c r="AB37" s="2">
        <v>0</v>
      </c>
      <c r="AC37" s="2">
        <v>4238.1499999999996</v>
      </c>
      <c r="AD37" s="2">
        <v>0</v>
      </c>
    </row>
    <row r="38" spans="2:30" x14ac:dyDescent="0.3">
      <c r="E38" t="s">
        <v>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40" spans="2:30" x14ac:dyDescent="0.3">
      <c r="B40" s="3" t="s">
        <v>17</v>
      </c>
      <c r="D40" t="s">
        <v>18</v>
      </c>
      <c r="E40" t="s">
        <v>5</v>
      </c>
      <c r="F40" s="2">
        <v>0</v>
      </c>
      <c r="G40" s="2">
        <v>0</v>
      </c>
      <c r="H40" s="2">
        <v>2015260.4500000002</v>
      </c>
      <c r="I40" s="2">
        <v>0</v>
      </c>
      <c r="J40" s="2">
        <v>0</v>
      </c>
      <c r="K40" s="2">
        <v>1705048.63</v>
      </c>
      <c r="L40" s="2">
        <v>0</v>
      </c>
      <c r="M40" s="2">
        <v>0</v>
      </c>
      <c r="N40" s="2">
        <v>1336564.8299999998</v>
      </c>
      <c r="O40" s="2">
        <v>0</v>
      </c>
      <c r="P40" s="2">
        <v>0</v>
      </c>
      <c r="Q40" s="2">
        <v>1019964.14</v>
      </c>
      <c r="R40" s="2">
        <v>0</v>
      </c>
      <c r="S40" s="2">
        <v>0</v>
      </c>
      <c r="T40" s="2">
        <v>772781.42</v>
      </c>
      <c r="U40" s="2">
        <v>0</v>
      </c>
      <c r="V40" s="2">
        <v>0</v>
      </c>
      <c r="W40" s="2">
        <v>585170.48999999987</v>
      </c>
      <c r="X40" s="2">
        <v>0</v>
      </c>
      <c r="Y40" s="2">
        <v>0</v>
      </c>
      <c r="Z40" s="2">
        <v>444277.51999999996</v>
      </c>
      <c r="AA40" s="2">
        <v>0</v>
      </c>
      <c r="AB40" s="2">
        <v>0</v>
      </c>
      <c r="AC40" s="2">
        <v>338588.94999999995</v>
      </c>
      <c r="AD40" s="2">
        <v>0</v>
      </c>
    </row>
    <row r="41" spans="2:30" x14ac:dyDescent="0.3">
      <c r="E41" t="s">
        <v>6</v>
      </c>
      <c r="F41" s="2">
        <v>0</v>
      </c>
      <c r="G41" s="2">
        <v>0</v>
      </c>
      <c r="H41" s="2">
        <v>190105.09</v>
      </c>
      <c r="I41" s="2">
        <v>0</v>
      </c>
      <c r="J41" s="2">
        <v>0</v>
      </c>
      <c r="K41" s="2">
        <v>160089.08000000002</v>
      </c>
      <c r="L41" s="2">
        <v>0</v>
      </c>
      <c r="M41" s="2">
        <v>0</v>
      </c>
      <c r="N41" s="2">
        <v>133626.91</v>
      </c>
      <c r="O41" s="2">
        <v>0</v>
      </c>
      <c r="P41" s="2">
        <v>0</v>
      </c>
      <c r="Q41" s="2">
        <v>112657.03</v>
      </c>
      <c r="R41" s="2">
        <v>0</v>
      </c>
      <c r="S41" s="2">
        <v>0</v>
      </c>
      <c r="T41" s="2">
        <v>95529.099999999991</v>
      </c>
      <c r="U41" s="2">
        <v>0</v>
      </c>
      <c r="V41" s="2">
        <v>0</v>
      </c>
      <c r="W41" s="2">
        <v>81771.66</v>
      </c>
      <c r="X41" s="2">
        <v>0</v>
      </c>
      <c r="Y41" s="2">
        <v>0</v>
      </c>
      <c r="Z41" s="2">
        <v>70541.810000000012</v>
      </c>
      <c r="AA41" s="2">
        <v>0</v>
      </c>
      <c r="AB41" s="2">
        <v>0</v>
      </c>
      <c r="AC41" s="2">
        <v>61345.280000000006</v>
      </c>
      <c r="AD41" s="2">
        <v>0</v>
      </c>
    </row>
    <row r="42" spans="2:30" x14ac:dyDescent="0.3">
      <c r="E42" t="s">
        <v>7</v>
      </c>
      <c r="F42" s="2">
        <v>0</v>
      </c>
      <c r="G42" s="2">
        <v>0</v>
      </c>
      <c r="H42" s="2">
        <v>815958.67999999982</v>
      </c>
      <c r="I42" s="2">
        <v>0</v>
      </c>
      <c r="J42" s="2">
        <v>0</v>
      </c>
      <c r="K42" s="2">
        <v>801655.19</v>
      </c>
      <c r="L42" s="2">
        <v>0</v>
      </c>
      <c r="M42" s="2">
        <v>0</v>
      </c>
      <c r="N42" s="2">
        <v>720816.30000000016</v>
      </c>
      <c r="O42" s="2">
        <v>0</v>
      </c>
      <c r="P42" s="2">
        <v>0</v>
      </c>
      <c r="Q42" s="2">
        <v>642779.17999999993</v>
      </c>
      <c r="R42" s="2">
        <v>0</v>
      </c>
      <c r="S42" s="2">
        <v>0</v>
      </c>
      <c r="T42" s="2">
        <v>568299.39</v>
      </c>
      <c r="U42" s="2">
        <v>0</v>
      </c>
      <c r="V42" s="2">
        <v>0</v>
      </c>
      <c r="W42" s="2">
        <v>502057.61999999994</v>
      </c>
      <c r="X42" s="2">
        <v>0</v>
      </c>
      <c r="Y42" s="2">
        <v>0</v>
      </c>
      <c r="Z42" s="2">
        <v>443635.79</v>
      </c>
      <c r="AA42" s="2">
        <v>0</v>
      </c>
      <c r="AB42" s="2">
        <v>0</v>
      </c>
      <c r="AC42" s="2">
        <v>392234.32</v>
      </c>
      <c r="AD42" s="2">
        <v>0</v>
      </c>
    </row>
    <row r="43" spans="2:30" x14ac:dyDescent="0.3">
      <c r="E43" t="s">
        <v>8</v>
      </c>
      <c r="F43" s="2">
        <v>0</v>
      </c>
      <c r="G43" s="2">
        <v>0</v>
      </c>
      <c r="H43" s="2">
        <v>382368</v>
      </c>
      <c r="I43" s="2">
        <v>0</v>
      </c>
      <c r="J43" s="2">
        <v>0</v>
      </c>
      <c r="K43" s="2">
        <v>348164.84</v>
      </c>
      <c r="L43" s="2">
        <v>0</v>
      </c>
      <c r="M43" s="2">
        <v>0</v>
      </c>
      <c r="N43" s="2">
        <v>293514.96000000002</v>
      </c>
      <c r="O43" s="2">
        <v>0</v>
      </c>
      <c r="P43" s="2">
        <v>0</v>
      </c>
      <c r="Q43" s="2">
        <v>240323.45</v>
      </c>
      <c r="R43" s="2">
        <v>0</v>
      </c>
      <c r="S43" s="2">
        <v>0</v>
      </c>
      <c r="T43" s="2">
        <v>194942.49999999997</v>
      </c>
      <c r="U43" s="2">
        <v>0</v>
      </c>
      <c r="V43" s="2">
        <v>0</v>
      </c>
      <c r="W43" s="2">
        <v>157704.41999999998</v>
      </c>
      <c r="X43" s="2">
        <v>0</v>
      </c>
      <c r="Y43" s="2">
        <v>0</v>
      </c>
      <c r="Z43" s="2">
        <v>127552.75</v>
      </c>
      <c r="AA43" s="2">
        <v>0</v>
      </c>
      <c r="AB43" s="2">
        <v>0</v>
      </c>
      <c r="AC43" s="2">
        <v>103241.01</v>
      </c>
      <c r="AD43" s="2">
        <v>0</v>
      </c>
    </row>
    <row r="44" spans="2:30" x14ac:dyDescent="0.3">
      <c r="E44" t="s">
        <v>9</v>
      </c>
      <c r="F44" s="2">
        <v>0</v>
      </c>
      <c r="G44" s="2">
        <v>0</v>
      </c>
      <c r="H44" s="2">
        <v>84544.540000000008</v>
      </c>
      <c r="I44" s="2">
        <v>0</v>
      </c>
      <c r="J44" s="2">
        <v>0</v>
      </c>
      <c r="K44" s="2">
        <v>77478.52</v>
      </c>
      <c r="L44" s="2">
        <v>0</v>
      </c>
      <c r="M44" s="2">
        <v>0</v>
      </c>
      <c r="N44" s="2">
        <v>38282.18</v>
      </c>
      <c r="O44" s="2">
        <v>0</v>
      </c>
      <c r="P44" s="2">
        <v>0</v>
      </c>
      <c r="Q44" s="2">
        <v>24183.670000000002</v>
      </c>
      <c r="R44" s="2">
        <v>0</v>
      </c>
      <c r="S44" s="2">
        <v>0</v>
      </c>
      <c r="T44" s="2">
        <v>14563.64</v>
      </c>
      <c r="U44" s="2">
        <v>0</v>
      </c>
      <c r="V44" s="2">
        <v>0</v>
      </c>
      <c r="W44" s="2">
        <v>8888.5299999999988</v>
      </c>
      <c r="X44" s="2">
        <v>0</v>
      </c>
      <c r="Y44" s="2">
        <v>0</v>
      </c>
      <c r="Z44" s="2">
        <v>5440.31</v>
      </c>
      <c r="AA44" s="2">
        <v>0</v>
      </c>
      <c r="AB44" s="2">
        <v>0</v>
      </c>
      <c r="AC44" s="2">
        <v>3326.96</v>
      </c>
      <c r="AD44" s="2">
        <v>0</v>
      </c>
    </row>
    <row r="45" spans="2:30" x14ac:dyDescent="0.3">
      <c r="E45" t="s">
        <v>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7" spans="2:30" x14ac:dyDescent="0.3">
      <c r="B47" s="3" t="s">
        <v>19</v>
      </c>
      <c r="D47" t="s">
        <v>20</v>
      </c>
      <c r="E47" t="s">
        <v>5</v>
      </c>
      <c r="F47" s="2">
        <v>0</v>
      </c>
      <c r="G47" s="2">
        <v>0</v>
      </c>
      <c r="H47" s="2">
        <v>2015260.4500000002</v>
      </c>
      <c r="I47" s="2">
        <v>0</v>
      </c>
      <c r="J47" s="2">
        <v>0</v>
      </c>
      <c r="K47" s="2">
        <v>1705048.63</v>
      </c>
      <c r="L47" s="2">
        <v>0</v>
      </c>
      <c r="M47" s="2">
        <v>0</v>
      </c>
      <c r="N47" s="2">
        <v>1336564.8299999998</v>
      </c>
      <c r="O47" s="2">
        <v>0</v>
      </c>
      <c r="P47" s="2">
        <v>0</v>
      </c>
      <c r="Q47" s="2">
        <v>1019964.14</v>
      </c>
      <c r="R47" s="2">
        <v>0</v>
      </c>
      <c r="S47" s="2">
        <v>0</v>
      </c>
      <c r="T47" s="2">
        <v>772781.42</v>
      </c>
      <c r="U47" s="2">
        <v>0</v>
      </c>
      <c r="V47" s="2">
        <v>0</v>
      </c>
      <c r="W47" s="2">
        <v>585170.48999999987</v>
      </c>
      <c r="X47" s="2">
        <v>0</v>
      </c>
      <c r="Y47" s="2">
        <v>0</v>
      </c>
      <c r="Z47" s="2">
        <v>444277.51999999996</v>
      </c>
      <c r="AA47" s="2">
        <v>0</v>
      </c>
      <c r="AB47" s="2">
        <v>0</v>
      </c>
      <c r="AC47" s="2">
        <v>338588.94999999995</v>
      </c>
      <c r="AD47" s="2">
        <v>0</v>
      </c>
    </row>
    <row r="48" spans="2:30" x14ac:dyDescent="0.3">
      <c r="E48" t="s">
        <v>6</v>
      </c>
      <c r="F48" s="2">
        <v>0</v>
      </c>
      <c r="G48" s="2">
        <v>0</v>
      </c>
      <c r="H48" s="2">
        <v>190105.09</v>
      </c>
      <c r="I48" s="2">
        <v>0</v>
      </c>
      <c r="J48" s="2">
        <v>0</v>
      </c>
      <c r="K48" s="2">
        <v>160089.08000000002</v>
      </c>
      <c r="L48" s="2">
        <v>0</v>
      </c>
      <c r="M48" s="2">
        <v>0</v>
      </c>
      <c r="N48" s="2">
        <v>133626.91</v>
      </c>
      <c r="O48" s="2">
        <v>0</v>
      </c>
      <c r="P48" s="2">
        <v>0</v>
      </c>
      <c r="Q48" s="2">
        <v>112657.03</v>
      </c>
      <c r="R48" s="2">
        <v>0</v>
      </c>
      <c r="S48" s="2">
        <v>0</v>
      </c>
      <c r="T48" s="2">
        <v>95529.099999999991</v>
      </c>
      <c r="U48" s="2">
        <v>0</v>
      </c>
      <c r="V48" s="2">
        <v>0</v>
      </c>
      <c r="W48" s="2">
        <v>81771.66</v>
      </c>
      <c r="X48" s="2">
        <v>0</v>
      </c>
      <c r="Y48" s="2">
        <v>0</v>
      </c>
      <c r="Z48" s="2">
        <v>70541.810000000012</v>
      </c>
      <c r="AA48" s="2">
        <v>0</v>
      </c>
      <c r="AB48" s="2">
        <v>0</v>
      </c>
      <c r="AC48" s="2">
        <v>61345.280000000006</v>
      </c>
      <c r="AD48" s="2">
        <v>0</v>
      </c>
    </row>
    <row r="49" spans="2:30" x14ac:dyDescent="0.3">
      <c r="E49" t="s">
        <v>7</v>
      </c>
      <c r="F49" s="2">
        <v>0</v>
      </c>
      <c r="G49" s="2">
        <v>0</v>
      </c>
      <c r="H49" s="2">
        <v>815958.67999999982</v>
      </c>
      <c r="I49" s="2">
        <v>0</v>
      </c>
      <c r="J49" s="2">
        <v>0</v>
      </c>
      <c r="K49" s="2">
        <v>801655.19</v>
      </c>
      <c r="L49" s="2">
        <v>0</v>
      </c>
      <c r="M49" s="2">
        <v>0</v>
      </c>
      <c r="N49" s="2">
        <v>720816.30000000016</v>
      </c>
      <c r="O49" s="2">
        <v>0</v>
      </c>
      <c r="P49" s="2">
        <v>0</v>
      </c>
      <c r="Q49" s="2">
        <v>642779.17999999993</v>
      </c>
      <c r="R49" s="2">
        <v>0</v>
      </c>
      <c r="S49" s="2">
        <v>0</v>
      </c>
      <c r="T49" s="2">
        <v>568299.39</v>
      </c>
      <c r="U49" s="2">
        <v>0</v>
      </c>
      <c r="V49" s="2">
        <v>0</v>
      </c>
      <c r="W49" s="2">
        <v>502057.61999999994</v>
      </c>
      <c r="X49" s="2">
        <v>0</v>
      </c>
      <c r="Y49" s="2">
        <v>0</v>
      </c>
      <c r="Z49" s="2">
        <v>443635.79</v>
      </c>
      <c r="AA49" s="2">
        <v>0</v>
      </c>
      <c r="AB49" s="2">
        <v>0</v>
      </c>
      <c r="AC49" s="2">
        <v>392234.32</v>
      </c>
      <c r="AD49" s="2">
        <v>0</v>
      </c>
    </row>
    <row r="50" spans="2:30" x14ac:dyDescent="0.3">
      <c r="E50" t="s">
        <v>8</v>
      </c>
      <c r="F50" s="2">
        <v>0</v>
      </c>
      <c r="G50" s="2">
        <v>0</v>
      </c>
      <c r="H50" s="2">
        <v>382368</v>
      </c>
      <c r="I50" s="2">
        <v>0</v>
      </c>
      <c r="J50" s="2">
        <v>0</v>
      </c>
      <c r="K50" s="2">
        <v>348164.84</v>
      </c>
      <c r="L50" s="2">
        <v>0</v>
      </c>
      <c r="M50" s="2">
        <v>0</v>
      </c>
      <c r="N50" s="2">
        <v>293514.96000000002</v>
      </c>
      <c r="O50" s="2">
        <v>0</v>
      </c>
      <c r="P50" s="2">
        <v>0</v>
      </c>
      <c r="Q50" s="2">
        <v>240323.45</v>
      </c>
      <c r="R50" s="2">
        <v>0</v>
      </c>
      <c r="S50" s="2">
        <v>0</v>
      </c>
      <c r="T50" s="2">
        <v>194942.49999999997</v>
      </c>
      <c r="U50" s="2">
        <v>0</v>
      </c>
      <c r="V50" s="2">
        <v>0</v>
      </c>
      <c r="W50" s="2">
        <v>157704.41999999998</v>
      </c>
      <c r="X50" s="2">
        <v>0</v>
      </c>
      <c r="Y50" s="2">
        <v>0</v>
      </c>
      <c r="Z50" s="2">
        <v>127552.75</v>
      </c>
      <c r="AA50" s="2">
        <v>0</v>
      </c>
      <c r="AB50" s="2">
        <v>0</v>
      </c>
      <c r="AC50" s="2">
        <v>103241.01</v>
      </c>
      <c r="AD50" s="2">
        <v>0</v>
      </c>
    </row>
    <row r="51" spans="2:30" x14ac:dyDescent="0.3">
      <c r="E51" t="s">
        <v>9</v>
      </c>
      <c r="F51" s="2">
        <v>0</v>
      </c>
      <c r="G51" s="2">
        <v>0</v>
      </c>
      <c r="H51" s="2">
        <v>84544.540000000008</v>
      </c>
      <c r="I51" s="2">
        <v>0</v>
      </c>
      <c r="J51" s="2">
        <v>0</v>
      </c>
      <c r="K51" s="2">
        <v>77478.52</v>
      </c>
      <c r="L51" s="2">
        <v>0</v>
      </c>
      <c r="M51" s="2">
        <v>0</v>
      </c>
      <c r="N51" s="2">
        <v>38282.18</v>
      </c>
      <c r="O51" s="2">
        <v>0</v>
      </c>
      <c r="P51" s="2">
        <v>0</v>
      </c>
      <c r="Q51" s="2">
        <v>24183.670000000002</v>
      </c>
      <c r="R51" s="2">
        <v>0</v>
      </c>
      <c r="S51" s="2">
        <v>0</v>
      </c>
      <c r="T51" s="2">
        <v>14563.64</v>
      </c>
      <c r="U51" s="2">
        <v>0</v>
      </c>
      <c r="V51" s="2">
        <v>0</v>
      </c>
      <c r="W51" s="2">
        <v>8888.5299999999988</v>
      </c>
      <c r="X51" s="2">
        <v>0</v>
      </c>
      <c r="Y51" s="2">
        <v>0</v>
      </c>
      <c r="Z51" s="2">
        <v>5440.31</v>
      </c>
      <c r="AA51" s="2">
        <v>0</v>
      </c>
      <c r="AB51" s="2">
        <v>0</v>
      </c>
      <c r="AC51" s="2">
        <v>3326.96</v>
      </c>
      <c r="AD51" s="2">
        <v>0</v>
      </c>
    </row>
    <row r="52" spans="2:30" x14ac:dyDescent="0.3">
      <c r="E52" t="s">
        <v>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4" spans="2:30" x14ac:dyDescent="0.3">
      <c r="D54" t="s">
        <v>21</v>
      </c>
      <c r="E54" t="s">
        <v>5</v>
      </c>
      <c r="F54">
        <v>0.24000000000000013</v>
      </c>
      <c r="G54">
        <v>0.24000000000000013</v>
      </c>
      <c r="H54">
        <v>0.24000000000000013</v>
      </c>
      <c r="I54">
        <v>0.24000000000000013</v>
      </c>
      <c r="J54">
        <v>0.24000000000000013</v>
      </c>
      <c r="K54">
        <v>0.24000000000000013</v>
      </c>
      <c r="L54">
        <v>0.24000000000000013</v>
      </c>
      <c r="M54">
        <v>0.24000000000000013</v>
      </c>
      <c r="N54">
        <v>0.24000000000000013</v>
      </c>
      <c r="O54">
        <v>0.24000000000000013</v>
      </c>
      <c r="P54">
        <v>0.24000000000000013</v>
      </c>
      <c r="Q54">
        <v>0.24000000000000013</v>
      </c>
      <c r="R54">
        <v>0.24000000000000013</v>
      </c>
      <c r="S54">
        <v>0.24000000000000013</v>
      </c>
      <c r="T54">
        <v>0.24000000000000013</v>
      </c>
      <c r="U54">
        <v>0.24000000000000013</v>
      </c>
      <c r="V54">
        <v>0.24000000000000013</v>
      </c>
      <c r="W54">
        <v>0.24000000000000013</v>
      </c>
      <c r="X54">
        <v>0.24000000000000013</v>
      </c>
      <c r="Y54">
        <v>0.24000000000000013</v>
      </c>
      <c r="Z54">
        <v>0.24000000000000013</v>
      </c>
      <c r="AA54">
        <v>0.24000000000000013</v>
      </c>
      <c r="AB54">
        <v>0.24000000000000013</v>
      </c>
      <c r="AC54">
        <v>0.24000000000000013</v>
      </c>
      <c r="AD54">
        <v>0.24000000000000013</v>
      </c>
    </row>
    <row r="55" spans="2:30" x14ac:dyDescent="0.3">
      <c r="E55" t="s">
        <v>6</v>
      </c>
      <c r="F55">
        <v>0.24000000000000013</v>
      </c>
      <c r="G55">
        <v>0.24000000000000013</v>
      </c>
      <c r="H55">
        <v>0.24000000000000013</v>
      </c>
      <c r="I55">
        <v>0.24000000000000013</v>
      </c>
      <c r="J55">
        <v>0.24000000000000013</v>
      </c>
      <c r="K55">
        <v>0.24000000000000013</v>
      </c>
      <c r="L55">
        <v>0.24000000000000013</v>
      </c>
      <c r="M55">
        <v>0.24000000000000013</v>
      </c>
      <c r="N55">
        <v>0.24000000000000013</v>
      </c>
      <c r="O55">
        <v>0.24000000000000013</v>
      </c>
      <c r="P55">
        <v>0.24000000000000013</v>
      </c>
      <c r="Q55">
        <v>0.24000000000000013</v>
      </c>
      <c r="R55">
        <v>0.24000000000000013</v>
      </c>
      <c r="S55">
        <v>0.24000000000000013</v>
      </c>
      <c r="T55">
        <v>0.24000000000000013</v>
      </c>
      <c r="U55">
        <v>0.24000000000000013</v>
      </c>
      <c r="V55">
        <v>0.24000000000000013</v>
      </c>
      <c r="W55">
        <v>0.24000000000000013</v>
      </c>
      <c r="X55">
        <v>0.24000000000000013</v>
      </c>
      <c r="Y55">
        <v>0.24000000000000013</v>
      </c>
      <c r="Z55">
        <v>0.24000000000000013</v>
      </c>
      <c r="AA55">
        <v>0.24000000000000013</v>
      </c>
      <c r="AB55">
        <v>0.24000000000000013</v>
      </c>
      <c r="AC55">
        <v>0.24000000000000013</v>
      </c>
      <c r="AD55">
        <v>0.24000000000000013</v>
      </c>
    </row>
    <row r="56" spans="2:30" x14ac:dyDescent="0.3">
      <c r="E56" t="s">
        <v>7</v>
      </c>
      <c r="F56">
        <v>0.24000000000000013</v>
      </c>
      <c r="G56">
        <v>0.24000000000000013</v>
      </c>
      <c r="H56">
        <v>0.24000000000000013</v>
      </c>
      <c r="I56">
        <v>0.24000000000000013</v>
      </c>
      <c r="J56">
        <v>0.24000000000000013</v>
      </c>
      <c r="K56">
        <v>0.24000000000000013</v>
      </c>
      <c r="L56">
        <v>0.24000000000000013</v>
      </c>
      <c r="M56">
        <v>0.24000000000000013</v>
      </c>
      <c r="N56">
        <v>0.24000000000000013</v>
      </c>
      <c r="O56">
        <v>0.24000000000000013</v>
      </c>
      <c r="P56">
        <v>0.24000000000000013</v>
      </c>
      <c r="Q56">
        <v>0.24000000000000013</v>
      </c>
      <c r="R56">
        <v>0.24000000000000013</v>
      </c>
      <c r="S56">
        <v>0.24000000000000013</v>
      </c>
      <c r="T56">
        <v>0.24000000000000013</v>
      </c>
      <c r="U56">
        <v>0.24000000000000013</v>
      </c>
      <c r="V56">
        <v>0.24000000000000013</v>
      </c>
      <c r="W56">
        <v>0.24000000000000013</v>
      </c>
      <c r="X56">
        <v>0.24000000000000013</v>
      </c>
      <c r="Y56">
        <v>0.24000000000000013</v>
      </c>
      <c r="Z56">
        <v>0.24000000000000013</v>
      </c>
      <c r="AA56">
        <v>0.24000000000000013</v>
      </c>
      <c r="AB56">
        <v>0.24000000000000013</v>
      </c>
      <c r="AC56">
        <v>0.24000000000000013</v>
      </c>
      <c r="AD56">
        <v>0.24000000000000013</v>
      </c>
    </row>
    <row r="57" spans="2:30" x14ac:dyDescent="0.3">
      <c r="E57" t="s">
        <v>8</v>
      </c>
      <c r="F57">
        <v>0.24000000000000013</v>
      </c>
      <c r="G57">
        <v>0.24000000000000013</v>
      </c>
      <c r="H57">
        <v>0.24000000000000013</v>
      </c>
      <c r="I57">
        <v>0.24000000000000013</v>
      </c>
      <c r="J57">
        <v>0.24000000000000013</v>
      </c>
      <c r="K57">
        <v>0.24000000000000013</v>
      </c>
      <c r="L57">
        <v>0.24000000000000013</v>
      </c>
      <c r="M57">
        <v>0.24000000000000013</v>
      </c>
      <c r="N57">
        <v>0.24000000000000013</v>
      </c>
      <c r="O57">
        <v>0.24000000000000013</v>
      </c>
      <c r="P57">
        <v>0.24000000000000013</v>
      </c>
      <c r="Q57">
        <v>0.24000000000000013</v>
      </c>
      <c r="R57">
        <v>0.24000000000000013</v>
      </c>
      <c r="S57">
        <v>0.24000000000000013</v>
      </c>
      <c r="T57">
        <v>0.24000000000000013</v>
      </c>
      <c r="U57">
        <v>0.24000000000000013</v>
      </c>
      <c r="V57">
        <v>0.24000000000000013</v>
      </c>
      <c r="W57">
        <v>0.24000000000000013</v>
      </c>
      <c r="X57">
        <v>0.24000000000000013</v>
      </c>
      <c r="Y57">
        <v>0.24000000000000013</v>
      </c>
      <c r="Z57">
        <v>0.24000000000000013</v>
      </c>
      <c r="AA57">
        <v>0.24000000000000013</v>
      </c>
      <c r="AB57">
        <v>0.24000000000000013</v>
      </c>
      <c r="AC57">
        <v>0.24000000000000013</v>
      </c>
      <c r="AD57">
        <v>0.24000000000000013</v>
      </c>
    </row>
    <row r="58" spans="2:30" x14ac:dyDescent="0.3">
      <c r="E58" t="s">
        <v>9</v>
      </c>
      <c r="F58">
        <v>0.24000000000000002</v>
      </c>
      <c r="G58">
        <v>0.24000000000000002</v>
      </c>
      <c r="H58">
        <v>0.24000000000000002</v>
      </c>
      <c r="I58">
        <v>0.24000000000000002</v>
      </c>
      <c r="J58">
        <v>0.24000000000000002</v>
      </c>
      <c r="K58">
        <v>0.24000000000000002</v>
      </c>
      <c r="L58">
        <v>0.24000000000000002</v>
      </c>
      <c r="M58">
        <v>0.24000000000000002</v>
      </c>
      <c r="N58">
        <v>0.24000000000000002</v>
      </c>
      <c r="O58">
        <v>0.24000000000000002</v>
      </c>
      <c r="P58">
        <v>0.24000000000000002</v>
      </c>
      <c r="Q58">
        <v>0.24000000000000002</v>
      </c>
      <c r="R58">
        <v>0.24000000000000002</v>
      </c>
      <c r="S58">
        <v>0.24000000000000002</v>
      </c>
      <c r="T58">
        <v>0.24000000000000002</v>
      </c>
      <c r="U58">
        <v>0.24000000000000002</v>
      </c>
      <c r="V58">
        <v>0.24000000000000002</v>
      </c>
      <c r="W58">
        <v>0.24000000000000002</v>
      </c>
      <c r="X58">
        <v>0.24000000000000002</v>
      </c>
      <c r="Y58">
        <v>0.24000000000000002</v>
      </c>
      <c r="Z58">
        <v>0.24000000000000002</v>
      </c>
      <c r="AA58">
        <v>0.24000000000000002</v>
      </c>
      <c r="AB58">
        <v>0.24000000000000002</v>
      </c>
      <c r="AC58">
        <v>0.24000000000000002</v>
      </c>
      <c r="AD58">
        <v>0.24000000000000002</v>
      </c>
    </row>
    <row r="59" spans="2:30" x14ac:dyDescent="0.3">
      <c r="E59" t="s">
        <v>3</v>
      </c>
    </row>
    <row r="61" spans="2:30" x14ac:dyDescent="0.3">
      <c r="B61" s="3" t="s">
        <v>22</v>
      </c>
      <c r="D61" t="s">
        <v>23</v>
      </c>
      <c r="E61" t="s">
        <v>5</v>
      </c>
      <c r="F61" s="2">
        <v>0</v>
      </c>
      <c r="G61" s="2">
        <v>0</v>
      </c>
      <c r="H61" s="2">
        <v>616130.54</v>
      </c>
      <c r="I61" s="2">
        <v>0</v>
      </c>
      <c r="J61" s="2">
        <v>0</v>
      </c>
      <c r="K61" s="2">
        <v>521288.73999999993</v>
      </c>
      <c r="L61" s="2">
        <v>0</v>
      </c>
      <c r="M61" s="2">
        <v>0</v>
      </c>
      <c r="N61" s="2">
        <v>408631.3</v>
      </c>
      <c r="O61" s="2">
        <v>0</v>
      </c>
      <c r="P61" s="2">
        <v>0</v>
      </c>
      <c r="Q61" s="2">
        <v>311836.17</v>
      </c>
      <c r="R61" s="2">
        <v>0</v>
      </c>
      <c r="S61" s="2">
        <v>0</v>
      </c>
      <c r="T61" s="2">
        <v>236264.36999999997</v>
      </c>
      <c r="U61" s="2">
        <v>0</v>
      </c>
      <c r="V61" s="2">
        <v>0</v>
      </c>
      <c r="W61" s="2">
        <v>178905.62000000002</v>
      </c>
      <c r="X61" s="2">
        <v>0</v>
      </c>
      <c r="Y61" s="2">
        <v>0</v>
      </c>
      <c r="Z61" s="2">
        <v>135830.06999999998</v>
      </c>
      <c r="AA61" s="2">
        <v>0</v>
      </c>
      <c r="AB61" s="2">
        <v>0</v>
      </c>
      <c r="AC61" s="2">
        <v>103517.62000000001</v>
      </c>
      <c r="AD61" s="2">
        <v>0</v>
      </c>
    </row>
    <row r="62" spans="2:30" x14ac:dyDescent="0.3">
      <c r="B62" s="3" t="s">
        <v>24</v>
      </c>
      <c r="E62" t="s">
        <v>6</v>
      </c>
      <c r="F62" s="2">
        <v>0</v>
      </c>
      <c r="G62" s="2">
        <v>0</v>
      </c>
      <c r="H62" s="2">
        <v>58121.310000000005</v>
      </c>
      <c r="I62" s="2">
        <v>0</v>
      </c>
      <c r="J62" s="2">
        <v>0</v>
      </c>
      <c r="K62" s="2">
        <v>48944.41</v>
      </c>
      <c r="L62" s="2">
        <v>0</v>
      </c>
      <c r="M62" s="2">
        <v>0</v>
      </c>
      <c r="N62" s="2">
        <v>40854.080000000002</v>
      </c>
      <c r="O62" s="2">
        <v>0</v>
      </c>
      <c r="P62" s="2">
        <v>0</v>
      </c>
      <c r="Q62" s="2">
        <v>34442.909999999996</v>
      </c>
      <c r="R62" s="2">
        <v>0</v>
      </c>
      <c r="S62" s="2">
        <v>0</v>
      </c>
      <c r="T62" s="2">
        <v>29206.35</v>
      </c>
      <c r="U62" s="2">
        <v>0</v>
      </c>
      <c r="V62" s="2">
        <v>0</v>
      </c>
      <c r="W62" s="2">
        <v>25000.26</v>
      </c>
      <c r="X62" s="2">
        <v>0</v>
      </c>
      <c r="Y62" s="2">
        <v>0</v>
      </c>
      <c r="Z62" s="2">
        <v>21566.930000000004</v>
      </c>
      <c r="AA62" s="2">
        <v>0</v>
      </c>
      <c r="AB62" s="2">
        <v>0</v>
      </c>
      <c r="AC62" s="2">
        <v>18755.25</v>
      </c>
      <c r="AD62" s="2">
        <v>0</v>
      </c>
    </row>
    <row r="63" spans="2:30" x14ac:dyDescent="0.3">
      <c r="B63" s="3" t="s">
        <v>25</v>
      </c>
      <c r="E63" t="s">
        <v>7</v>
      </c>
      <c r="F63" s="2">
        <v>0</v>
      </c>
      <c r="G63" s="2">
        <v>0</v>
      </c>
      <c r="H63" s="2">
        <v>249465.08999999997</v>
      </c>
      <c r="I63" s="2">
        <v>0</v>
      </c>
      <c r="J63" s="2">
        <v>0</v>
      </c>
      <c r="K63" s="2">
        <v>245092.06000000006</v>
      </c>
      <c r="L63" s="2">
        <v>0</v>
      </c>
      <c r="M63" s="2">
        <v>0</v>
      </c>
      <c r="N63" s="2">
        <v>220376.95999999999</v>
      </c>
      <c r="O63" s="2">
        <v>0</v>
      </c>
      <c r="P63" s="2">
        <v>0</v>
      </c>
      <c r="Q63" s="2">
        <v>196518.49</v>
      </c>
      <c r="R63" s="2">
        <v>0</v>
      </c>
      <c r="S63" s="2">
        <v>0</v>
      </c>
      <c r="T63" s="2">
        <v>173747.58</v>
      </c>
      <c r="U63" s="2">
        <v>0</v>
      </c>
      <c r="V63" s="2">
        <v>0</v>
      </c>
      <c r="W63" s="2">
        <v>153495.30000000002</v>
      </c>
      <c r="X63" s="2">
        <v>0</v>
      </c>
      <c r="Y63" s="2">
        <v>0</v>
      </c>
      <c r="Z63" s="2">
        <v>135633.86999999997</v>
      </c>
      <c r="AA63" s="2">
        <v>0</v>
      </c>
      <c r="AB63" s="2">
        <v>0</v>
      </c>
      <c r="AC63" s="2">
        <v>119918.78</v>
      </c>
      <c r="AD63" s="2">
        <v>0</v>
      </c>
    </row>
    <row r="64" spans="2:30" x14ac:dyDescent="0.3">
      <c r="B64" s="3">
        <f>GETPIVOTDATA("Sum of Debt_Sale_Provision_Release",$D$3,"ForecastMonth",DATE(2025,12,31),"Segment","NRP-L")*GETPIVOTDATA("Average of Debt_Sale_Proceeds_Rate",$D$3,"ForecastMonth",DATE(2025,12,31),"Segment","NRP-L")</f>
        <v>45625.221600000026</v>
      </c>
      <c r="E64" t="s">
        <v>8</v>
      </c>
      <c r="F64" s="2">
        <v>0</v>
      </c>
      <c r="G64" s="2">
        <v>0</v>
      </c>
      <c r="H64" s="2">
        <v>116902.31999999999</v>
      </c>
      <c r="I64" s="2">
        <v>0</v>
      </c>
      <c r="J64" s="2">
        <v>0</v>
      </c>
      <c r="K64" s="2">
        <v>106445.29999999999</v>
      </c>
      <c r="L64" s="2">
        <v>0</v>
      </c>
      <c r="M64" s="2">
        <v>0</v>
      </c>
      <c r="N64" s="2">
        <v>89737.069999999992</v>
      </c>
      <c r="O64" s="2">
        <v>0</v>
      </c>
      <c r="P64" s="2">
        <v>0</v>
      </c>
      <c r="Q64" s="2">
        <v>73474.69</v>
      </c>
      <c r="R64" s="2">
        <v>0</v>
      </c>
      <c r="S64" s="2">
        <v>0</v>
      </c>
      <c r="T64" s="2">
        <v>59600.250000000007</v>
      </c>
      <c r="U64" s="2">
        <v>0</v>
      </c>
      <c r="V64" s="2">
        <v>0</v>
      </c>
      <c r="W64" s="2">
        <v>48215.37</v>
      </c>
      <c r="X64" s="2">
        <v>0</v>
      </c>
      <c r="Y64" s="2">
        <v>0</v>
      </c>
      <c r="Z64" s="2">
        <v>38997</v>
      </c>
      <c r="AA64" s="2">
        <v>0</v>
      </c>
      <c r="AB64" s="2">
        <v>0</v>
      </c>
      <c r="AC64" s="2">
        <v>31564.12</v>
      </c>
      <c r="AD64" s="2">
        <v>0</v>
      </c>
    </row>
    <row r="65" spans="2:30" x14ac:dyDescent="0.3">
      <c r="B65" s="3" t="s">
        <v>26</v>
      </c>
      <c r="E65" t="s">
        <v>9</v>
      </c>
      <c r="F65" s="2">
        <v>0</v>
      </c>
      <c r="G65" s="2">
        <v>0</v>
      </c>
      <c r="H65" s="2">
        <v>25848.01</v>
      </c>
      <c r="I65" s="2">
        <v>0</v>
      </c>
      <c r="J65" s="2">
        <v>0</v>
      </c>
      <c r="K65" s="2">
        <v>23687.699999999997</v>
      </c>
      <c r="L65" s="2">
        <v>0</v>
      </c>
      <c r="M65" s="2">
        <v>0</v>
      </c>
      <c r="N65" s="2">
        <v>11704.11</v>
      </c>
      <c r="O65" s="2">
        <v>0</v>
      </c>
      <c r="P65" s="2">
        <v>0</v>
      </c>
      <c r="Q65" s="2">
        <v>7393.7300000000005</v>
      </c>
      <c r="R65" s="2">
        <v>0</v>
      </c>
      <c r="S65" s="2">
        <v>0</v>
      </c>
      <c r="T65" s="2">
        <v>4452.58</v>
      </c>
      <c r="U65" s="2">
        <v>0</v>
      </c>
      <c r="V65" s="2">
        <v>0</v>
      </c>
      <c r="W65" s="2">
        <v>2717.51</v>
      </c>
      <c r="X65" s="2">
        <v>0</v>
      </c>
      <c r="Y65" s="2">
        <v>0</v>
      </c>
      <c r="Z65" s="2">
        <v>1663.28</v>
      </c>
      <c r="AA65" s="2">
        <v>0</v>
      </c>
      <c r="AB65" s="2">
        <v>0</v>
      </c>
      <c r="AC65" s="2">
        <v>1017.16</v>
      </c>
      <c r="AD65" s="2">
        <v>0</v>
      </c>
    </row>
    <row r="66" spans="2:30" x14ac:dyDescent="0.3">
      <c r="E66" t="s">
        <v>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8" spans="2:30" x14ac:dyDescent="0.3">
      <c r="D68" t="s">
        <v>27</v>
      </c>
      <c r="E68" t="s">
        <v>5</v>
      </c>
      <c r="F68" s="2">
        <v>16065717.330000002</v>
      </c>
      <c r="G68" s="2">
        <v>13003289.880000001</v>
      </c>
      <c r="H68" s="2">
        <v>13541924.989999998</v>
      </c>
      <c r="I68" s="2">
        <v>13806282.979999999</v>
      </c>
      <c r="J68" s="2">
        <v>15342044.930000002</v>
      </c>
      <c r="K68" s="2">
        <v>13594217.16</v>
      </c>
      <c r="L68" s="2">
        <v>13796485.99</v>
      </c>
      <c r="M68" s="2">
        <v>14313256.930000002</v>
      </c>
      <c r="N68" s="2">
        <v>11961288.07</v>
      </c>
      <c r="O68" s="2">
        <v>12827794.629999999</v>
      </c>
      <c r="P68" s="2">
        <v>12255141.370000001</v>
      </c>
      <c r="Q68" s="2">
        <v>11762188.840000002</v>
      </c>
      <c r="R68" s="2">
        <v>12309290.529999999</v>
      </c>
      <c r="S68" s="2">
        <v>12200545.610000001</v>
      </c>
      <c r="T68" s="2">
        <v>12697413.5</v>
      </c>
      <c r="U68" s="2">
        <v>10953305.779999999</v>
      </c>
      <c r="V68" s="2">
        <v>11194018.289999999</v>
      </c>
      <c r="W68" s="2">
        <v>10041939.01</v>
      </c>
      <c r="X68" s="2">
        <v>9520610.6499999985</v>
      </c>
      <c r="Y68" s="2">
        <v>9757106.0199999977</v>
      </c>
      <c r="Z68" s="2">
        <v>8457895.2699999996</v>
      </c>
      <c r="AA68" s="2">
        <v>8605642.8099999987</v>
      </c>
      <c r="AB68" s="2">
        <v>8206156.9300000006</v>
      </c>
      <c r="AC68" s="2">
        <v>8292162.4299999997</v>
      </c>
      <c r="AD68" s="2">
        <v>8611708.3499999996</v>
      </c>
    </row>
    <row r="69" spans="2:30" x14ac:dyDescent="0.3">
      <c r="E69" t="s">
        <v>6</v>
      </c>
      <c r="F69" s="2">
        <v>563720.19999999995</v>
      </c>
      <c r="G69" s="2">
        <v>811793.08</v>
      </c>
      <c r="H69" s="2">
        <v>254554.96</v>
      </c>
      <c r="I69" s="2">
        <v>545901.77999999991</v>
      </c>
      <c r="J69" s="2">
        <v>609681.06999999983</v>
      </c>
      <c r="K69" s="2">
        <v>570713.17999999993</v>
      </c>
      <c r="L69" s="2">
        <v>877910.07999999984</v>
      </c>
      <c r="M69" s="2">
        <v>988302.71</v>
      </c>
      <c r="N69" s="2">
        <v>696840.45</v>
      </c>
      <c r="O69" s="2">
        <v>937452.38</v>
      </c>
      <c r="P69" s="2">
        <v>857202.54000000015</v>
      </c>
      <c r="Q69" s="2">
        <v>949153.03</v>
      </c>
      <c r="R69" s="2">
        <v>1100561.9500000002</v>
      </c>
      <c r="S69" s="2">
        <v>848522.01000000013</v>
      </c>
      <c r="T69" s="2">
        <v>368491.58999999997</v>
      </c>
      <c r="U69" s="2">
        <v>556708.22000000009</v>
      </c>
      <c r="V69" s="2">
        <v>606707.18999999994</v>
      </c>
      <c r="W69" s="2">
        <v>636259.3600000001</v>
      </c>
      <c r="X69" s="2">
        <v>833662.33</v>
      </c>
      <c r="Y69" s="2">
        <v>936030.48</v>
      </c>
      <c r="Z69" s="2">
        <v>725135.76</v>
      </c>
      <c r="AA69" s="2">
        <v>879726.37</v>
      </c>
      <c r="AB69" s="2">
        <v>787292.24</v>
      </c>
      <c r="AC69" s="2">
        <v>892029.52</v>
      </c>
      <c r="AD69" s="2">
        <v>965363.20999999985</v>
      </c>
    </row>
    <row r="70" spans="2:30" x14ac:dyDescent="0.3">
      <c r="E70" t="s">
        <v>7</v>
      </c>
      <c r="F70" s="2">
        <v>5977924.1200000001</v>
      </c>
      <c r="G70" s="2">
        <v>4833174.1000000006</v>
      </c>
      <c r="H70" s="2">
        <v>3767326.9799999995</v>
      </c>
      <c r="I70" s="2">
        <v>5393101.6600000011</v>
      </c>
      <c r="J70" s="2">
        <v>5862644.870000002</v>
      </c>
      <c r="K70" s="2">
        <v>5600921.0200000005</v>
      </c>
      <c r="L70" s="2">
        <v>5195565.6799999988</v>
      </c>
      <c r="M70" s="2">
        <v>5560138.7600000007</v>
      </c>
      <c r="N70" s="2">
        <v>4815321.71</v>
      </c>
      <c r="O70" s="2">
        <v>6041740.370000002</v>
      </c>
      <c r="P70" s="2">
        <v>5995908.9900000012</v>
      </c>
      <c r="Q70" s="2">
        <v>6104402.8200000012</v>
      </c>
      <c r="R70" s="2">
        <v>6851969.4299999997</v>
      </c>
      <c r="S70" s="2">
        <v>7294082.4199999981</v>
      </c>
      <c r="T70" s="2">
        <v>6159705.1299999999</v>
      </c>
      <c r="U70" s="2">
        <v>7578034.2699999996</v>
      </c>
      <c r="V70" s="2">
        <v>7866158.629999999</v>
      </c>
      <c r="W70" s="2">
        <v>7666297.4999999981</v>
      </c>
      <c r="X70" s="2">
        <v>6401097.5099999998</v>
      </c>
      <c r="Y70" s="2">
        <v>6538489.9299999997</v>
      </c>
      <c r="Z70" s="2">
        <v>5828712.4899999993</v>
      </c>
      <c r="AA70" s="2">
        <v>6642716.1200000001</v>
      </c>
      <c r="AB70" s="2">
        <v>6411780.04</v>
      </c>
      <c r="AC70" s="2">
        <v>6664614.6699999999</v>
      </c>
      <c r="AD70" s="2">
        <v>7074783.0100000007</v>
      </c>
    </row>
    <row r="71" spans="2:30" x14ac:dyDescent="0.3">
      <c r="E71" t="s">
        <v>8</v>
      </c>
      <c r="F71" s="2">
        <v>3429094.1</v>
      </c>
      <c r="G71" s="2">
        <v>2239074.9100000006</v>
      </c>
      <c r="H71" s="2">
        <v>2094713.47</v>
      </c>
      <c r="I71" s="2">
        <v>2278461.1000000006</v>
      </c>
      <c r="J71" s="2">
        <v>2369521.3299999996</v>
      </c>
      <c r="K71" s="2">
        <v>2072328.41</v>
      </c>
      <c r="L71" s="2">
        <v>2200088.4499999997</v>
      </c>
      <c r="M71" s="2">
        <v>2215814.3000000007</v>
      </c>
      <c r="N71" s="2">
        <v>1720873.81</v>
      </c>
      <c r="O71" s="2">
        <v>1997681.5</v>
      </c>
      <c r="P71" s="2">
        <v>1868000.8800000001</v>
      </c>
      <c r="Q71" s="2">
        <v>1715500.9800000002</v>
      </c>
      <c r="R71" s="2">
        <v>1919782.8499999996</v>
      </c>
      <c r="S71" s="2">
        <v>1815839.1800000002</v>
      </c>
      <c r="T71" s="2">
        <v>1765850.8000000005</v>
      </c>
      <c r="U71" s="2">
        <v>1702227.3000000003</v>
      </c>
      <c r="V71" s="2">
        <v>1695151.9499999995</v>
      </c>
      <c r="W71" s="2">
        <v>1510933.3199999996</v>
      </c>
      <c r="X71" s="2">
        <v>1482420.4799999997</v>
      </c>
      <c r="Y71" s="2">
        <v>1447956.4800000002</v>
      </c>
      <c r="Z71" s="2">
        <v>1163735.1199999999</v>
      </c>
      <c r="AA71" s="2">
        <v>1265852.26</v>
      </c>
      <c r="AB71" s="2">
        <v>1166829.33</v>
      </c>
      <c r="AC71" s="2">
        <v>1100078.92</v>
      </c>
      <c r="AD71" s="2">
        <v>1179020</v>
      </c>
    </row>
    <row r="72" spans="2:30" x14ac:dyDescent="0.3">
      <c r="E72" t="s">
        <v>9</v>
      </c>
      <c r="F72" s="2">
        <v>601555.32999999996</v>
      </c>
      <c r="G72" s="2">
        <v>482127.51</v>
      </c>
      <c r="H72" s="2">
        <v>319649.15999999997</v>
      </c>
      <c r="I72" s="2">
        <v>399900.65</v>
      </c>
      <c r="J72" s="2">
        <v>359739.8</v>
      </c>
      <c r="K72" s="2">
        <v>273133.58</v>
      </c>
      <c r="L72" s="2">
        <v>214037.44</v>
      </c>
      <c r="M72" s="2">
        <v>190935.56</v>
      </c>
      <c r="N72" s="2">
        <v>124872.12999999999</v>
      </c>
      <c r="O72" s="2">
        <v>149235.17000000001</v>
      </c>
      <c r="P72" s="2">
        <v>123484.3</v>
      </c>
      <c r="Q72" s="2">
        <v>91062.900000000009</v>
      </c>
      <c r="R72" s="2">
        <v>100081.69</v>
      </c>
      <c r="S72" s="2">
        <v>71580.59</v>
      </c>
      <c r="T72" s="2">
        <v>43708.24</v>
      </c>
      <c r="U72" s="2">
        <v>55594.520000000004</v>
      </c>
      <c r="V72" s="2">
        <v>49156.22</v>
      </c>
      <c r="W72" s="2">
        <v>38831.89</v>
      </c>
      <c r="X72" s="2">
        <v>29547.29</v>
      </c>
      <c r="Y72" s="2">
        <v>26355.09</v>
      </c>
      <c r="Z72" s="2">
        <v>16955.61</v>
      </c>
      <c r="AA72" s="2">
        <v>20385.599999999999</v>
      </c>
      <c r="AB72" s="2">
        <v>16853.670000000002</v>
      </c>
      <c r="AC72" s="2">
        <v>12410.699999999999</v>
      </c>
      <c r="AD72" s="2">
        <v>13687.24</v>
      </c>
    </row>
    <row r="73" spans="2:30" x14ac:dyDescent="0.3">
      <c r="E73" t="s">
        <v>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5" spans="2:30" x14ac:dyDescent="0.3">
      <c r="D75" t="s">
        <v>28</v>
      </c>
      <c r="E75" t="s">
        <v>5</v>
      </c>
      <c r="F75" s="2">
        <v>117689684.21999998</v>
      </c>
      <c r="G75" s="2">
        <v>113897568.06999999</v>
      </c>
      <c r="H75" s="2">
        <v>107202334.86999999</v>
      </c>
      <c r="I75" s="2">
        <v>102936524.20999999</v>
      </c>
      <c r="J75" s="2">
        <v>98690698.950000003</v>
      </c>
      <c r="K75" s="2">
        <v>89929559.040000007</v>
      </c>
      <c r="L75" s="2">
        <v>83359839.639999986</v>
      </c>
      <c r="M75" s="2">
        <v>77500102.229999989</v>
      </c>
      <c r="N75" s="2">
        <v>70413196.879999995</v>
      </c>
      <c r="O75" s="2">
        <v>65704085.020000003</v>
      </c>
      <c r="P75" s="2">
        <v>61673190.849999994</v>
      </c>
      <c r="Q75" s="2">
        <v>56780086.739999995</v>
      </c>
      <c r="R75" s="2">
        <v>53530072.49000001</v>
      </c>
      <c r="S75" s="2">
        <v>50634506.190000005</v>
      </c>
      <c r="T75" s="2">
        <v>46965552.870000005</v>
      </c>
      <c r="U75" s="2">
        <v>44457692.779999994</v>
      </c>
      <c r="V75" s="2">
        <v>42167735.04999999</v>
      </c>
      <c r="W75" s="2">
        <v>39264976.829999998</v>
      </c>
      <c r="X75" s="2">
        <v>37228608.32</v>
      </c>
      <c r="Y75" s="2">
        <v>35352527.079999998</v>
      </c>
      <c r="Z75" s="2">
        <v>33011589.870000001</v>
      </c>
      <c r="AA75" s="2">
        <v>31331464.43</v>
      </c>
      <c r="AB75" s="2">
        <v>29776948.830000002</v>
      </c>
      <c r="AC75" s="2">
        <v>27872857.780000001</v>
      </c>
      <c r="AD75" s="2">
        <v>26477289.740000002</v>
      </c>
    </row>
    <row r="76" spans="2:30" x14ac:dyDescent="0.3">
      <c r="E76" t="s">
        <v>6</v>
      </c>
      <c r="F76" s="2">
        <v>5517434.6399999987</v>
      </c>
      <c r="G76" s="2">
        <v>5371841.5700000003</v>
      </c>
      <c r="H76" s="2">
        <v>4981030.8499999996</v>
      </c>
      <c r="I76" s="2">
        <v>4841580.7699999996</v>
      </c>
      <c r="J76" s="2">
        <v>4708872.08</v>
      </c>
      <c r="K76" s="2">
        <v>4375910.37</v>
      </c>
      <c r="L76" s="2">
        <v>4251601.1400000006</v>
      </c>
      <c r="M76" s="2">
        <v>4138216.46</v>
      </c>
      <c r="N76" s="2">
        <v>3858910.5</v>
      </c>
      <c r="O76" s="2">
        <v>3754120.9799999995</v>
      </c>
      <c r="P76" s="2">
        <v>3659162.4500000011</v>
      </c>
      <c r="Q76" s="2">
        <v>3424502.1300000008</v>
      </c>
      <c r="R76" s="2">
        <v>3337017.8599999994</v>
      </c>
      <c r="S76" s="2">
        <v>3257614.98</v>
      </c>
      <c r="T76" s="2">
        <v>3059666.3899999997</v>
      </c>
      <c r="U76" s="2">
        <v>2986412.0300000003</v>
      </c>
      <c r="V76" s="2">
        <v>2919679.73</v>
      </c>
      <c r="W76" s="2">
        <v>2751335.9600000004</v>
      </c>
      <c r="X76" s="2">
        <v>2689593.6799999997</v>
      </c>
      <c r="Y76" s="2">
        <v>2633117.6000000006</v>
      </c>
      <c r="Z76" s="2">
        <v>2488854.7899999996</v>
      </c>
      <c r="AA76" s="2">
        <v>2436431.3700000006</v>
      </c>
      <c r="AB76" s="2">
        <v>2388282.1999999997</v>
      </c>
      <c r="AC76" s="2">
        <v>2263679.2600000007</v>
      </c>
      <c r="AD76" s="2">
        <v>2218838.0299999998</v>
      </c>
    </row>
    <row r="77" spans="2:30" x14ac:dyDescent="0.3">
      <c r="E77" t="s">
        <v>7</v>
      </c>
      <c r="F77" s="2">
        <v>106116574.60999998</v>
      </c>
      <c r="G77" s="2">
        <v>103679111.19</v>
      </c>
      <c r="H77" s="2">
        <v>100021997.78</v>
      </c>
      <c r="I77" s="2">
        <v>97385448.030000001</v>
      </c>
      <c r="J77" s="2">
        <v>94876254.170000017</v>
      </c>
      <c r="K77" s="2">
        <v>90454907.179999992</v>
      </c>
      <c r="L77" s="2">
        <v>86943372.620000005</v>
      </c>
      <c r="M77" s="2">
        <v>83587701.650000006</v>
      </c>
      <c r="N77" s="2">
        <v>79376734.829999983</v>
      </c>
      <c r="O77" s="2">
        <v>76310556.940000013</v>
      </c>
      <c r="P77" s="2">
        <v>73510515.310000002</v>
      </c>
      <c r="Q77" s="2">
        <v>70108918.460000008</v>
      </c>
      <c r="R77" s="2">
        <v>67728366.209999993</v>
      </c>
      <c r="S77" s="2">
        <v>65549881.5</v>
      </c>
      <c r="T77" s="2">
        <v>62796487.350000009</v>
      </c>
      <c r="U77" s="2">
        <v>60894123.399999991</v>
      </c>
      <c r="V77" s="2">
        <v>59122989.519999988</v>
      </c>
      <c r="W77" s="2">
        <v>56804173.049999997</v>
      </c>
      <c r="X77" s="2">
        <v>55204425.460000008</v>
      </c>
      <c r="Y77" s="2">
        <v>53694365.589999996</v>
      </c>
      <c r="Z77" s="2">
        <v>51680193.969999999</v>
      </c>
      <c r="AA77" s="2">
        <v>50285950.059999995</v>
      </c>
      <c r="AB77" s="2">
        <v>48959050.060000002</v>
      </c>
      <c r="AC77" s="2">
        <v>47177634.969999991</v>
      </c>
      <c r="AD77" s="2">
        <v>45937752.960000001</v>
      </c>
    </row>
    <row r="78" spans="2:30" x14ac:dyDescent="0.3">
      <c r="E78" t="s">
        <v>8</v>
      </c>
      <c r="F78" s="2">
        <v>43014489.960000001</v>
      </c>
      <c r="G78" s="2">
        <v>41315670.859999992</v>
      </c>
      <c r="H78" s="2">
        <v>39069126.180000007</v>
      </c>
      <c r="I78" s="2">
        <v>37336199.149999999</v>
      </c>
      <c r="J78" s="2">
        <v>35632552.750000007</v>
      </c>
      <c r="K78" s="2">
        <v>33180055.399999999</v>
      </c>
      <c r="L78" s="2">
        <v>31162155.079999994</v>
      </c>
      <c r="M78" s="2">
        <v>29246383.739999995</v>
      </c>
      <c r="N78" s="2">
        <v>27019378.969999995</v>
      </c>
      <c r="O78" s="2">
        <v>25292023.039999995</v>
      </c>
      <c r="P78" s="2">
        <v>23716244.84</v>
      </c>
      <c r="Q78" s="2">
        <v>21957014.690000001</v>
      </c>
      <c r="R78" s="2">
        <v>20620269.890000001</v>
      </c>
      <c r="S78" s="2">
        <v>19406426.34</v>
      </c>
      <c r="T78" s="2">
        <v>18037190.890000001</v>
      </c>
      <c r="U78" s="2">
        <v>16999179.719999999</v>
      </c>
      <c r="V78" s="2">
        <v>16049403.93</v>
      </c>
      <c r="W78" s="2">
        <v>14963940.640000001</v>
      </c>
      <c r="X78" s="2">
        <v>14137983.780000003</v>
      </c>
      <c r="Y78" s="2">
        <v>13376570.07</v>
      </c>
      <c r="Z78" s="2">
        <v>12500157.530000001</v>
      </c>
      <c r="AA78" s="2">
        <v>11829640.989999998</v>
      </c>
      <c r="AB78" s="2">
        <v>11208299.23</v>
      </c>
      <c r="AC78" s="2">
        <v>10491696.15</v>
      </c>
      <c r="AD78" s="2">
        <v>9940195.3800000008</v>
      </c>
    </row>
    <row r="79" spans="2:30" x14ac:dyDescent="0.3">
      <c r="E79" t="s">
        <v>9</v>
      </c>
      <c r="F79" s="2">
        <v>3643667.2</v>
      </c>
      <c r="G79" s="2">
        <v>3280578.0200000005</v>
      </c>
      <c r="H79" s="2">
        <v>2795552.92</v>
      </c>
      <c r="I79" s="2">
        <v>2431413.6999999997</v>
      </c>
      <c r="J79" s="2">
        <v>2134083.3199999998</v>
      </c>
      <c r="K79" s="2">
        <v>1767258.5100000002</v>
      </c>
      <c r="L79" s="2">
        <v>1530356.81</v>
      </c>
      <c r="M79" s="2">
        <v>1337102.1000000001</v>
      </c>
      <c r="N79" s="2">
        <v>1119367.5299999998</v>
      </c>
      <c r="O79" s="2">
        <v>972359.5</v>
      </c>
      <c r="P79" s="2">
        <v>851375.28</v>
      </c>
      <c r="Q79" s="2">
        <v>715626.07000000007</v>
      </c>
      <c r="R79" s="2">
        <v>624711.68999999994</v>
      </c>
      <c r="S79" s="2">
        <v>550189.77999999991</v>
      </c>
      <c r="T79" s="2">
        <v>467132.93000000005</v>
      </c>
      <c r="U79" s="2">
        <v>411313.43000000005</v>
      </c>
      <c r="V79" s="2">
        <v>365537.36000000004</v>
      </c>
      <c r="W79" s="2">
        <v>314600.06000000006</v>
      </c>
      <c r="X79" s="2">
        <v>280314.74</v>
      </c>
      <c r="Y79" s="2">
        <v>252175.11000000002</v>
      </c>
      <c r="Z79" s="2">
        <v>220877.67</v>
      </c>
      <c r="AA79" s="2">
        <v>199771.26</v>
      </c>
      <c r="AB79" s="2">
        <v>182423.03</v>
      </c>
      <c r="AC79" s="2">
        <v>163144.40999999997</v>
      </c>
      <c r="AD79" s="2">
        <v>150098.83000000002</v>
      </c>
    </row>
    <row r="80" spans="2:30" x14ac:dyDescent="0.3">
      <c r="E80" t="s">
        <v>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2" spans="4:30" x14ac:dyDescent="0.3">
      <c r="D82" t="s">
        <v>29</v>
      </c>
      <c r="E82" t="s">
        <v>5</v>
      </c>
      <c r="F82" s="2">
        <v>6.8864319999999983</v>
      </c>
      <c r="G82" s="2">
        <v>6.2900699999999992</v>
      </c>
      <c r="H82" s="2">
        <v>6.8808099999999985</v>
      </c>
      <c r="I82" s="2">
        <v>6.7883579999999988</v>
      </c>
      <c r="J82" s="2">
        <v>7.4379900000000019</v>
      </c>
      <c r="K82" s="2">
        <v>6.8503220000000002</v>
      </c>
      <c r="L82" s="2">
        <v>7.0172180000000024</v>
      </c>
      <c r="M82" s="2">
        <v>7.4190719999999999</v>
      </c>
      <c r="N82" s="2">
        <v>6.4815619999999994</v>
      </c>
      <c r="O82" s="2">
        <v>7.2855770000000017</v>
      </c>
      <c r="P82" s="2">
        <v>7.2208569999999987</v>
      </c>
      <c r="Q82" s="2">
        <v>7.331224999999999</v>
      </c>
      <c r="R82" s="2">
        <v>8.3291790000000017</v>
      </c>
      <c r="S82" s="2">
        <v>8.7350249999999985</v>
      </c>
      <c r="T82" s="2">
        <v>9.5787259999999979</v>
      </c>
      <c r="U82" s="2">
        <v>8.8557259999999989</v>
      </c>
      <c r="V82" s="2">
        <v>9.4360759999999981</v>
      </c>
      <c r="W82" s="2">
        <v>8.6743020000000008</v>
      </c>
      <c r="X82" s="2">
        <v>8.5595549999999996</v>
      </c>
      <c r="Y82" s="2">
        <v>8.9713339999999988</v>
      </c>
      <c r="Z82" s="2">
        <v>7.9624300000000012</v>
      </c>
      <c r="AA82" s="2">
        <v>8.6880430000000004</v>
      </c>
      <c r="AB82" s="2">
        <v>8.5758759999999992</v>
      </c>
      <c r="AC82" s="2">
        <v>8.8138030000000001</v>
      </c>
      <c r="AD82" s="2">
        <v>9.7775289999999995</v>
      </c>
    </row>
    <row r="83" spans="4:30" x14ac:dyDescent="0.3">
      <c r="E83" t="s">
        <v>6</v>
      </c>
      <c r="F83" s="2">
        <v>0.98046900000000026</v>
      </c>
      <c r="G83" s="2">
        <v>1.582114</v>
      </c>
      <c r="H83" s="2">
        <v>0.37417499999999992</v>
      </c>
      <c r="I83" s="2">
        <v>1.1889019999999999</v>
      </c>
      <c r="J83" s="2">
        <v>1.3821819999999998</v>
      </c>
      <c r="K83" s="2">
        <v>1.1974749999999998</v>
      </c>
      <c r="L83" s="2">
        <v>2.2104540000000004</v>
      </c>
      <c r="M83" s="2">
        <v>2.603647</v>
      </c>
      <c r="N83" s="2">
        <v>1.8231209999999995</v>
      </c>
      <c r="O83" s="2">
        <v>2.685759</v>
      </c>
      <c r="P83" s="2">
        <v>2.5667489999999997</v>
      </c>
      <c r="Q83" s="2">
        <v>2.8780489999999999</v>
      </c>
      <c r="R83" s="2">
        <v>3.560994</v>
      </c>
      <c r="S83" s="2">
        <v>2.8219260000000004</v>
      </c>
      <c r="T83" s="2">
        <v>1.0806560000000001</v>
      </c>
      <c r="U83" s="2">
        <v>2.0331760000000001</v>
      </c>
      <c r="V83" s="2">
        <v>2.2649049999999997</v>
      </c>
      <c r="W83" s="2">
        <v>2.3082589999999996</v>
      </c>
      <c r="X83" s="2">
        <v>3.48821</v>
      </c>
      <c r="Y83" s="2">
        <v>4.0159280000000006</v>
      </c>
      <c r="Z83" s="2">
        <v>3.1226780000000001</v>
      </c>
      <c r="AA83" s="2">
        <v>4.1414679999999997</v>
      </c>
      <c r="AB83" s="2">
        <v>3.8063899999999995</v>
      </c>
      <c r="AC83" s="2">
        <v>4.4239839999999999</v>
      </c>
      <c r="AD83" s="2">
        <v>5.11991</v>
      </c>
    </row>
    <row r="84" spans="4:30" x14ac:dyDescent="0.3">
      <c r="E84" t="s">
        <v>7</v>
      </c>
      <c r="F84" s="2">
        <v>1.5259909999999997</v>
      </c>
      <c r="G84" s="2">
        <v>1.3034720000000002</v>
      </c>
      <c r="H84" s="2">
        <v>1.0563679999999998</v>
      </c>
      <c r="I84" s="2">
        <v>1.608079</v>
      </c>
      <c r="J84" s="2">
        <v>1.7622120000000001</v>
      </c>
      <c r="K84" s="2">
        <v>1.7256579999999999</v>
      </c>
      <c r="L84" s="2">
        <v>1.6644939999999999</v>
      </c>
      <c r="M84" s="2">
        <v>1.8094839999999999</v>
      </c>
      <c r="N84" s="2">
        <v>1.5564179999999999</v>
      </c>
      <c r="O84" s="2">
        <v>2.043161</v>
      </c>
      <c r="P84" s="2">
        <v>2.0547439999999999</v>
      </c>
      <c r="Q84" s="2">
        <v>2.0888300000000002</v>
      </c>
      <c r="R84" s="2">
        <v>2.4712179999999995</v>
      </c>
      <c r="S84" s="2">
        <v>2.7069169999999998</v>
      </c>
      <c r="T84" s="2">
        <v>2.283404</v>
      </c>
      <c r="U84" s="2">
        <v>2.98102</v>
      </c>
      <c r="V84" s="2">
        <v>3.1698760000000004</v>
      </c>
      <c r="W84" s="2">
        <v>3.1098550000000005</v>
      </c>
      <c r="X84" s="2">
        <v>2.7200550000000003</v>
      </c>
      <c r="Y84" s="2">
        <v>2.8521879999999995</v>
      </c>
      <c r="Z84" s="2">
        <v>2.5324459999999993</v>
      </c>
      <c r="AA84" s="2">
        <v>3.05443</v>
      </c>
      <c r="AB84" s="2">
        <v>3.0091269999999999</v>
      </c>
      <c r="AC84" s="2">
        <v>3.1256000000000008</v>
      </c>
      <c r="AD84" s="2">
        <v>3.4847349999999997</v>
      </c>
    </row>
    <row r="85" spans="4:30" x14ac:dyDescent="0.3">
      <c r="E85" t="s">
        <v>8</v>
      </c>
      <c r="F85" s="2">
        <v>3.8884690000000006</v>
      </c>
      <c r="G85" s="2">
        <v>2.9636269999999998</v>
      </c>
      <c r="H85" s="2">
        <v>3.1798470000000001</v>
      </c>
      <c r="I85" s="2">
        <v>3.3499440000000003</v>
      </c>
      <c r="J85" s="2">
        <v>3.5899709999999994</v>
      </c>
      <c r="K85" s="2">
        <v>3.498009999999999</v>
      </c>
      <c r="L85" s="2">
        <v>3.6231670000000005</v>
      </c>
      <c r="M85" s="2">
        <v>3.7466529999999998</v>
      </c>
      <c r="N85" s="2">
        <v>3.2278629999999993</v>
      </c>
      <c r="O85" s="2">
        <v>3.7062790000000008</v>
      </c>
      <c r="P85" s="2">
        <v>3.580133</v>
      </c>
      <c r="Q85" s="2">
        <v>3.5793709999999996</v>
      </c>
      <c r="R85" s="2">
        <v>4.0480530000000003</v>
      </c>
      <c r="S85" s="2">
        <v>4.0619199999999989</v>
      </c>
      <c r="T85" s="2">
        <v>4.303135000000001</v>
      </c>
      <c r="U85" s="2">
        <v>4.2583629999999992</v>
      </c>
      <c r="V85" s="2">
        <v>4.4376700000000016</v>
      </c>
      <c r="W85" s="2">
        <v>4.2737299999999996</v>
      </c>
      <c r="X85" s="2">
        <v>4.3065699999999998</v>
      </c>
      <c r="Y85" s="2">
        <v>4.4227419999999986</v>
      </c>
      <c r="Z85" s="2">
        <v>3.8113040000000007</v>
      </c>
      <c r="AA85" s="2">
        <v>4.278366000000001</v>
      </c>
      <c r="AB85" s="2">
        <v>4.1102959999999999</v>
      </c>
      <c r="AC85" s="2">
        <v>4.1211440000000001</v>
      </c>
      <c r="AD85" s="2">
        <v>4.5782350000000003</v>
      </c>
    </row>
    <row r="86" spans="4:30" x14ac:dyDescent="0.3">
      <c r="E86" t="s">
        <v>9</v>
      </c>
      <c r="F86" s="2">
        <v>0.20093800000000001</v>
      </c>
      <c r="G86" s="2">
        <v>0.19431700000000002</v>
      </c>
      <c r="H86" s="2">
        <v>0.1305</v>
      </c>
      <c r="I86" s="2">
        <v>0.21954499999999999</v>
      </c>
      <c r="J86" s="2">
        <v>0.221247</v>
      </c>
      <c r="K86" s="2">
        <v>0.18431399999999998</v>
      </c>
      <c r="L86" s="2">
        <v>0.18734799999999999</v>
      </c>
      <c r="M86" s="2">
        <v>0.19481799999999999</v>
      </c>
      <c r="N86" s="2">
        <v>0.133879</v>
      </c>
      <c r="O86" s="2">
        <v>0.21403299999999997</v>
      </c>
      <c r="P86" s="2">
        <v>0.20449400000000001</v>
      </c>
      <c r="Q86" s="2">
        <v>0.16353999999999999</v>
      </c>
      <c r="R86" s="2">
        <v>0.23575099999999999</v>
      </c>
      <c r="S86" s="2">
        <v>0.19552700000000001</v>
      </c>
      <c r="T86" s="2">
        <v>0.12537699999999999</v>
      </c>
      <c r="U86" s="2">
        <v>0.21521500000000002</v>
      </c>
      <c r="V86" s="2">
        <v>0.22054299999999999</v>
      </c>
      <c r="W86" s="2">
        <v>0.19228000000000001</v>
      </c>
      <c r="X86" s="2">
        <v>0.18822900000000001</v>
      </c>
      <c r="Y86" s="2">
        <v>0.194609</v>
      </c>
      <c r="Z86" s="2">
        <v>0.133053</v>
      </c>
      <c r="AA86" s="2">
        <v>0.21356900000000001</v>
      </c>
      <c r="AB86" s="2">
        <v>0.20466099999999998</v>
      </c>
      <c r="AC86" s="2">
        <v>0.16431300000000001</v>
      </c>
      <c r="AD86" s="2">
        <v>0.23580899999999999</v>
      </c>
    </row>
    <row r="87" spans="4:30" x14ac:dyDescent="0.3">
      <c r="E87" t="s">
        <v>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9" spans="4:30" x14ac:dyDescent="0.3">
      <c r="D89" t="s">
        <v>30</v>
      </c>
      <c r="E89" t="s">
        <v>5</v>
      </c>
      <c r="F89" s="2">
        <v>-3062427.45</v>
      </c>
      <c r="G89" s="2">
        <v>2553895.5300000003</v>
      </c>
      <c r="H89" s="2">
        <v>264357.95999999996</v>
      </c>
      <c r="I89" s="2">
        <v>1535761.97</v>
      </c>
      <c r="J89" s="2">
        <v>-42779.199999999822</v>
      </c>
      <c r="K89" s="2">
        <v>202268.85999999993</v>
      </c>
      <c r="L89" s="2">
        <v>516770.8899999999</v>
      </c>
      <c r="M89" s="2">
        <v>-1015404.01</v>
      </c>
      <c r="N89" s="2">
        <v>866506.55</v>
      </c>
      <c r="O89" s="2">
        <v>-572653.26</v>
      </c>
      <c r="P89" s="2">
        <v>527011.60000000009</v>
      </c>
      <c r="Q89" s="2">
        <v>547101.67000000016</v>
      </c>
      <c r="R89" s="2">
        <v>-108744.90000000004</v>
      </c>
      <c r="S89" s="2">
        <v>1269649.3</v>
      </c>
      <c r="T89" s="2">
        <v>-1744107.69</v>
      </c>
      <c r="U89" s="2">
        <v>240712.52</v>
      </c>
      <c r="V89" s="2">
        <v>-566908.79</v>
      </c>
      <c r="W89" s="2">
        <v>-521328.34</v>
      </c>
      <c r="X89" s="2">
        <v>236495.35999999999</v>
      </c>
      <c r="Y89" s="2">
        <v>-854933.19</v>
      </c>
      <c r="Z89" s="2">
        <v>147747.51999999999</v>
      </c>
      <c r="AA89" s="2">
        <v>-399485.88999999996</v>
      </c>
      <c r="AB89" s="2">
        <v>424594.48</v>
      </c>
      <c r="AC89" s="2">
        <v>319545.93999999994</v>
      </c>
      <c r="AD89" s="2">
        <v>169052.08</v>
      </c>
    </row>
    <row r="90" spans="4:30" x14ac:dyDescent="0.3">
      <c r="E90" t="s">
        <v>6</v>
      </c>
      <c r="F90" s="2">
        <v>248072.87999999998</v>
      </c>
      <c r="G90" s="2">
        <v>-367133.02000000008</v>
      </c>
      <c r="H90" s="2">
        <v>291346.82</v>
      </c>
      <c r="I90" s="2">
        <v>63779.310000000005</v>
      </c>
      <c r="J90" s="2">
        <v>121121.17</v>
      </c>
      <c r="K90" s="2">
        <v>307196.90000000002</v>
      </c>
      <c r="L90" s="2">
        <v>110392.64</v>
      </c>
      <c r="M90" s="2">
        <v>-157835.36000000002</v>
      </c>
      <c r="N90" s="2">
        <v>240611.92000000004</v>
      </c>
      <c r="O90" s="2">
        <v>-80249.840000000011</v>
      </c>
      <c r="P90" s="2">
        <v>204607.56</v>
      </c>
      <c r="Q90" s="2">
        <v>151408.90999999997</v>
      </c>
      <c r="R90" s="2">
        <v>-252039.93999999997</v>
      </c>
      <c r="S90" s="2">
        <v>-384501.3</v>
      </c>
      <c r="T90" s="2">
        <v>188216.63</v>
      </c>
      <c r="U90" s="2">
        <v>49998.94999999999</v>
      </c>
      <c r="V90" s="2">
        <v>111323.85</v>
      </c>
      <c r="W90" s="2">
        <v>197402.96999999997</v>
      </c>
      <c r="X90" s="2">
        <v>102368.15000000001</v>
      </c>
      <c r="Y90" s="2">
        <v>-140352.89000000001</v>
      </c>
      <c r="Z90" s="2">
        <v>154590.58000000002</v>
      </c>
      <c r="AA90" s="2">
        <v>-92434.11</v>
      </c>
      <c r="AB90" s="2">
        <v>166082.53000000003</v>
      </c>
      <c r="AC90" s="2">
        <v>73333.69</v>
      </c>
      <c r="AD90" s="2">
        <v>-239084.61</v>
      </c>
    </row>
    <row r="91" spans="4:30" x14ac:dyDescent="0.3">
      <c r="E91" t="s">
        <v>7</v>
      </c>
      <c r="F91" s="2">
        <v>-1144750.0199999998</v>
      </c>
      <c r="G91" s="2">
        <v>-249888.43000000008</v>
      </c>
      <c r="H91" s="2">
        <v>1625774.6899999997</v>
      </c>
      <c r="I91" s="2">
        <v>469543.21</v>
      </c>
      <c r="J91" s="2">
        <v>539931.31000000006</v>
      </c>
      <c r="K91" s="2">
        <v>-405355.34000000008</v>
      </c>
      <c r="L91" s="2">
        <v>364573.05</v>
      </c>
      <c r="M91" s="2">
        <v>-24000.740000000005</v>
      </c>
      <c r="N91" s="2">
        <v>1226418.6200000001</v>
      </c>
      <c r="O91" s="2">
        <v>-45831.379999999983</v>
      </c>
      <c r="P91" s="2">
        <v>751273.04999999993</v>
      </c>
      <c r="Q91" s="2">
        <v>747566.58</v>
      </c>
      <c r="R91" s="2">
        <v>442113.00000000006</v>
      </c>
      <c r="S91" s="2">
        <v>-566077.9099999998</v>
      </c>
      <c r="T91" s="2">
        <v>1418329.13</v>
      </c>
      <c r="U91" s="2">
        <v>288124.34000000003</v>
      </c>
      <c r="V91" s="2">
        <v>302196.47000000003</v>
      </c>
      <c r="W91" s="2">
        <v>-1265199.98</v>
      </c>
      <c r="X91" s="2">
        <v>137392.43</v>
      </c>
      <c r="Y91" s="2">
        <v>-266141.63</v>
      </c>
      <c r="Z91" s="2">
        <v>814003.57999999984</v>
      </c>
      <c r="AA91" s="2">
        <v>-230936.06000000003</v>
      </c>
      <c r="AB91" s="2">
        <v>645068.96</v>
      </c>
      <c r="AC91" s="2">
        <v>410168.37000000005</v>
      </c>
      <c r="AD91" s="2">
        <v>478402.0799999999</v>
      </c>
    </row>
    <row r="92" spans="4:30" x14ac:dyDescent="0.3">
      <c r="E92" t="s">
        <v>8</v>
      </c>
      <c r="F92" s="2">
        <v>-1190019.19</v>
      </c>
      <c r="G92" s="2">
        <v>238006.57</v>
      </c>
      <c r="H92" s="2">
        <v>183747.62000000002</v>
      </c>
      <c r="I92" s="2">
        <v>91060.220000000016</v>
      </c>
      <c r="J92" s="2">
        <v>50971.909999999996</v>
      </c>
      <c r="K92" s="2">
        <v>127760.04</v>
      </c>
      <c r="L92" s="2">
        <v>15725.849999999997</v>
      </c>
      <c r="M92" s="2">
        <v>-201425.58000000005</v>
      </c>
      <c r="N92" s="2">
        <v>276807.71000000002</v>
      </c>
      <c r="O92" s="2">
        <v>-129680.62</v>
      </c>
      <c r="P92" s="2">
        <v>87823.579999999987</v>
      </c>
      <c r="Q92" s="2">
        <v>204281.88</v>
      </c>
      <c r="R92" s="2">
        <v>-103943.68000000002</v>
      </c>
      <c r="S92" s="2">
        <v>144954.10999999999</v>
      </c>
      <c r="T92" s="2">
        <v>-63623.5</v>
      </c>
      <c r="U92" s="2">
        <v>-7075.3499999999985</v>
      </c>
      <c r="V92" s="2">
        <v>-26514.150000000027</v>
      </c>
      <c r="W92" s="2">
        <v>-28512.839999999993</v>
      </c>
      <c r="X92" s="2">
        <v>-34464.01</v>
      </c>
      <c r="Y92" s="2">
        <v>-156668.63999999996</v>
      </c>
      <c r="Z92" s="2">
        <v>102117.15000000001</v>
      </c>
      <c r="AA92" s="2">
        <v>-99022.95</v>
      </c>
      <c r="AB92" s="2">
        <v>36490.629999999997</v>
      </c>
      <c r="AC92" s="2">
        <v>78941.069999999978</v>
      </c>
      <c r="AD92" s="2">
        <v>-39993.74</v>
      </c>
    </row>
    <row r="93" spans="4:30" x14ac:dyDescent="0.3">
      <c r="E93" t="s">
        <v>9</v>
      </c>
      <c r="F93" s="2">
        <v>-119427.81999999999</v>
      </c>
      <c r="G93" s="2">
        <v>-77933.8</v>
      </c>
      <c r="H93" s="2">
        <v>80251.48</v>
      </c>
      <c r="I93" s="2">
        <v>-40160.839999999997</v>
      </c>
      <c r="J93" s="2">
        <v>-9127.7099999999991</v>
      </c>
      <c r="K93" s="2">
        <v>-59096.14</v>
      </c>
      <c r="L93" s="2">
        <v>-23101.88</v>
      </c>
      <c r="M93" s="2">
        <v>-27781.239999999998</v>
      </c>
      <c r="N93" s="2">
        <v>24363.030000000002</v>
      </c>
      <c r="O93" s="2">
        <v>-25750.87</v>
      </c>
      <c r="P93" s="2">
        <v>-8237.73</v>
      </c>
      <c r="Q93" s="2">
        <v>9018.7999999999993</v>
      </c>
      <c r="R93" s="2">
        <v>-28501.100000000002</v>
      </c>
      <c r="S93" s="2">
        <v>-13308.71</v>
      </c>
      <c r="T93" s="2">
        <v>11886.26</v>
      </c>
      <c r="U93" s="2">
        <v>-6438.3</v>
      </c>
      <c r="V93" s="2">
        <v>-1435.8000000000002</v>
      </c>
      <c r="W93" s="2">
        <v>-9284.6</v>
      </c>
      <c r="X93" s="2">
        <v>-3192.21</v>
      </c>
      <c r="Y93" s="2">
        <v>-3959.17</v>
      </c>
      <c r="Z93" s="2">
        <v>3429.9900000000002</v>
      </c>
      <c r="AA93" s="2">
        <v>-3531.9300000000003</v>
      </c>
      <c r="AB93" s="2">
        <v>-1116.01</v>
      </c>
      <c r="AC93" s="2">
        <v>1276.53</v>
      </c>
      <c r="AD93" s="2">
        <v>-3899.27</v>
      </c>
    </row>
    <row r="94" spans="4:30" x14ac:dyDescent="0.3">
      <c r="E94" t="s">
        <v>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6" spans="4:30" x14ac:dyDescent="0.3">
      <c r="D96" t="s">
        <v>31</v>
      </c>
      <c r="E96" t="s">
        <v>5</v>
      </c>
      <c r="F96" s="2">
        <v>-3052126.9100000006</v>
      </c>
      <c r="G96" s="2">
        <v>2563006.7999999998</v>
      </c>
      <c r="H96" s="2">
        <v>272481.26999999996</v>
      </c>
      <c r="I96" s="2">
        <v>1543161.07</v>
      </c>
      <c r="J96" s="2">
        <v>-36096.68999999993</v>
      </c>
      <c r="K96" s="2">
        <v>208314.13</v>
      </c>
      <c r="L96" s="2">
        <v>521972.19999999995</v>
      </c>
      <c r="M96" s="2">
        <v>-1010701.95</v>
      </c>
      <c r="N96" s="2">
        <v>870762.54</v>
      </c>
      <c r="O96" s="2">
        <v>-569024.03000000026</v>
      </c>
      <c r="P96" s="2">
        <v>530300.13000000012</v>
      </c>
      <c r="Q96" s="2">
        <v>550085.29999999993</v>
      </c>
      <c r="R96" s="2">
        <v>-106197.59000000001</v>
      </c>
      <c r="S96" s="2">
        <v>1271965.3299999998</v>
      </c>
      <c r="T96" s="2">
        <v>-1741999.22</v>
      </c>
      <c r="U96" s="2">
        <v>242519.15000000005</v>
      </c>
      <c r="V96" s="2">
        <v>-565260.18999999994</v>
      </c>
      <c r="W96" s="2">
        <v>-519822.15999999992</v>
      </c>
      <c r="X96" s="2">
        <v>237791.53</v>
      </c>
      <c r="Y96" s="2">
        <v>-853746.30999999994</v>
      </c>
      <c r="Z96" s="2">
        <v>148835.59</v>
      </c>
      <c r="AA96" s="2">
        <v>-398545.17</v>
      </c>
      <c r="AB96" s="2">
        <v>425458.73999999993</v>
      </c>
      <c r="AC96" s="2">
        <v>320340.86</v>
      </c>
      <c r="AD96" s="2">
        <v>169742.71</v>
      </c>
    </row>
    <row r="97" spans="4:30" x14ac:dyDescent="0.3">
      <c r="E97" t="s">
        <v>6</v>
      </c>
      <c r="F97" s="2">
        <v>248095.69000000003</v>
      </c>
      <c r="G97" s="2">
        <v>-367129.34</v>
      </c>
      <c r="H97" s="2">
        <v>291350.99</v>
      </c>
      <c r="I97" s="2">
        <v>63783.85</v>
      </c>
      <c r="J97" s="2">
        <v>121123.08</v>
      </c>
      <c r="K97" s="2">
        <v>307198.56000000006</v>
      </c>
      <c r="L97" s="2">
        <v>110393.88</v>
      </c>
      <c r="M97" s="2">
        <v>-157834.61999999997</v>
      </c>
      <c r="N97" s="2">
        <v>240612.49000000002</v>
      </c>
      <c r="O97" s="2">
        <v>-80249.450000000012</v>
      </c>
      <c r="P97" s="2">
        <v>204607.81999999998</v>
      </c>
      <c r="Q97" s="2">
        <v>151409.10999999999</v>
      </c>
      <c r="R97" s="2">
        <v>-252039.81000000003</v>
      </c>
      <c r="S97" s="2">
        <v>-384501.22</v>
      </c>
      <c r="T97" s="2">
        <v>188216.69</v>
      </c>
      <c r="U97" s="2">
        <v>49998.999999999993</v>
      </c>
      <c r="V97" s="2">
        <v>111323.88</v>
      </c>
      <c r="W97" s="2">
        <v>197402.99</v>
      </c>
      <c r="X97" s="2">
        <v>102368.15999999999</v>
      </c>
      <c r="Y97" s="2">
        <v>-140352.88</v>
      </c>
      <c r="Z97" s="2">
        <v>154590.59000000003</v>
      </c>
      <c r="AA97" s="2">
        <v>-92434.11</v>
      </c>
      <c r="AB97" s="2">
        <v>166082.53000000003</v>
      </c>
      <c r="AC97" s="2">
        <v>73333.7</v>
      </c>
      <c r="AD97" s="2">
        <v>-239084.61</v>
      </c>
    </row>
    <row r="98" spans="4:30" x14ac:dyDescent="0.3">
      <c r="E98" t="s">
        <v>7</v>
      </c>
      <c r="F98" s="2">
        <v>-1142309.4099999999</v>
      </c>
      <c r="G98" s="2">
        <v>-248166.36000000007</v>
      </c>
      <c r="H98" s="2">
        <v>1627699.2100000002</v>
      </c>
      <c r="I98" s="2">
        <v>470640.18</v>
      </c>
      <c r="J98" s="2">
        <v>540832.5</v>
      </c>
      <c r="K98" s="2">
        <v>-404593.83000000007</v>
      </c>
      <c r="L98" s="2">
        <v>365151.86</v>
      </c>
      <c r="M98" s="2">
        <v>-23502.480000000076</v>
      </c>
      <c r="N98" s="2">
        <v>1226853.7000000002</v>
      </c>
      <c r="O98" s="2">
        <v>-45450.780000000042</v>
      </c>
      <c r="P98" s="2">
        <v>751621.3899999999</v>
      </c>
      <c r="Q98" s="2">
        <v>747890.05999999994</v>
      </c>
      <c r="R98" s="2">
        <v>442415.55</v>
      </c>
      <c r="S98" s="2">
        <v>-565789.42999999993</v>
      </c>
      <c r="T98" s="2">
        <v>1418606.3</v>
      </c>
      <c r="U98" s="2">
        <v>288391.03999999998</v>
      </c>
      <c r="V98" s="2">
        <v>302455.51999999996</v>
      </c>
      <c r="W98" s="2">
        <v>-1264947.5599999998</v>
      </c>
      <c r="X98" s="2">
        <v>137638.00999999998</v>
      </c>
      <c r="Y98" s="2">
        <v>-265901.34000000003</v>
      </c>
      <c r="Z98" s="2">
        <v>814238.94999999984</v>
      </c>
      <c r="AA98" s="2">
        <v>-230706.16</v>
      </c>
      <c r="AB98" s="2">
        <v>645294.51</v>
      </c>
      <c r="AC98" s="2">
        <v>410389.73</v>
      </c>
      <c r="AD98" s="2">
        <v>478618.70999999996</v>
      </c>
    </row>
    <row r="99" spans="4:30" x14ac:dyDescent="0.3">
      <c r="E99" t="s">
        <v>8</v>
      </c>
      <c r="F99" s="2">
        <v>-1188572.1199999996</v>
      </c>
      <c r="G99" s="2">
        <v>239142.83000000002</v>
      </c>
      <c r="H99" s="2">
        <v>184804.86</v>
      </c>
      <c r="I99" s="2">
        <v>92144.77</v>
      </c>
      <c r="J99" s="2">
        <v>51975.099999999984</v>
      </c>
      <c r="K99" s="2">
        <v>128714.45999999999</v>
      </c>
      <c r="L99" s="2">
        <v>16615.650000000009</v>
      </c>
      <c r="M99" s="2">
        <v>-200588.70000000004</v>
      </c>
      <c r="N99" s="2">
        <v>277597.07</v>
      </c>
      <c r="O99" s="2">
        <v>-128954.66999999998</v>
      </c>
      <c r="P99" s="2">
        <v>88506.06</v>
      </c>
      <c r="Q99" s="2">
        <v>204923.56</v>
      </c>
      <c r="R99" s="2">
        <v>-103354.93</v>
      </c>
      <c r="S99" s="2">
        <v>145507.24</v>
      </c>
      <c r="T99" s="2">
        <v>-63103.770000000004</v>
      </c>
      <c r="U99" s="2">
        <v>-6598.51</v>
      </c>
      <c r="V99" s="2">
        <v>-26066.049999999992</v>
      </c>
      <c r="W99" s="2">
        <v>-28091.749999999989</v>
      </c>
      <c r="X99" s="2">
        <v>-34077.420000000006</v>
      </c>
      <c r="Y99" s="2">
        <v>-156305.15999999997</v>
      </c>
      <c r="Z99" s="2">
        <v>102458.87999999999</v>
      </c>
      <c r="AA99" s="2">
        <v>-98708.92</v>
      </c>
      <c r="AB99" s="2">
        <v>36786.049999999996</v>
      </c>
      <c r="AC99" s="2">
        <v>79218.989999999976</v>
      </c>
      <c r="AD99" s="2">
        <v>-39738.160000000003</v>
      </c>
    </row>
    <row r="100" spans="4:30" x14ac:dyDescent="0.3">
      <c r="E100" t="s">
        <v>9</v>
      </c>
      <c r="F100" s="2">
        <v>-119427.79999999999</v>
      </c>
      <c r="G100" s="2">
        <v>-77933.8</v>
      </c>
      <c r="H100" s="2">
        <v>80251.489999999991</v>
      </c>
      <c r="I100" s="2">
        <v>-40160.839999999997</v>
      </c>
      <c r="J100" s="2">
        <v>-9127.6999999999989</v>
      </c>
      <c r="K100" s="2">
        <v>-59096.14</v>
      </c>
      <c r="L100" s="2">
        <v>-23101.88</v>
      </c>
      <c r="M100" s="2">
        <v>-27781.239999999998</v>
      </c>
      <c r="N100" s="2">
        <v>24363.030000000002</v>
      </c>
      <c r="O100" s="2">
        <v>-25750.87</v>
      </c>
      <c r="P100" s="2">
        <v>-8237.73</v>
      </c>
      <c r="Q100" s="2">
        <v>9018.7999999999993</v>
      </c>
      <c r="R100" s="2">
        <v>-28501.100000000002</v>
      </c>
      <c r="S100" s="2">
        <v>-13308.71</v>
      </c>
      <c r="T100" s="2">
        <v>11886.26</v>
      </c>
      <c r="U100" s="2">
        <v>-6438.3</v>
      </c>
      <c r="V100" s="2">
        <v>-1435.8000000000002</v>
      </c>
      <c r="W100" s="2">
        <v>-9284.6</v>
      </c>
      <c r="X100" s="2">
        <v>-3192.21</v>
      </c>
      <c r="Y100" s="2">
        <v>-3959.17</v>
      </c>
      <c r="Z100" s="2">
        <v>3429.9900000000002</v>
      </c>
      <c r="AA100" s="2">
        <v>-3531.9300000000003</v>
      </c>
      <c r="AB100" s="2">
        <v>-1116.01</v>
      </c>
      <c r="AC100" s="2">
        <v>1276.53</v>
      </c>
      <c r="AD100" s="2">
        <v>-3899.27</v>
      </c>
    </row>
    <row r="101" spans="4:30" x14ac:dyDescent="0.3">
      <c r="E101" t="s">
        <v>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3" spans="4:30" x14ac:dyDescent="0.3">
      <c r="D103" t="s">
        <v>32</v>
      </c>
      <c r="E103" t="s">
        <v>5</v>
      </c>
      <c r="F103" s="2">
        <v>0</v>
      </c>
      <c r="G103" s="2">
        <v>0</v>
      </c>
      <c r="H103" s="2">
        <v>5198601.76</v>
      </c>
      <c r="I103" s="2">
        <v>0</v>
      </c>
      <c r="J103" s="2">
        <v>0</v>
      </c>
      <c r="K103" s="2">
        <v>4398373.8499999996</v>
      </c>
      <c r="L103" s="2">
        <v>0</v>
      </c>
      <c r="M103" s="2">
        <v>0</v>
      </c>
      <c r="N103" s="2">
        <v>3447826.48</v>
      </c>
      <c r="O103" s="2">
        <v>0</v>
      </c>
      <c r="P103" s="2">
        <v>0</v>
      </c>
      <c r="Q103" s="2">
        <v>2631117.7000000002</v>
      </c>
      <c r="R103" s="2">
        <v>0</v>
      </c>
      <c r="S103" s="2">
        <v>0</v>
      </c>
      <c r="T103" s="2">
        <v>1993480.7100000002</v>
      </c>
      <c r="U103" s="2">
        <v>0</v>
      </c>
      <c r="V103" s="2">
        <v>0</v>
      </c>
      <c r="W103" s="2">
        <v>1509516.2599999998</v>
      </c>
      <c r="X103" s="2">
        <v>0</v>
      </c>
      <c r="Y103" s="2">
        <v>0</v>
      </c>
      <c r="Z103" s="2">
        <v>1146066.26</v>
      </c>
      <c r="AA103" s="2">
        <v>0</v>
      </c>
      <c r="AB103" s="2">
        <v>0</v>
      </c>
      <c r="AC103" s="2">
        <v>873430.02</v>
      </c>
      <c r="AD103" s="2">
        <v>0</v>
      </c>
    </row>
    <row r="104" spans="4:30" x14ac:dyDescent="0.3">
      <c r="E104" t="s">
        <v>6</v>
      </c>
      <c r="F104" s="2">
        <v>0</v>
      </c>
      <c r="G104" s="2">
        <v>0</v>
      </c>
      <c r="H104" s="2">
        <v>490398.53</v>
      </c>
      <c r="I104" s="2">
        <v>0</v>
      </c>
      <c r="J104" s="2">
        <v>0</v>
      </c>
      <c r="K104" s="2">
        <v>412968.59000000008</v>
      </c>
      <c r="L104" s="2">
        <v>0</v>
      </c>
      <c r="M104" s="2">
        <v>0</v>
      </c>
      <c r="N104" s="2">
        <v>344706.32999999996</v>
      </c>
      <c r="O104" s="2">
        <v>0</v>
      </c>
      <c r="P104" s="2">
        <v>0</v>
      </c>
      <c r="Q104" s="2">
        <v>290612.09999999998</v>
      </c>
      <c r="R104" s="2">
        <v>0</v>
      </c>
      <c r="S104" s="2">
        <v>0</v>
      </c>
      <c r="T104" s="2">
        <v>246428.58</v>
      </c>
      <c r="U104" s="2">
        <v>0</v>
      </c>
      <c r="V104" s="2">
        <v>0</v>
      </c>
      <c r="W104" s="2">
        <v>210939.67</v>
      </c>
      <c r="X104" s="2">
        <v>0</v>
      </c>
      <c r="Y104" s="2">
        <v>0</v>
      </c>
      <c r="Z104" s="2">
        <v>181970.92</v>
      </c>
      <c r="AA104" s="2">
        <v>0</v>
      </c>
      <c r="AB104" s="2">
        <v>0</v>
      </c>
      <c r="AC104" s="2">
        <v>158247.38000000003</v>
      </c>
      <c r="AD104" s="2">
        <v>0</v>
      </c>
    </row>
    <row r="105" spans="4:30" x14ac:dyDescent="0.3">
      <c r="E105" t="s">
        <v>7</v>
      </c>
      <c r="F105" s="2">
        <v>0</v>
      </c>
      <c r="G105" s="2">
        <v>0</v>
      </c>
      <c r="H105" s="2">
        <v>2104861.52</v>
      </c>
      <c r="I105" s="2">
        <v>0</v>
      </c>
      <c r="J105" s="2">
        <v>0</v>
      </c>
      <c r="K105" s="2">
        <v>2067964</v>
      </c>
      <c r="L105" s="2">
        <v>0</v>
      </c>
      <c r="M105" s="2">
        <v>0</v>
      </c>
      <c r="N105" s="2">
        <v>1859430.5799999998</v>
      </c>
      <c r="O105" s="2">
        <v>0</v>
      </c>
      <c r="P105" s="2">
        <v>0</v>
      </c>
      <c r="Q105" s="2">
        <v>1658124.62</v>
      </c>
      <c r="R105" s="2">
        <v>0</v>
      </c>
      <c r="S105" s="2">
        <v>0</v>
      </c>
      <c r="T105" s="2">
        <v>1465995.2599999998</v>
      </c>
      <c r="U105" s="2">
        <v>0</v>
      </c>
      <c r="V105" s="2">
        <v>0</v>
      </c>
      <c r="W105" s="2">
        <v>1295116.7100000002</v>
      </c>
      <c r="X105" s="2">
        <v>0</v>
      </c>
      <c r="Y105" s="2">
        <v>0</v>
      </c>
      <c r="Z105" s="2">
        <v>1144410.83</v>
      </c>
      <c r="AA105" s="2">
        <v>0</v>
      </c>
      <c r="AB105" s="2">
        <v>0</v>
      </c>
      <c r="AC105" s="2">
        <v>1011814.6499999998</v>
      </c>
      <c r="AD105" s="2">
        <v>0</v>
      </c>
    </row>
    <row r="106" spans="4:30" x14ac:dyDescent="0.3">
      <c r="E106" t="s">
        <v>8</v>
      </c>
      <c r="F106" s="2">
        <v>0</v>
      </c>
      <c r="G106" s="2">
        <v>0</v>
      </c>
      <c r="H106" s="2">
        <v>986363.30999999982</v>
      </c>
      <c r="I106" s="2">
        <v>0</v>
      </c>
      <c r="J106" s="2">
        <v>0</v>
      </c>
      <c r="K106" s="2">
        <v>898132.21999999986</v>
      </c>
      <c r="L106" s="2">
        <v>0</v>
      </c>
      <c r="M106" s="2">
        <v>0</v>
      </c>
      <c r="N106" s="2">
        <v>757156.37</v>
      </c>
      <c r="O106" s="2">
        <v>0</v>
      </c>
      <c r="P106" s="2">
        <v>0</v>
      </c>
      <c r="Q106" s="2">
        <v>619942.71000000008</v>
      </c>
      <c r="R106" s="2">
        <v>0</v>
      </c>
      <c r="S106" s="2">
        <v>0</v>
      </c>
      <c r="T106" s="2">
        <v>502877.15</v>
      </c>
      <c r="U106" s="2">
        <v>0</v>
      </c>
      <c r="V106" s="2">
        <v>0</v>
      </c>
      <c r="W106" s="2">
        <v>406817.20999999996</v>
      </c>
      <c r="X106" s="2">
        <v>0</v>
      </c>
      <c r="Y106" s="2">
        <v>0</v>
      </c>
      <c r="Z106" s="2">
        <v>329037.32999999996</v>
      </c>
      <c r="AA106" s="2">
        <v>0</v>
      </c>
      <c r="AB106" s="2">
        <v>0</v>
      </c>
      <c r="AC106" s="2">
        <v>266322.36</v>
      </c>
      <c r="AD106" s="2">
        <v>0</v>
      </c>
    </row>
    <row r="107" spans="4:30" x14ac:dyDescent="0.3">
      <c r="E107" t="s">
        <v>9</v>
      </c>
      <c r="F107" s="2">
        <v>0</v>
      </c>
      <c r="G107" s="2">
        <v>0</v>
      </c>
      <c r="H107" s="2">
        <v>218092.59999999998</v>
      </c>
      <c r="I107" s="2">
        <v>0</v>
      </c>
      <c r="J107" s="2">
        <v>0</v>
      </c>
      <c r="K107" s="2">
        <v>199864.97</v>
      </c>
      <c r="L107" s="2">
        <v>0</v>
      </c>
      <c r="M107" s="2">
        <v>0</v>
      </c>
      <c r="N107" s="2">
        <v>98753.41</v>
      </c>
      <c r="O107" s="2">
        <v>0</v>
      </c>
      <c r="P107" s="2">
        <v>0</v>
      </c>
      <c r="Q107" s="2">
        <v>62384.639999999999</v>
      </c>
      <c r="R107" s="2">
        <v>0</v>
      </c>
      <c r="S107" s="2">
        <v>0</v>
      </c>
      <c r="T107" s="2">
        <v>37568.620000000003</v>
      </c>
      <c r="U107" s="2">
        <v>0</v>
      </c>
      <c r="V107" s="2">
        <v>0</v>
      </c>
      <c r="W107" s="2">
        <v>22929</v>
      </c>
      <c r="X107" s="2">
        <v>0</v>
      </c>
      <c r="Y107" s="2">
        <v>0</v>
      </c>
      <c r="Z107" s="2">
        <v>14033.92</v>
      </c>
      <c r="AA107" s="2">
        <v>0</v>
      </c>
      <c r="AB107" s="2">
        <v>0</v>
      </c>
      <c r="AC107" s="2">
        <v>8582.27</v>
      </c>
      <c r="AD107" s="2">
        <v>0</v>
      </c>
    </row>
    <row r="108" spans="4:30" x14ac:dyDescent="0.3">
      <c r="E108" t="s">
        <v>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10" spans="4:30" x14ac:dyDescent="0.3">
      <c r="D110" t="s">
        <v>33</v>
      </c>
      <c r="E110" t="s">
        <v>5</v>
      </c>
      <c r="F110" s="2">
        <v>-3052126.9100000006</v>
      </c>
      <c r="G110" s="2">
        <v>2563006.7999999998</v>
      </c>
      <c r="H110" s="2">
        <v>5471083.0200000005</v>
      </c>
      <c r="I110" s="2">
        <v>1543161.07</v>
      </c>
      <c r="J110" s="2">
        <v>-36096.68999999993</v>
      </c>
      <c r="K110" s="2">
        <v>4606687.959999999</v>
      </c>
      <c r="L110" s="2">
        <v>521972.19999999995</v>
      </c>
      <c r="M110" s="2">
        <v>-1010701.95</v>
      </c>
      <c r="N110" s="2">
        <v>4318588.99</v>
      </c>
      <c r="O110" s="2">
        <v>-569024.03000000026</v>
      </c>
      <c r="P110" s="2">
        <v>530300.13000000012</v>
      </c>
      <c r="Q110" s="2">
        <v>3181203.0000000005</v>
      </c>
      <c r="R110" s="2">
        <v>-106197.59000000001</v>
      </c>
      <c r="S110" s="2">
        <v>1271965.3299999998</v>
      </c>
      <c r="T110" s="2">
        <v>251481.51000000015</v>
      </c>
      <c r="U110" s="2">
        <v>242519.15000000005</v>
      </c>
      <c r="V110" s="2">
        <v>-565260.18999999994</v>
      </c>
      <c r="W110" s="2">
        <v>989694.08</v>
      </c>
      <c r="X110" s="2">
        <v>237791.53</v>
      </c>
      <c r="Y110" s="2">
        <v>-853746.30999999994</v>
      </c>
      <c r="Z110" s="2">
        <v>1294901.8600000001</v>
      </c>
      <c r="AA110" s="2">
        <v>-398545.17</v>
      </c>
      <c r="AB110" s="2">
        <v>425458.73999999993</v>
      </c>
      <c r="AC110" s="2">
        <v>1193770.8999999999</v>
      </c>
      <c r="AD110" s="2">
        <v>169742.71</v>
      </c>
    </row>
    <row r="111" spans="4:30" x14ac:dyDescent="0.3">
      <c r="E111" t="s">
        <v>6</v>
      </c>
      <c r="F111" s="2">
        <v>248095.69000000003</v>
      </c>
      <c r="G111" s="2">
        <v>-367129.34</v>
      </c>
      <c r="H111" s="2">
        <v>781749.51000000024</v>
      </c>
      <c r="I111" s="2">
        <v>63783.85</v>
      </c>
      <c r="J111" s="2">
        <v>121123.08</v>
      </c>
      <c r="K111" s="2">
        <v>720167.15</v>
      </c>
      <c r="L111" s="2">
        <v>110393.88</v>
      </c>
      <c r="M111" s="2">
        <v>-157834.61999999997</v>
      </c>
      <c r="N111" s="2">
        <v>585318.82000000007</v>
      </c>
      <c r="O111" s="2">
        <v>-80249.450000000012</v>
      </c>
      <c r="P111" s="2">
        <v>204607.81999999998</v>
      </c>
      <c r="Q111" s="2">
        <v>442021.20000000013</v>
      </c>
      <c r="R111" s="2">
        <v>-252039.81000000003</v>
      </c>
      <c r="S111" s="2">
        <v>-384501.22</v>
      </c>
      <c r="T111" s="2">
        <v>434645.28</v>
      </c>
      <c r="U111" s="2">
        <v>49998.999999999993</v>
      </c>
      <c r="V111" s="2">
        <v>111323.88</v>
      </c>
      <c r="W111" s="2">
        <v>408342.67000000004</v>
      </c>
      <c r="X111" s="2">
        <v>102368.15999999999</v>
      </c>
      <c r="Y111" s="2">
        <v>-140352.88</v>
      </c>
      <c r="Z111" s="2">
        <v>336561.53000000009</v>
      </c>
      <c r="AA111" s="2">
        <v>-92434.11</v>
      </c>
      <c r="AB111" s="2">
        <v>166082.53000000003</v>
      </c>
      <c r="AC111" s="2">
        <v>231581.07</v>
      </c>
      <c r="AD111" s="2">
        <v>-239084.61</v>
      </c>
    </row>
    <row r="112" spans="4:30" x14ac:dyDescent="0.3">
      <c r="E112" t="s">
        <v>7</v>
      </c>
      <c r="F112" s="2">
        <v>-1142309.4099999999</v>
      </c>
      <c r="G112" s="2">
        <v>-248166.36000000007</v>
      </c>
      <c r="H112" s="2">
        <v>3732560.7199999997</v>
      </c>
      <c r="I112" s="2">
        <v>470640.18</v>
      </c>
      <c r="J112" s="2">
        <v>540832.5</v>
      </c>
      <c r="K112" s="2">
        <v>1663370.1700000002</v>
      </c>
      <c r="L112" s="2">
        <v>365151.86</v>
      </c>
      <c r="M112" s="2">
        <v>-23502.480000000076</v>
      </c>
      <c r="N112" s="2">
        <v>3086284.2900000005</v>
      </c>
      <c r="O112" s="2">
        <v>-45450.780000000042</v>
      </c>
      <c r="P112" s="2">
        <v>751621.3899999999</v>
      </c>
      <c r="Q112" s="2">
        <v>2406014.6899999995</v>
      </c>
      <c r="R112" s="2">
        <v>442415.55</v>
      </c>
      <c r="S112" s="2">
        <v>-565789.42999999993</v>
      </c>
      <c r="T112" s="2">
        <v>2884601.56</v>
      </c>
      <c r="U112" s="2">
        <v>288391.03999999998</v>
      </c>
      <c r="V112" s="2">
        <v>302455.51999999996</v>
      </c>
      <c r="W112" s="2">
        <v>30169.160000000025</v>
      </c>
      <c r="X112" s="2">
        <v>137638.00999999998</v>
      </c>
      <c r="Y112" s="2">
        <v>-265901.34000000003</v>
      </c>
      <c r="Z112" s="2">
        <v>1958649.77</v>
      </c>
      <c r="AA112" s="2">
        <v>-230706.16</v>
      </c>
      <c r="AB112" s="2">
        <v>645294.51</v>
      </c>
      <c r="AC112" s="2">
        <v>1422204.39</v>
      </c>
      <c r="AD112" s="2">
        <v>478618.70999999996</v>
      </c>
    </row>
    <row r="113" spans="4:30" x14ac:dyDescent="0.3">
      <c r="E113" t="s">
        <v>8</v>
      </c>
      <c r="F113" s="2">
        <v>-1188572.1199999996</v>
      </c>
      <c r="G113" s="2">
        <v>239142.83000000002</v>
      </c>
      <c r="H113" s="2">
        <v>1171168.1800000002</v>
      </c>
      <c r="I113" s="2">
        <v>92144.77</v>
      </c>
      <c r="J113" s="2">
        <v>51975.099999999984</v>
      </c>
      <c r="K113" s="2">
        <v>1026846.6699999999</v>
      </c>
      <c r="L113" s="2">
        <v>16615.650000000009</v>
      </c>
      <c r="M113" s="2">
        <v>-200588.70000000004</v>
      </c>
      <c r="N113" s="2">
        <v>1034753.4299999999</v>
      </c>
      <c r="O113" s="2">
        <v>-128954.66999999998</v>
      </c>
      <c r="P113" s="2">
        <v>88506.06</v>
      </c>
      <c r="Q113" s="2">
        <v>824866.2799999998</v>
      </c>
      <c r="R113" s="2">
        <v>-103354.93</v>
      </c>
      <c r="S113" s="2">
        <v>145507.24</v>
      </c>
      <c r="T113" s="2">
        <v>439773.40000000008</v>
      </c>
      <c r="U113" s="2">
        <v>-6598.51</v>
      </c>
      <c r="V113" s="2">
        <v>-26066.049999999992</v>
      </c>
      <c r="W113" s="2">
        <v>378725.44999999995</v>
      </c>
      <c r="X113" s="2">
        <v>-34077.420000000006</v>
      </c>
      <c r="Y113" s="2">
        <v>-156305.15999999997</v>
      </c>
      <c r="Z113" s="2">
        <v>431496.2</v>
      </c>
      <c r="AA113" s="2">
        <v>-98708.92</v>
      </c>
      <c r="AB113" s="2">
        <v>36786.049999999996</v>
      </c>
      <c r="AC113" s="2">
        <v>345541.34</v>
      </c>
      <c r="AD113" s="2">
        <v>-39738.160000000003</v>
      </c>
    </row>
    <row r="114" spans="4:30" x14ac:dyDescent="0.3">
      <c r="E114" t="s">
        <v>9</v>
      </c>
      <c r="F114" s="2">
        <v>-119427.79999999999</v>
      </c>
      <c r="G114" s="2">
        <v>-77933.8</v>
      </c>
      <c r="H114" s="2">
        <v>298344.09000000003</v>
      </c>
      <c r="I114" s="2">
        <v>-40160.839999999997</v>
      </c>
      <c r="J114" s="2">
        <v>-9127.6999999999989</v>
      </c>
      <c r="K114" s="2">
        <v>140768.83000000002</v>
      </c>
      <c r="L114" s="2">
        <v>-23101.88</v>
      </c>
      <c r="M114" s="2">
        <v>-27781.239999999998</v>
      </c>
      <c r="N114" s="2">
        <v>123116.44</v>
      </c>
      <c r="O114" s="2">
        <v>-25750.87</v>
      </c>
      <c r="P114" s="2">
        <v>-8237.73</v>
      </c>
      <c r="Q114" s="2">
        <v>71403.430000000008</v>
      </c>
      <c r="R114" s="2">
        <v>-28501.100000000002</v>
      </c>
      <c r="S114" s="2">
        <v>-13308.71</v>
      </c>
      <c r="T114" s="2">
        <v>49454.879999999997</v>
      </c>
      <c r="U114" s="2">
        <v>-6438.3</v>
      </c>
      <c r="V114" s="2">
        <v>-1435.8000000000002</v>
      </c>
      <c r="W114" s="2">
        <v>13644.400000000001</v>
      </c>
      <c r="X114" s="2">
        <v>-3192.21</v>
      </c>
      <c r="Y114" s="2">
        <v>-3959.17</v>
      </c>
      <c r="Z114" s="2">
        <v>17463.91</v>
      </c>
      <c r="AA114" s="2">
        <v>-3531.9300000000003</v>
      </c>
      <c r="AB114" s="2">
        <v>-1116.01</v>
      </c>
      <c r="AC114" s="2">
        <v>9858.7999999999993</v>
      </c>
      <c r="AD114" s="2">
        <v>-3899.27</v>
      </c>
    </row>
    <row r="115" spans="4:30" x14ac:dyDescent="0.3">
      <c r="E115" t="s">
        <v>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7" spans="4:30" x14ac:dyDescent="0.3">
      <c r="D117" t="s">
        <v>34</v>
      </c>
      <c r="E117" t="s">
        <v>5</v>
      </c>
      <c r="F117" s="2">
        <v>116949694.99999997</v>
      </c>
      <c r="G117" s="2">
        <v>107206538.81</v>
      </c>
      <c r="H117" s="2">
        <v>97465441.219999984</v>
      </c>
      <c r="I117" s="2">
        <v>97147537.88000001</v>
      </c>
      <c r="J117" s="2">
        <v>92137692.220000014</v>
      </c>
      <c r="K117" s="2">
        <v>78753151.640000001</v>
      </c>
      <c r="L117" s="2">
        <v>76978130.030000001</v>
      </c>
      <c r="M117" s="2">
        <v>73126529.180000007</v>
      </c>
      <c r="N117" s="2">
        <v>61385496.07</v>
      </c>
      <c r="O117" s="2">
        <v>62242214.840000011</v>
      </c>
      <c r="P117" s="2">
        <v>57549103.979999997</v>
      </c>
      <c r="Q117" s="2">
        <v>50348869.479999989</v>
      </c>
      <c r="R117" s="2">
        <v>50740703.829999998</v>
      </c>
      <c r="S117" s="2">
        <v>46678022.45000001</v>
      </c>
      <c r="T117" s="2">
        <v>44206211.270000003</v>
      </c>
      <c r="U117" s="2">
        <v>41925215.930000007</v>
      </c>
      <c r="V117" s="2">
        <v>40575677.150000006</v>
      </c>
      <c r="W117" s="2">
        <v>36238914.260000005</v>
      </c>
      <c r="X117" s="2">
        <v>35114735.539999999</v>
      </c>
      <c r="Y117" s="2">
        <v>34431294.829999998</v>
      </c>
      <c r="Z117" s="2">
        <v>30036562.550000004</v>
      </c>
      <c r="AA117" s="2">
        <v>30175494.010000002</v>
      </c>
      <c r="AB117" s="2">
        <v>27878722.440000001</v>
      </c>
      <c r="AC117" s="2">
        <v>25283518.859999999</v>
      </c>
      <c r="AD117" s="2">
        <v>25012244.98</v>
      </c>
    </row>
    <row r="118" spans="4:30" x14ac:dyDescent="0.3">
      <c r="E118" t="s">
        <v>6</v>
      </c>
      <c r="F118" s="2">
        <v>5123745.8800000008</v>
      </c>
      <c r="G118" s="2">
        <v>5590332.2699999996</v>
      </c>
      <c r="H118" s="2">
        <v>4059831.2900000014</v>
      </c>
      <c r="I118" s="2">
        <v>4645088.2300000004</v>
      </c>
      <c r="J118" s="2">
        <v>4458722.3900000006</v>
      </c>
      <c r="K118" s="2">
        <v>3531433.9999999995</v>
      </c>
      <c r="L118" s="2">
        <v>4027822.6100000003</v>
      </c>
      <c r="M118" s="2">
        <v>4186970.4600000004</v>
      </c>
      <c r="N118" s="2">
        <v>3168802.1299999994</v>
      </c>
      <c r="O118" s="2">
        <v>3739411.9200000009</v>
      </c>
      <c r="P118" s="2">
        <v>3363406.4799999995</v>
      </c>
      <c r="Q118" s="2">
        <v>2894996.64</v>
      </c>
      <c r="R118" s="2">
        <v>3509654.7999999993</v>
      </c>
      <c r="S118" s="2">
        <v>3565860.7399999998</v>
      </c>
      <c r="T118" s="2">
        <v>2551766.7699999996</v>
      </c>
      <c r="U118" s="2">
        <v>2869680.73</v>
      </c>
      <c r="V118" s="2">
        <v>2744179.8300000005</v>
      </c>
      <c r="W118" s="2">
        <v>2281251.0399999996</v>
      </c>
      <c r="X118" s="2">
        <v>2530749.4500000007</v>
      </c>
      <c r="Y118" s="2">
        <v>2719069.8599999994</v>
      </c>
      <c r="Z118" s="2">
        <v>2099869.84</v>
      </c>
      <c r="AA118" s="2">
        <v>2480716.2899999996</v>
      </c>
      <c r="AB118" s="2">
        <v>2175743.5900000003</v>
      </c>
      <c r="AC118" s="2">
        <v>1987256.9200000002</v>
      </c>
      <c r="AD118" s="2">
        <v>2416573.73</v>
      </c>
    </row>
    <row r="119" spans="4:30" x14ac:dyDescent="0.3">
      <c r="E119" t="s">
        <v>7</v>
      </c>
      <c r="F119" s="2">
        <v>104821420.59999999</v>
      </c>
      <c r="G119" s="2">
        <v>101309601.94000001</v>
      </c>
      <c r="H119" s="2">
        <v>93652887.279999986</v>
      </c>
      <c r="I119" s="2">
        <v>94405613.989999995</v>
      </c>
      <c r="J119" s="2">
        <v>90935291.459999993</v>
      </c>
      <c r="K119" s="2">
        <v>85280002.440000013</v>
      </c>
      <c r="L119" s="2">
        <v>83222549.809999987</v>
      </c>
      <c r="M119" s="2">
        <v>80318474.63000001</v>
      </c>
      <c r="N119" s="2">
        <v>73224272.659999996</v>
      </c>
      <c r="O119" s="2">
        <v>73555966.099999994</v>
      </c>
      <c r="P119" s="2">
        <v>70176124.039999992</v>
      </c>
      <c r="Q119" s="2">
        <v>65322351.479999997</v>
      </c>
      <c r="R119" s="2">
        <v>65107465.950000003</v>
      </c>
      <c r="S119" s="2">
        <v>64086225.060000002</v>
      </c>
      <c r="T119" s="2">
        <v>58009521.860000007</v>
      </c>
      <c r="U119" s="2">
        <v>58834598.469999999</v>
      </c>
      <c r="V119" s="2">
        <v>57141281.309999995</v>
      </c>
      <c r="W119" s="2">
        <v>55174256.310000002</v>
      </c>
      <c r="X119" s="2">
        <v>53556727.57</v>
      </c>
      <c r="Y119" s="2">
        <v>52511236.510000005</v>
      </c>
      <c r="Z119" s="2">
        <v>48327300.270000003</v>
      </c>
      <c r="AA119" s="2">
        <v>49189756.240000002</v>
      </c>
      <c r="AB119" s="2">
        <v>47032002.000000007</v>
      </c>
      <c r="AC119" s="2">
        <v>44515548.559999995</v>
      </c>
      <c r="AD119" s="2">
        <v>44273816.93</v>
      </c>
    </row>
    <row r="120" spans="4:30" x14ac:dyDescent="0.3">
      <c r="E120" t="s">
        <v>8</v>
      </c>
      <c r="F120" s="2">
        <v>42504242.980000004</v>
      </c>
      <c r="G120" s="2">
        <v>39317076.339999996</v>
      </c>
      <c r="H120" s="2">
        <v>36165030.990000002</v>
      </c>
      <c r="I120" s="2">
        <v>35540407.949999996</v>
      </c>
      <c r="J120" s="2">
        <v>33571602.350000001</v>
      </c>
      <c r="K120" s="2">
        <v>30135308.400000002</v>
      </c>
      <c r="L120" s="2">
        <v>29229768.079999998</v>
      </c>
      <c r="M120" s="2">
        <v>27593872.010000002</v>
      </c>
      <c r="N120" s="2">
        <v>24257269.590000004</v>
      </c>
      <c r="O120" s="2">
        <v>23845199.48</v>
      </c>
      <c r="P120" s="2">
        <v>22174653.18</v>
      </c>
      <c r="Q120" s="2">
        <v>19795403.649999999</v>
      </c>
      <c r="R120" s="2">
        <v>19509781.280000001</v>
      </c>
      <c r="S120" s="2">
        <v>18140018.050000001</v>
      </c>
      <c r="T120" s="2">
        <v>16559406.309999999</v>
      </c>
      <c r="U120" s="2">
        <v>16056002.440000001</v>
      </c>
      <c r="V120" s="2">
        <v>15190904.110000001</v>
      </c>
      <c r="W120" s="2">
        <v>13759258.329999998</v>
      </c>
      <c r="X120" s="2">
        <v>13410647.469999999</v>
      </c>
      <c r="Y120" s="2">
        <v>12818950.260000002</v>
      </c>
      <c r="Z120" s="2">
        <v>11398144.83</v>
      </c>
      <c r="AA120" s="2">
        <v>11307008.120000001</v>
      </c>
      <c r="AB120" s="2">
        <v>10586427.349999998</v>
      </c>
      <c r="AC120" s="2">
        <v>9594653.9900000002</v>
      </c>
      <c r="AD120" s="2">
        <v>9467123.7699999996</v>
      </c>
    </row>
    <row r="121" spans="4:30" x14ac:dyDescent="0.3">
      <c r="E121" t="s">
        <v>9</v>
      </c>
      <c r="F121" s="2">
        <v>3400005.82</v>
      </c>
      <c r="G121" s="2">
        <v>2981186.76</v>
      </c>
      <c r="H121" s="2">
        <v>2133069.62</v>
      </c>
      <c r="I121" s="2">
        <v>2174244.16</v>
      </c>
      <c r="J121" s="2">
        <v>1875084.9600000002</v>
      </c>
      <c r="K121" s="2">
        <v>1389587.98</v>
      </c>
      <c r="L121" s="2">
        <v>1360203.9800000002</v>
      </c>
      <c r="M121" s="2">
        <v>1195915.8899999999</v>
      </c>
      <c r="N121" s="2">
        <v>849243.05999999994</v>
      </c>
      <c r="O121" s="2">
        <v>877126.16</v>
      </c>
      <c r="P121" s="2">
        <v>754671.02</v>
      </c>
      <c r="Q121" s="2">
        <v>553308.25</v>
      </c>
      <c r="R121" s="2">
        <v>578690.87999999989</v>
      </c>
      <c r="S121" s="2">
        <v>498994.0400000001</v>
      </c>
      <c r="T121" s="2">
        <v>361858.54000000004</v>
      </c>
      <c r="U121" s="2">
        <v>371975.66000000003</v>
      </c>
      <c r="V121" s="2">
        <v>327358.82000000007</v>
      </c>
      <c r="W121" s="2">
        <v>266670.32999999996</v>
      </c>
      <c r="X121" s="2">
        <v>255367.32</v>
      </c>
      <c r="Y121" s="2">
        <v>231767.17000000004</v>
      </c>
      <c r="Z121" s="2">
        <v>182307.36000000002</v>
      </c>
      <c r="AA121" s="2">
        <v>185954.96000000002</v>
      </c>
      <c r="AB121" s="2">
        <v>168498.56999999998</v>
      </c>
      <c r="AC121" s="2">
        <v>140240.03000000003</v>
      </c>
      <c r="AD121" s="2">
        <v>143250.58000000002</v>
      </c>
    </row>
    <row r="122" spans="4:30" x14ac:dyDescent="0.3">
      <c r="E12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538321-ff05-47f0-b064-a9a7b360c03c}" enabled="1" method="Privileged" siteId="{626237f6-b94f-4a34-a9c0-9045668e43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Impairment 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Hipson</dc:creator>
  <cp:lastModifiedBy>Jack Hipson</cp:lastModifiedBy>
  <dcterms:created xsi:type="dcterms:W3CDTF">2026-01-20T17:23:37Z</dcterms:created>
  <dcterms:modified xsi:type="dcterms:W3CDTF">2026-01-20T17:24:16Z</dcterms:modified>
</cp:coreProperties>
</file>